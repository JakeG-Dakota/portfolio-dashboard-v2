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DD0A5FA2-59A6-4F69-AAC8-E5D3F4F82E26}" xr6:coauthVersionLast="47" xr6:coauthVersionMax="47" xr10:uidLastSave="{00000000-0000-0000-0000-000000000000}"/>
  <bookViews>
    <workbookView xWindow="-12150" yWindow="-16320" windowWidth="29040" windowHeight="15720" tabRatio="663" activeTab="2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D61" i="13"/>
  <c r="D53" i="13"/>
  <c r="D52" i="13"/>
  <c r="D51" i="13"/>
  <c r="D50" i="13"/>
  <c r="D54" i="13" s="1"/>
  <c r="D42" i="13"/>
  <c r="H37" i="13"/>
  <c r="G37" i="13"/>
  <c r="E35" i="13"/>
  <c r="F35" i="13" s="1"/>
  <c r="G35" i="13" s="1"/>
  <c r="H35" i="13" s="1"/>
  <c r="E34" i="13"/>
  <c r="F34" i="13" s="1"/>
  <c r="D30" i="13"/>
  <c r="D44" i="13" s="1"/>
  <c r="D27" i="13"/>
  <c r="D43" i="13" s="1"/>
  <c r="D21" i="13"/>
  <c r="D60" i="13" s="1"/>
  <c r="D17" i="13"/>
  <c r="D59" i="13" s="1"/>
  <c r="D13" i="13"/>
  <c r="D12" i="13"/>
  <c r="D6" i="13"/>
  <c r="D23" i="10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S25" i="8"/>
  <c r="R25" i="8"/>
  <c r="Q25" i="8"/>
  <c r="P25" i="8"/>
  <c r="O25" i="8"/>
  <c r="N25" i="8"/>
  <c r="M25" i="8"/>
  <c r="K25" i="8"/>
  <c r="J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T23" i="8"/>
  <c r="S23" i="8"/>
  <c r="R23" i="8"/>
  <c r="Q23" i="8"/>
  <c r="P23" i="8"/>
  <c r="O23" i="8"/>
  <c r="N23" i="8"/>
  <c r="M23" i="8"/>
  <c r="K23" i="8"/>
  <c r="J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V21" i="8"/>
  <c r="T21" i="8"/>
  <c r="S21" i="8"/>
  <c r="R21" i="8"/>
  <c r="Q21" i="8"/>
  <c r="P21" i="8"/>
  <c r="O21" i="8"/>
  <c r="N21" i="8"/>
  <c r="M21" i="8"/>
  <c r="K21" i="8"/>
  <c r="J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V18" i="8"/>
  <c r="T18" i="8"/>
  <c r="S18" i="8"/>
  <c r="R18" i="8"/>
  <c r="Q18" i="8"/>
  <c r="P18" i="8"/>
  <c r="O18" i="8"/>
  <c r="N18" i="8"/>
  <c r="M18" i="8"/>
  <c r="K18" i="8"/>
  <c r="J18" i="8"/>
  <c r="H18" i="8"/>
  <c r="G18" i="8"/>
  <c r="F18" i="8"/>
  <c r="E18" i="8"/>
  <c r="D18" i="8"/>
  <c r="C18" i="8"/>
  <c r="B18" i="8"/>
  <c r="A18" i="8"/>
  <c r="X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T15" i="8"/>
  <c r="S15" i="8"/>
  <c r="R15" i="8"/>
  <c r="Q15" i="8"/>
  <c r="P15" i="8"/>
  <c r="O15" i="8"/>
  <c r="N15" i="8"/>
  <c r="M15" i="8"/>
  <c r="K15" i="8"/>
  <c r="J15" i="8"/>
  <c r="H15" i="8"/>
  <c r="G15" i="8"/>
  <c r="F15" i="8"/>
  <c r="E15" i="8"/>
  <c r="D15" i="8"/>
  <c r="C15" i="8"/>
  <c r="B15" i="8"/>
  <c r="A15" i="8"/>
  <c r="X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M25" i="7"/>
  <c r="L25" i="7"/>
  <c r="K25" i="7"/>
  <c r="I25" i="7"/>
  <c r="G25" i="7"/>
  <c r="F25" i="7"/>
  <c r="E25" i="7"/>
  <c r="D25" i="7"/>
  <c r="C25" i="7"/>
  <c r="B25" i="7"/>
  <c r="M24" i="7"/>
  <c r="L24" i="7"/>
  <c r="K24" i="7"/>
  <c r="I24" i="7"/>
  <c r="G24" i="7"/>
  <c r="F24" i="7"/>
  <c r="E24" i="7"/>
  <c r="D24" i="7"/>
  <c r="C24" i="7"/>
  <c r="B24" i="7"/>
  <c r="M23" i="7"/>
  <c r="L23" i="7"/>
  <c r="K23" i="7"/>
  <c r="I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J21" i="7"/>
  <c r="I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G18" i="7"/>
  <c r="F18" i="7"/>
  <c r="E18" i="7"/>
  <c r="D18" i="7"/>
  <c r="C18" i="7"/>
  <c r="B18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G15" i="7"/>
  <c r="F15" i="7"/>
  <c r="E15" i="7"/>
  <c r="D15" i="7"/>
  <c r="C15" i="7"/>
  <c r="B15" i="7"/>
  <c r="M14" i="7"/>
  <c r="L14" i="7"/>
  <c r="K14" i="7"/>
  <c r="I14" i="7"/>
  <c r="G14" i="7"/>
  <c r="F14" i="7"/>
  <c r="E14" i="7"/>
  <c r="D14" i="7"/>
  <c r="C14" i="7"/>
  <c r="B14" i="7"/>
  <c r="M13" i="7"/>
  <c r="L13" i="7"/>
  <c r="K13" i="7"/>
  <c r="I13" i="7"/>
  <c r="G13" i="7"/>
  <c r="F13" i="7"/>
  <c r="E13" i="7"/>
  <c r="D13" i="7"/>
  <c r="C13" i="7"/>
  <c r="B13" i="7"/>
  <c r="N12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G10" i="7"/>
  <c r="F10" i="7"/>
  <c r="E10" i="7"/>
  <c r="D10" i="7"/>
  <c r="C10" i="7"/>
  <c r="B10" i="7"/>
  <c r="N8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E24" i="6"/>
  <c r="G24" i="6" s="1"/>
  <c r="D24" i="6"/>
  <c r="C24" i="6"/>
  <c r="E23" i="6"/>
  <c r="G23" i="6" s="1"/>
  <c r="D23" i="6"/>
  <c r="H22" i="6"/>
  <c r="E22" i="6"/>
  <c r="G22" i="6" s="1"/>
  <c r="D22" i="6"/>
  <c r="E21" i="6"/>
  <c r="G21" i="6" s="1"/>
  <c r="D21" i="6"/>
  <c r="E20" i="6"/>
  <c r="H20" i="6" s="1"/>
  <c r="D20" i="6"/>
  <c r="E19" i="6"/>
  <c r="G19" i="6" s="1"/>
  <c r="D19" i="6"/>
  <c r="C19" i="6"/>
  <c r="E18" i="6"/>
  <c r="H18" i="6" s="1"/>
  <c r="D18" i="6"/>
  <c r="C18" i="6"/>
  <c r="E17" i="6"/>
  <c r="H17" i="6" s="1"/>
  <c r="D17" i="6"/>
  <c r="C17" i="6"/>
  <c r="E16" i="6"/>
  <c r="H16" i="6" s="1"/>
  <c r="D16" i="6"/>
  <c r="C16" i="6"/>
  <c r="E15" i="6"/>
  <c r="G15" i="6" s="1"/>
  <c r="D15" i="6"/>
  <c r="C15" i="6"/>
  <c r="E14" i="6"/>
  <c r="G14" i="6" s="1"/>
  <c r="D14" i="6"/>
  <c r="C14" i="6"/>
  <c r="E13" i="6"/>
  <c r="G13" i="6" s="1"/>
  <c r="D13" i="6"/>
  <c r="C13" i="6"/>
  <c r="E12" i="6"/>
  <c r="H12" i="6" s="1"/>
  <c r="D12" i="6"/>
  <c r="C12" i="6"/>
  <c r="H11" i="6"/>
  <c r="G11" i="6"/>
  <c r="E11" i="6"/>
  <c r="D11" i="6"/>
  <c r="C11" i="6"/>
  <c r="E10" i="6"/>
  <c r="H10" i="6" s="1"/>
  <c r="D10" i="6"/>
  <c r="C10" i="6"/>
  <c r="E9" i="6"/>
  <c r="H9" i="6" s="1"/>
  <c r="D9" i="6"/>
  <c r="C9" i="6"/>
  <c r="E8" i="6"/>
  <c r="H8" i="6" s="1"/>
  <c r="D8" i="6"/>
  <c r="C8" i="6"/>
  <c r="E7" i="6"/>
  <c r="H7" i="6" s="1"/>
  <c r="D7" i="6"/>
  <c r="C7" i="6"/>
  <c r="E6" i="6"/>
  <c r="H6" i="6" s="1"/>
  <c r="D6" i="6"/>
  <c r="C6" i="6"/>
  <c r="E5" i="6"/>
  <c r="G5" i="6" s="1"/>
  <c r="D5" i="6"/>
  <c r="C5" i="6"/>
  <c r="E4" i="6"/>
  <c r="G4" i="6" s="1"/>
  <c r="D4" i="6"/>
  <c r="C4" i="6"/>
  <c r="D41" i="5"/>
  <c r="E31" i="5"/>
  <c r="C31" i="5"/>
  <c r="E30" i="5"/>
  <c r="C30" i="5"/>
  <c r="E16" i="5"/>
  <c r="C16" i="5"/>
  <c r="E15" i="5"/>
  <c r="C15" i="5"/>
  <c r="H90" i="4"/>
  <c r="F90" i="4"/>
  <c r="E90" i="4"/>
  <c r="H89" i="4"/>
  <c r="F89" i="4"/>
  <c r="E89" i="4"/>
  <c r="L89" i="4" s="1"/>
  <c r="J88" i="4"/>
  <c r="H88" i="4"/>
  <c r="F88" i="4"/>
  <c r="E88" i="4"/>
  <c r="L88" i="4" s="1"/>
  <c r="H87" i="4"/>
  <c r="F87" i="4"/>
  <c r="E87" i="4"/>
  <c r="H83" i="4"/>
  <c r="F83" i="4"/>
  <c r="E83" i="4"/>
  <c r="H82" i="4"/>
  <c r="F82" i="4"/>
  <c r="E82" i="4"/>
  <c r="L82" i="4" s="1"/>
  <c r="J81" i="4"/>
  <c r="H81" i="4"/>
  <c r="F81" i="4"/>
  <c r="E81" i="4"/>
  <c r="L81" i="4" s="1"/>
  <c r="L80" i="4"/>
  <c r="H80" i="4"/>
  <c r="F80" i="4"/>
  <c r="E80" i="4"/>
  <c r="J80" i="4" s="1"/>
  <c r="H79" i="4"/>
  <c r="F79" i="4"/>
  <c r="E79" i="4"/>
  <c r="H78" i="4"/>
  <c r="F78" i="4"/>
  <c r="E78" i="4"/>
  <c r="J77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J44" i="4"/>
  <c r="G44" i="4"/>
  <c r="F44" i="4"/>
  <c r="E44" i="4"/>
  <c r="C44" i="4"/>
  <c r="B44" i="4"/>
  <c r="I43" i="4"/>
  <c r="G43" i="4"/>
  <c r="F43" i="4"/>
  <c r="E43" i="4"/>
  <c r="C43" i="4"/>
  <c r="B43" i="4"/>
  <c r="I42" i="4"/>
  <c r="G42" i="4"/>
  <c r="F42" i="4"/>
  <c r="E42" i="4"/>
  <c r="C42" i="4"/>
  <c r="B42" i="4"/>
  <c r="I41" i="4"/>
  <c r="G41" i="4"/>
  <c r="F41" i="4"/>
  <c r="E41" i="4"/>
  <c r="C41" i="4"/>
  <c r="B41" i="4"/>
  <c r="J40" i="4"/>
  <c r="I40" i="4"/>
  <c r="G40" i="4"/>
  <c r="F40" i="4"/>
  <c r="E40" i="4"/>
  <c r="C40" i="4"/>
  <c r="B40" i="4"/>
  <c r="I39" i="4"/>
  <c r="G39" i="4"/>
  <c r="F39" i="4"/>
  <c r="E39" i="4"/>
  <c r="C39" i="4"/>
  <c r="B39" i="4"/>
  <c r="I38" i="4"/>
  <c r="G38" i="4"/>
  <c r="F38" i="4"/>
  <c r="E38" i="4"/>
  <c r="C38" i="4"/>
  <c r="B38" i="4"/>
  <c r="J37" i="4"/>
  <c r="G37" i="4"/>
  <c r="F37" i="4"/>
  <c r="E37" i="4"/>
  <c r="C37" i="4"/>
  <c r="B37" i="4"/>
  <c r="I36" i="4"/>
  <c r="G36" i="4"/>
  <c r="F36" i="4"/>
  <c r="E36" i="4"/>
  <c r="C36" i="4"/>
  <c r="B36" i="4"/>
  <c r="I35" i="4"/>
  <c r="G35" i="4"/>
  <c r="F35" i="4"/>
  <c r="E35" i="4"/>
  <c r="C35" i="4"/>
  <c r="B35" i="4"/>
  <c r="J34" i="4"/>
  <c r="I34" i="4"/>
  <c r="G34" i="4"/>
  <c r="F34" i="4"/>
  <c r="E34" i="4"/>
  <c r="C34" i="4"/>
  <c r="B34" i="4"/>
  <c r="I33" i="4"/>
  <c r="G33" i="4"/>
  <c r="F33" i="4"/>
  <c r="E33" i="4"/>
  <c r="C33" i="4"/>
  <c r="B33" i="4"/>
  <c r="I32" i="4"/>
  <c r="G32" i="4"/>
  <c r="F32" i="4"/>
  <c r="E32" i="4"/>
  <c r="C32" i="4"/>
  <c r="B32" i="4"/>
  <c r="J31" i="4"/>
  <c r="I31" i="4"/>
  <c r="G31" i="4"/>
  <c r="F31" i="4"/>
  <c r="E31" i="4"/>
  <c r="C31" i="4"/>
  <c r="B31" i="4"/>
  <c r="J30" i="4"/>
  <c r="I30" i="4"/>
  <c r="G30" i="4"/>
  <c r="F30" i="4"/>
  <c r="E30" i="4"/>
  <c r="C30" i="4"/>
  <c r="B30" i="4"/>
  <c r="J29" i="4"/>
  <c r="I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G23" i="4"/>
  <c r="H23" i="4" s="1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/>
  <c r="F20" i="4" s="1"/>
  <c r="J19" i="4"/>
  <c r="I19" i="4"/>
  <c r="G19" i="4"/>
  <c r="H19" i="4" s="1"/>
  <c r="D19" i="4"/>
  <c r="F19" i="4" s="1"/>
  <c r="E15" i="4"/>
  <c r="J9" i="4" s="1"/>
  <c r="E14" i="4"/>
  <c r="D17" i="10" s="1"/>
  <c r="F9" i="4"/>
  <c r="J5" i="4"/>
  <c r="H5" i="4"/>
  <c r="F5" i="4"/>
  <c r="D5" i="4"/>
  <c r="B5" i="4"/>
  <c r="I26" i="3"/>
  <c r="G26" i="3"/>
  <c r="M26" i="3" s="1"/>
  <c r="E26" i="3"/>
  <c r="K26" i="3" s="1"/>
  <c r="D18" i="10" s="1"/>
  <c r="V25" i="3"/>
  <c r="L25" i="3"/>
  <c r="AC24" i="3"/>
  <c r="Z24" i="3"/>
  <c r="U25" i="8" s="1"/>
  <c r="Y24" i="3"/>
  <c r="N25" i="7" s="1"/>
  <c r="V24" i="3"/>
  <c r="W24" i="3" s="1"/>
  <c r="V25" i="8" s="1"/>
  <c r="K24" i="3"/>
  <c r="Q24" i="3" s="1"/>
  <c r="AC23" i="3"/>
  <c r="Z23" i="3"/>
  <c r="Y23" i="3"/>
  <c r="V23" i="3"/>
  <c r="W23" i="3" s="1"/>
  <c r="Q23" i="3"/>
  <c r="K23" i="3"/>
  <c r="AC22" i="3"/>
  <c r="Z22" i="3"/>
  <c r="Y22" i="3"/>
  <c r="V22" i="3"/>
  <c r="W22" i="3" s="1"/>
  <c r="K22" i="3"/>
  <c r="Q22" i="3" s="1"/>
  <c r="AC21" i="3"/>
  <c r="Z21" i="3"/>
  <c r="Y21" i="3"/>
  <c r="V21" i="3"/>
  <c r="W21" i="3" s="1"/>
  <c r="Q21" i="3"/>
  <c r="K21" i="3"/>
  <c r="AC20" i="3"/>
  <c r="Z20" i="3"/>
  <c r="Y20" i="3"/>
  <c r="V20" i="3"/>
  <c r="D65" i="9" s="1"/>
  <c r="Q20" i="3"/>
  <c r="D62" i="9" s="1"/>
  <c r="K20" i="3"/>
  <c r="AC19" i="3"/>
  <c r="Z19" i="3"/>
  <c r="V19" i="8" s="1"/>
  <c r="Y19" i="3"/>
  <c r="H44" i="4" s="1"/>
  <c r="V19" i="3"/>
  <c r="H19" i="7" s="1"/>
  <c r="K19" i="3"/>
  <c r="Q19" i="3" s="1"/>
  <c r="AC18" i="3"/>
  <c r="Z18" i="3"/>
  <c r="Y18" i="3"/>
  <c r="J43" i="4" s="1"/>
  <c r="V18" i="3"/>
  <c r="R37" i="9" s="1"/>
  <c r="K18" i="3"/>
  <c r="Q18" i="3" s="1"/>
  <c r="AC17" i="3"/>
  <c r="Z17" i="3"/>
  <c r="Y17" i="3"/>
  <c r="J42" i="4" s="1"/>
  <c r="V17" i="3"/>
  <c r="I15" i="8" s="1"/>
  <c r="Q17" i="3"/>
  <c r="D8" i="9" s="1"/>
  <c r="K17" i="3"/>
  <c r="AC16" i="3"/>
  <c r="Z16" i="3"/>
  <c r="V5" i="8" s="1"/>
  <c r="Y16" i="3"/>
  <c r="J41" i="4" s="1"/>
  <c r="V16" i="3"/>
  <c r="D37" i="9" s="1"/>
  <c r="K16" i="3"/>
  <c r="Q16" i="3" s="1"/>
  <c r="AC15" i="3"/>
  <c r="Z15" i="3"/>
  <c r="V17" i="8" s="1"/>
  <c r="Y15" i="3"/>
  <c r="H40" i="4" s="1"/>
  <c r="V15" i="3"/>
  <c r="W15" i="3" s="1"/>
  <c r="W17" i="8" s="1"/>
  <c r="Q15" i="3"/>
  <c r="J17" i="7" s="1"/>
  <c r="K15" i="3"/>
  <c r="AC14" i="3"/>
  <c r="Z14" i="3"/>
  <c r="V7" i="8" s="1"/>
  <c r="Y14" i="3"/>
  <c r="N7" i="7" s="1"/>
  <c r="V14" i="3"/>
  <c r="I7" i="8" s="1"/>
  <c r="K14" i="3"/>
  <c r="Q14" i="3" s="1"/>
  <c r="AC13" i="3"/>
  <c r="Z13" i="3"/>
  <c r="V14" i="8" s="1"/>
  <c r="Y13" i="3"/>
  <c r="N14" i="7" s="1"/>
  <c r="V13" i="3"/>
  <c r="H14" i="7" s="1"/>
  <c r="K13" i="3"/>
  <c r="Q13" i="3" s="1"/>
  <c r="AC12" i="3"/>
  <c r="Z12" i="3"/>
  <c r="Y12" i="3"/>
  <c r="N13" i="7" s="1"/>
  <c r="V12" i="3"/>
  <c r="D56" i="9" s="1"/>
  <c r="K12" i="3"/>
  <c r="Q12" i="3" s="1"/>
  <c r="AC11" i="3"/>
  <c r="Z11" i="3"/>
  <c r="V24" i="8" s="1"/>
  <c r="Y11" i="3"/>
  <c r="U24" i="8" s="1"/>
  <c r="V11" i="3"/>
  <c r="H24" i="7" s="1"/>
  <c r="Q11" i="3"/>
  <c r="L24" i="8" s="1"/>
  <c r="K11" i="3"/>
  <c r="AC10" i="3"/>
  <c r="Z10" i="3"/>
  <c r="V4" i="8" s="1"/>
  <c r="Y10" i="3"/>
  <c r="J36" i="4" s="1"/>
  <c r="V10" i="3"/>
  <c r="I4" i="8" s="1"/>
  <c r="K10" i="3"/>
  <c r="Q10" i="3" s="1"/>
  <c r="AC9" i="3"/>
  <c r="Z9" i="3"/>
  <c r="V12" i="8" s="1"/>
  <c r="Y9" i="3"/>
  <c r="U12" i="8" s="1"/>
  <c r="V9" i="3"/>
  <c r="H12" i="7" s="1"/>
  <c r="K9" i="3"/>
  <c r="Q9" i="3" s="1"/>
  <c r="AC8" i="3"/>
  <c r="Z8" i="3"/>
  <c r="V10" i="8" s="1"/>
  <c r="Y8" i="3"/>
  <c r="H34" i="4" s="1"/>
  <c r="V8" i="3"/>
  <c r="S74" i="9" s="1"/>
  <c r="K8" i="3"/>
  <c r="Q8" i="3" s="1"/>
  <c r="AC7" i="3"/>
  <c r="Z7" i="3"/>
  <c r="V11" i="8" s="1"/>
  <c r="Y7" i="3"/>
  <c r="J33" i="4" s="1"/>
  <c r="V7" i="3"/>
  <c r="H11" i="7" s="1"/>
  <c r="Q7" i="3"/>
  <c r="L11" i="8" s="1"/>
  <c r="K7" i="3"/>
  <c r="AC6" i="3"/>
  <c r="Z6" i="3"/>
  <c r="V23" i="8" s="1"/>
  <c r="Y6" i="3"/>
  <c r="J32" i="4" s="1"/>
  <c r="V6" i="3"/>
  <c r="D74" i="9" s="1"/>
  <c r="K6" i="3"/>
  <c r="Q6" i="3" s="1"/>
  <c r="AC5" i="3"/>
  <c r="Z5" i="3"/>
  <c r="V22" i="8" s="1"/>
  <c r="Y5" i="3"/>
  <c r="N22" i="7" s="1"/>
  <c r="V5" i="3"/>
  <c r="I22" i="8" s="1"/>
  <c r="Q5" i="3"/>
  <c r="J22" i="7" s="1"/>
  <c r="K5" i="3"/>
  <c r="AC4" i="3"/>
  <c r="Z4" i="3"/>
  <c r="Y4" i="3"/>
  <c r="H30" i="4" s="1"/>
  <c r="V4" i="3"/>
  <c r="H21" i="7" s="1"/>
  <c r="Q4" i="3"/>
  <c r="L21" i="8" s="1"/>
  <c r="K4" i="3"/>
  <c r="AC3" i="3"/>
  <c r="Z3" i="3"/>
  <c r="V8" i="8" s="1"/>
  <c r="Y3" i="3"/>
  <c r="H29" i="4" s="1"/>
  <c r="V3" i="3"/>
  <c r="H8" i="7" s="1"/>
  <c r="K3" i="3"/>
  <c r="K25" i="3" s="1"/>
  <c r="D11" i="2"/>
  <c r="D10" i="2"/>
  <c r="D9" i="2"/>
  <c r="D8" i="2"/>
  <c r="I90" i="9"/>
  <c r="D90" i="9"/>
  <c r="I89" i="9"/>
  <c r="I88" i="9"/>
  <c r="D88" i="9"/>
  <c r="I87" i="9"/>
  <c r="D87" i="9"/>
  <c r="I86" i="9"/>
  <c r="D86" i="9"/>
  <c r="D81" i="9"/>
  <c r="D79" i="9"/>
  <c r="D78" i="9"/>
  <c r="D77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2" i="9"/>
  <c r="W61" i="9"/>
  <c r="R61" i="9"/>
  <c r="I61" i="9"/>
  <c r="D61" i="9"/>
  <c r="W60" i="9"/>
  <c r="R60" i="9"/>
  <c r="I60" i="9"/>
  <c r="D60" i="9"/>
  <c r="W59" i="9"/>
  <c r="R59" i="9"/>
  <c r="I59" i="9"/>
  <c r="D59" i="9"/>
  <c r="R54" i="9"/>
  <c r="D54" i="9"/>
  <c r="R52" i="9"/>
  <c r="D52" i="9"/>
  <c r="R51" i="9"/>
  <c r="D51" i="9"/>
  <c r="R50" i="9"/>
  <c r="D50" i="9"/>
  <c r="X45" i="9"/>
  <c r="D45" i="9"/>
  <c r="X44" i="9"/>
  <c r="X43" i="9"/>
  <c r="D43" i="9"/>
  <c r="X42" i="9"/>
  <c r="D42" i="9"/>
  <c r="X41" i="9"/>
  <c r="D41" i="9"/>
  <c r="R36" i="9"/>
  <c r="D36" i="9"/>
  <c r="R34" i="9"/>
  <c r="D34" i="9"/>
  <c r="R33" i="9"/>
  <c r="D33" i="9"/>
  <c r="R32" i="9"/>
  <c r="D32" i="9"/>
  <c r="D20" i="9"/>
  <c r="D19" i="9"/>
  <c r="L18" i="9"/>
  <c r="D18" i="9"/>
  <c r="D17" i="9"/>
  <c r="L16" i="9"/>
  <c r="D16" i="9"/>
  <c r="L15" i="9"/>
  <c r="D15" i="9"/>
  <c r="L14" i="9"/>
  <c r="D14" i="9"/>
  <c r="L9" i="9"/>
  <c r="D9" i="9"/>
  <c r="L7" i="9"/>
  <c r="D7" i="9"/>
  <c r="L6" i="9"/>
  <c r="D6" i="9"/>
  <c r="L5" i="9"/>
  <c r="D5" i="9"/>
  <c r="G17" i="6" l="1"/>
  <c r="H5" i="6"/>
  <c r="G10" i="6"/>
  <c r="G16" i="6"/>
  <c r="E26" i="6"/>
  <c r="F26" i="6"/>
  <c r="G12" i="6"/>
  <c r="H14" i="6"/>
  <c r="G18" i="6"/>
  <c r="H21" i="6"/>
  <c r="H15" i="6"/>
  <c r="L10" i="9"/>
  <c r="L11" i="9"/>
  <c r="H15" i="7"/>
  <c r="W65" i="9"/>
  <c r="H9" i="4"/>
  <c r="W64" i="9"/>
  <c r="D10" i="9"/>
  <c r="D11" i="9"/>
  <c r="S73" i="9"/>
  <c r="W3" i="3"/>
  <c r="W8" i="8" s="1"/>
  <c r="I17" i="8"/>
  <c r="R55" i="9"/>
  <c r="R56" i="9"/>
  <c r="D91" i="9"/>
  <c r="D92" i="9"/>
  <c r="I8" i="8"/>
  <c r="N74" i="9"/>
  <c r="I14" i="8"/>
  <c r="R65" i="9"/>
  <c r="W17" i="3"/>
  <c r="W15" i="8" s="1"/>
  <c r="X46" i="9"/>
  <c r="W7" i="3"/>
  <c r="W11" i="8" s="1"/>
  <c r="I18" i="8"/>
  <c r="I65" i="9"/>
  <c r="I19" i="8"/>
  <c r="I11" i="8"/>
  <c r="H25" i="7"/>
  <c r="I23" i="8"/>
  <c r="W19" i="3"/>
  <c r="W19" i="8" s="1"/>
  <c r="H18" i="7"/>
  <c r="W9" i="3"/>
  <c r="W12" i="8" s="1"/>
  <c r="I91" i="9"/>
  <c r="D83" i="9"/>
  <c r="R38" i="9"/>
  <c r="W6" i="3"/>
  <c r="W23" i="8" s="1"/>
  <c r="I64" i="9"/>
  <c r="D73" i="9"/>
  <c r="W13" i="3"/>
  <c r="W14" i="8" s="1"/>
  <c r="I12" i="8"/>
  <c r="D62" i="13"/>
  <c r="J18" i="7"/>
  <c r="L18" i="8"/>
  <c r="R35" i="9"/>
  <c r="J12" i="7"/>
  <c r="I62" i="9"/>
  <c r="L12" i="8"/>
  <c r="G34" i="13"/>
  <c r="R62" i="9"/>
  <c r="L4" i="8"/>
  <c r="J4" i="7"/>
  <c r="J14" i="7"/>
  <c r="R53" i="9"/>
  <c r="L14" i="8"/>
  <c r="L13" i="8"/>
  <c r="D53" i="9"/>
  <c r="J13" i="7"/>
  <c r="D56" i="13"/>
  <c r="D55" i="13"/>
  <c r="J5" i="7"/>
  <c r="D35" i="9"/>
  <c r="L5" i="8"/>
  <c r="L8" i="9"/>
  <c r="J19" i="7"/>
  <c r="L19" i="8"/>
  <c r="J10" i="7"/>
  <c r="S71" i="9"/>
  <c r="L10" i="8"/>
  <c r="D45" i="13"/>
  <c r="D44" i="9"/>
  <c r="J7" i="7"/>
  <c r="L7" i="8"/>
  <c r="J25" i="7"/>
  <c r="L25" i="8"/>
  <c r="L17" i="9"/>
  <c r="L23" i="8"/>
  <c r="J23" i="7"/>
  <c r="D71" i="9"/>
  <c r="D38" i="9"/>
  <c r="H4" i="6"/>
  <c r="H24" i="6"/>
  <c r="H17" i="7"/>
  <c r="N19" i="7"/>
  <c r="J24" i="7"/>
  <c r="L17" i="8"/>
  <c r="L22" i="8"/>
  <c r="T25" i="8"/>
  <c r="N5" i="7"/>
  <c r="J11" i="7"/>
  <c r="H23" i="7"/>
  <c r="U5" i="8"/>
  <c r="U8" i="8"/>
  <c r="U11" i="8"/>
  <c r="U13" i="8"/>
  <c r="U15" i="8"/>
  <c r="U18" i="8"/>
  <c r="U21" i="8"/>
  <c r="U23" i="8"/>
  <c r="E36" i="13"/>
  <c r="F36" i="13" s="1"/>
  <c r="G36" i="13" s="1"/>
  <c r="H36" i="13" s="1"/>
  <c r="I37" i="4"/>
  <c r="G9" i="6"/>
  <c r="Q3" i="3"/>
  <c r="W5" i="3"/>
  <c r="W22" i="8" s="1"/>
  <c r="G6" i="6"/>
  <c r="H19" i="6"/>
  <c r="H23" i="6"/>
  <c r="H5" i="7"/>
  <c r="I44" i="4"/>
  <c r="H13" i="6"/>
  <c r="L19" i="9"/>
  <c r="D64" i="9"/>
  <c r="D80" i="9"/>
  <c r="W4" i="3"/>
  <c r="W20" i="3"/>
  <c r="B9" i="4"/>
  <c r="H10" i="7"/>
  <c r="L20" i="9"/>
  <c r="I92" i="9"/>
  <c r="W11" i="3"/>
  <c r="W24" i="8" s="1"/>
  <c r="G8" i="6"/>
  <c r="N18" i="7"/>
  <c r="R64" i="9"/>
  <c r="N71" i="9"/>
  <c r="D82" i="9"/>
  <c r="W18" i="3"/>
  <c r="W18" i="8" s="1"/>
  <c r="H31" i="4"/>
  <c r="H33" i="4"/>
  <c r="H35" i="4"/>
  <c r="H37" i="4"/>
  <c r="H39" i="4"/>
  <c r="H41" i="4"/>
  <c r="H43" i="4"/>
  <c r="G25" i="6"/>
  <c r="N4" i="7"/>
  <c r="H22" i="7"/>
  <c r="N24" i="7"/>
  <c r="D18" i="13"/>
  <c r="N11" i="7"/>
  <c r="J15" i="7"/>
  <c r="I5" i="8"/>
  <c r="I13" i="8"/>
  <c r="I21" i="8"/>
  <c r="I25" i="8"/>
  <c r="W16" i="3"/>
  <c r="W5" i="8" s="1"/>
  <c r="J35" i="4"/>
  <c r="J39" i="4"/>
  <c r="N17" i="7"/>
  <c r="N23" i="7"/>
  <c r="H7" i="7"/>
  <c r="N10" i="7"/>
  <c r="L15" i="8"/>
  <c r="U4" i="8"/>
  <c r="U7" i="8"/>
  <c r="U10" i="8"/>
  <c r="U14" i="8"/>
  <c r="U17" i="8"/>
  <c r="U19" i="8"/>
  <c r="U22" i="8"/>
  <c r="H13" i="7"/>
  <c r="N15" i="7"/>
  <c r="D55" i="9"/>
  <c r="N73" i="9"/>
  <c r="W12" i="3"/>
  <c r="W13" i="8" s="1"/>
  <c r="D46" i="9"/>
  <c r="W10" i="3"/>
  <c r="W4" i="8" s="1"/>
  <c r="H32" i="4"/>
  <c r="H36" i="4"/>
  <c r="H38" i="4"/>
  <c r="H42" i="4"/>
  <c r="W14" i="3"/>
  <c r="W7" i="8" s="1"/>
  <c r="I24" i="8"/>
  <c r="D47" i="9"/>
  <c r="W8" i="3"/>
  <c r="W10" i="8" s="1"/>
  <c r="J82" i="4"/>
  <c r="J89" i="4"/>
  <c r="G7" i="6"/>
  <c r="G20" i="6"/>
  <c r="H4" i="7"/>
  <c r="I10" i="8"/>
  <c r="J38" i="4"/>
  <c r="X47" i="9"/>
  <c r="D46" i="13" l="1"/>
  <c r="D47" i="13" s="1"/>
  <c r="W21" i="8"/>
  <c r="W25" i="3"/>
  <c r="F37" i="13"/>
  <c r="F38" i="13" s="1"/>
  <c r="E37" i="13"/>
  <c r="E38" i="13" s="1"/>
  <c r="D19" i="13"/>
  <c r="G71" i="4"/>
  <c r="G67" i="4"/>
  <c r="G63" i="4"/>
  <c r="L31" i="8"/>
  <c r="D89" i="9"/>
  <c r="G70" i="4"/>
  <c r="G66" i="4"/>
  <c r="L8" i="8"/>
  <c r="J8" i="7"/>
  <c r="G69" i="4"/>
  <c r="G65" i="4"/>
  <c r="J32" i="7"/>
  <c r="D9" i="4"/>
  <c r="G72" i="4"/>
  <c r="G68" i="4"/>
  <c r="G64" i="4"/>
  <c r="G73" i="4"/>
  <c r="Q25" i="3"/>
  <c r="H34" i="13"/>
  <c r="H38" i="13" s="1"/>
  <c r="G38" i="13"/>
  <c r="D64" i="13"/>
  <c r="D63" i="13"/>
</calcChain>
</file>

<file path=xl/sharedStrings.xml><?xml version="1.0" encoding="utf-8"?>
<sst xmlns="http://schemas.openxmlformats.org/spreadsheetml/2006/main" count="1051" uniqueCount="654">
  <si>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</si>
  <si>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</si>
  <si>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</si>
  <si>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</si>
  <si>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</si>
  <si>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</si>
  <si>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</si>
  <si>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</si>
  <si>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</si>
  <si>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</si>
  <si>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</si>
  <si>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</si>
  <si>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</si>
  <si>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</si>
  <si>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</si>
  <si>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</si>
  <si>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</si>
  <si>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</si>
  <si>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</si>
  <si>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</si>
  <si>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</si>
  <si>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</si>
  <si>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</si>
  <si>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</si>
  <si>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</si>
  <si>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</si>
  <si>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</si>
  <si>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</si>
  <si>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</si>
  <si>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</si>
  <si>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</si>
  <si>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</si>
  <si>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</si>
  <si>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</si>
  <si>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</si>
  <si>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</si>
  <si>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</si>
  <si>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</si>
  <si>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</si>
  <si>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</si>
  <si>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</si>
  <si>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</si>
  <si>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</si>
  <si>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</si>
  <si>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</si>
  <si>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</si>
  <si>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</si>
  <si>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</si>
  <si>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</si>
  <si>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</si>
  <si>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</si>
  <si>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</si>
  <si>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</si>
  <si>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</si>
  <si>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</si>
  <si>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</si>
  <si>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</si>
  <si>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</si>
  <si>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</si>
  <si>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</si>
  <si>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</si>
  <si>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</si>
  <si>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</si>
  <si>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</si>
  <si>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</si>
  <si>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</si>
  <si>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</si>
  <si>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</si>
  <si>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</si>
  <si>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</si>
  <si>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</si>
  <si>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</si>
  <si>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</si>
  <si>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</si>
  <si>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</si>
  <si>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</si>
  <si>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</si>
  <si>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</si>
  <si>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</si>
  <si>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</si>
  <si>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</si>
  <si>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</si>
  <si>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</si>
  <si>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</si>
  <si>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</si>
  <si>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</si>
  <si>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</si>
  <si>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</si>
  <si>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</si>
  <si>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</si>
  <si>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</si>
  <si>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</si>
  <si>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</si>
  <si>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</si>
  <si>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</si>
  <si>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</si>
  <si>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</si>
  <si>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</si>
  <si>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</si>
  <si>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</si>
  <si>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</si>
  <si>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</si>
  <si>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</si>
  <si>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</si>
  <si>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</si>
  <si>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</si>
  <si>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</si>
  <si>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</si>
  <si>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</si>
  <si>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</si>
  <si>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</si>
  <si>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</si>
  <si>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</si>
  <si>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</si>
  <si>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</si>
  <si>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</si>
  <si>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</si>
  <si>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</si>
  <si>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</si>
  <si>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</si>
  <si>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</si>
  <si>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</si>
  <si>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</si>
  <si>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</si>
  <si>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</si>
  <si>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</si>
  <si>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</si>
  <si>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</si>
  <si>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</si>
  <si>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</si>
  <si>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</si>
  <si>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</si>
  <si>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</si>
  <si>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</si>
  <si>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</si>
  <si>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</si>
  <si>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</si>
  <si>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</si>
  <si>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</si>
  <si>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</si>
  <si>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</si>
  <si>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</si>
  <si>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</si>
  <si>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</si>
  <si>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</si>
  <si>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</si>
  <si>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</si>
  <si>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</si>
  <si>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</si>
  <si>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</si>
  <si>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</si>
  <si>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</si>
  <si>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</si>
  <si>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</si>
  <si>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</si>
  <si>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</si>
  <si>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</si>
  <si>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</si>
  <si>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</si>
  <si>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</si>
  <si>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</si>
  <si>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</si>
  <si>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</si>
  <si>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</si>
  <si>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</si>
  <si>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</si>
  <si>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</si>
  <si>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</si>
  <si>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</si>
  <si>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</si>
  <si>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</si>
  <si>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</si>
  <si>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</si>
  <si>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</si>
  <si>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</si>
  <si>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</si>
  <si>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</si>
  <si>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</si>
  <si>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</si>
  <si>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</si>
  <si>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</si>
  <si>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</si>
  <si>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</si>
  <si>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</si>
  <si>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</si>
  <si>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</si>
  <si>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</si>
  <si>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</si>
  <si>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</si>
  <si>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</si>
  <si>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</si>
  <si>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</si>
  <si>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</si>
  <si>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</si>
  <si>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</si>
  <si>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</si>
  <si>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</si>
  <si>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</si>
  <si>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</si>
  <si>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</si>
  <si>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</si>
  <si>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</si>
  <si>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</si>
  <si>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</si>
  <si>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</si>
  <si>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</si>
  <si>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</si>
  <si>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</si>
  <si>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</si>
  <si>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</si>
  <si>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</si>
  <si>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</si>
  <si>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</si>
  <si>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</si>
  <si>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</si>
  <si>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</si>
  <si>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</si>
  <si>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</si>
  <si>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</si>
  <si>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</si>
  <si>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</si>
  <si>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</si>
  <si>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</si>
  <si>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</si>
  <si>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</si>
  <si>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</si>
  <si>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</si>
  <si>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</si>
  <si>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</si>
  <si>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</si>
  <si>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</si>
  <si>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</si>
  <si>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</si>
  <si>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</si>
  <si>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</si>
  <si>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</si>
  <si>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</si>
  <si>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</si>
  <si>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</si>
  <si>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</si>
  <si>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</si>
  <si>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</si>
  <si>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</si>
  <si>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</si>
  <si>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</si>
  <si>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</si>
  <si>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</si>
  <si>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</si>
  <si>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</si>
  <si>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</si>
  <si>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</si>
  <si>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</si>
  <si>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</si>
  <si>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</si>
  <si>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</si>
  <si>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</si>
  <si>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</si>
  <si>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</si>
  <si>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</si>
  <si>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</si>
  <si>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</si>
  <si>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</si>
  <si>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</si>
  <si>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</si>
  <si>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</si>
  <si>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</si>
  <si>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</si>
  <si>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</si>
  <si>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</si>
  <si>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</si>
  <si>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</si>
  <si>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</si>
  <si>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</si>
  <si>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</si>
  <si>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</si>
  <si>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</si>
  <si>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</si>
  <si>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</si>
  <si>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</si>
  <si>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</si>
  <si>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</si>
  <si>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</si>
  <si>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</si>
  <si>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</si>
  <si>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</si>
  <si>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</si>
  <si>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</si>
  <si>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</si>
  <si>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</si>
  <si>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</si>
  <si>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</si>
  <si>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</si>
  <si>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</si>
  <si>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</si>
  <si>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</si>
  <si>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</si>
  <si>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</si>
  <si>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</si>
  <si>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</si>
  <si>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</si>
  <si>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</si>
  <si>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</si>
  <si>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</si>
  <si>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</si>
  <si>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</si>
  <si>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</si>
  <si>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</si>
  <si>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</si>
  <si>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</si>
  <si>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</si>
  <si>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</si>
  <si>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</si>
  <si>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</si>
  <si>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</si>
  <si>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</si>
  <si>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</si>
  <si>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</si>
  <si>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</si>
  <si>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</si>
  <si>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</si>
  <si>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</si>
  <si>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</si>
  <si>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</si>
  <si>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</si>
  <si>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</si>
  <si>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</si>
  <si>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</si>
  <si>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</si>
  <si>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</si>
  <si>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</si>
  <si>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</si>
  <si>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</si>
  <si>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</si>
  <si>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</si>
  <si>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</si>
  <si>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</si>
  <si>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</si>
  <si>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</si>
  <si>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</si>
  <si>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</si>
  <si>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</si>
  <si>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</si>
  <si>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</si>
  <si>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</si>
  <si>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</si>
  <si>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</si>
  <si>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</si>
  <si>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</si>
  <si>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</si>
  <si>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</si>
  <si>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</si>
  <si>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</si>
  <si>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</si>
  <si>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</si>
  <si>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</si>
  <si>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</si>
  <si>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</si>
  <si>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</si>
  <si>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</si>
  <si>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</si>
  <si>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</si>
  <si>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</si>
  <si>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</si>
  <si>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</si>
  <si>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</si>
  <si>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</si>
  <si>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</si>
  <si>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</si>
  <si>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</si>
  <si>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</si>
  <si>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</si>
  <si>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</si>
  <si>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</si>
  <si>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</si>
  <si>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</si>
  <si>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</si>
  <si>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</si>
  <si>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</si>
  <si>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</si>
  <si>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</si>
  <si>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</si>
  <si>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</si>
  <si>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</si>
  <si>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</si>
  <si>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</si>
  <si>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</si>
  <si>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</si>
  <si>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</si>
  <si>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</si>
  <si>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</si>
  <si>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</si>
  <si>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</si>
  <si>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</si>
  <si>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</si>
  <si>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</si>
  <si>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</si>
  <si>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</si>
  <si>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</si>
  <si>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</si>
  <si>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</si>
  <si>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</si>
  <si>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</si>
  <si>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</si>
  <si>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</si>
  <si>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</si>
  <si>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</si>
  <si>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</si>
  <si>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</si>
  <si>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</si>
  <si>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</si>
  <si>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</si>
  <si>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</si>
  <si>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</si>
  <si>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</si>
  <si>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</si>
  <si>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</si>
  <si>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</si>
  <si>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</si>
  <si>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</si>
  <si>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</si>
  <si>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</si>
  <si>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</si>
  <si>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</si>
  <si>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</si>
  <si>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</si>
  <si>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</si>
  <si>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</si>
  <si>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</si>
  <si>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</si>
  <si>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</si>
  <si>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</si>
  <si>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</si>
  <si>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</si>
  <si>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</si>
  <si>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</si>
  <si>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</si>
  <si>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</si>
  <si>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</si>
  <si>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</si>
  <si>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</si>
  <si>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</si>
  <si>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</si>
  <si>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</si>
  <si>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</si>
  <si>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</si>
  <si>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</si>
  <si>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</si>
  <si>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</si>
  <si>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</si>
  <si>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</si>
  <si>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</si>
  <si>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</si>
  <si>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</si>
  <si>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</si>
  <si>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</si>
  <si>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</si>
  <si>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</si>
  <si>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</si>
  <si>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</si>
  <si>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</si>
  <si>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</si>
  <si>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</si>
  <si>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</si>
  <si>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</si>
  <si>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</si>
  <si>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</si>
  <si>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</si>
  <si>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</si>
  <si>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</si>
  <si>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</si>
  <si>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</si>
  <si>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</si>
  <si>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</si>
  <si>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</si>
  <si>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</si>
  <si>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</si>
  <si>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</si>
  <si>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</si>
  <si>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</si>
  <si>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</si>
  <si>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</si>
  <si>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</si>
  <si>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</si>
  <si>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</si>
  <si>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</si>
  <si>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</si>
  <si>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</si>
  <si>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</si>
  <si>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</si>
  <si>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</si>
  <si>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</si>
  <si>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</si>
  <si>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</si>
  <si>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</si>
  <si>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</si>
  <si>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</si>
  <si>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</si>
  <si>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</si>
  <si>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</si>
  <si>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</si>
  <si>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</si>
  <si>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</si>
  <si>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</si>
  <si>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</si>
  <si>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</si>
  <si>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</si>
  <si>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</si>
  <si>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</si>
  <si>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</si>
  <si>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</si>
  <si>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</si>
  <si>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</si>
  <si>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</si>
  <si>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</si>
  <si>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</si>
  <si>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</si>
  <si>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</si>
  <si>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</si>
  <si>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</si>
  <si>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</si>
  <si>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</si>
  <si>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</si>
  <si>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</si>
  <si>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</si>
  <si>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</si>
  <si>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</si>
  <si>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</si>
  <si>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</si>
  <si>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</si>
  <si>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</si>
  <si>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</si>
  <si>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</si>
  <si>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</si>
  <si>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</si>
  <si>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</si>
  <si>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</si>
  <si>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</si>
  <si>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</si>
  <si>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</si>
  <si>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</si>
  <si>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</si>
  <si>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</si>
  <si>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</si>
  <si>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</si>
  <si>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</si>
  <si>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</si>
  <si>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</si>
  <si>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</si>
  <si>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</si>
  <si>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</si>
  <si>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</si>
  <si>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</si>
  <si>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</si>
  <si>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</si>
  <si>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</si>
  <si>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</si>
  <si>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</si>
  <si>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</si>
  <si>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</si>
  <si>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</si>
  <si>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</si>
  <si>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</si>
  <si>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</si>
  <si>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</si>
  <si>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</si>
  <si>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</si>
  <si>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</si>
  <si>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</si>
  <si>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</si>
  <si>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</si>
  <si>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</si>
  <si>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</si>
  <si>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</si>
  <si>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</si>
  <si>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</si>
  <si>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</si>
  <si>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</si>
  <si>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</si>
  <si>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</si>
  <si>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</si>
  <si>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</si>
  <si>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</si>
  <si>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</si>
  <si>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</si>
  <si>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</si>
  <si>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</si>
  <si>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</si>
  <si>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</si>
  <si>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</si>
  <si>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</si>
  <si>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</si>
  <si>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</si>
  <si>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</si>
  <si>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</si>
  <si>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</si>
  <si>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</si>
  <si>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</si>
  <si>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</si>
  <si>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</si>
  <si>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</si>
  <si>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</si>
  <si>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</si>
  <si>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</si>
  <si>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</si>
  <si>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</si>
  <si>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</si>
  <si>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</si>
  <si>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</si>
  <si>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</si>
  <si>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</si>
  <si>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</si>
  <si>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</si>
  <si>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</si>
  <si>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</si>
  <si>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</si>
  <si>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</si>
  <si>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</si>
  <si>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</si>
  <si>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</si>
  <si>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</si>
  <si>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</si>
  <si>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</si>
  <si>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</si>
  <si>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</si>
  <si>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</si>
  <si>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</si>
  <si>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</si>
  <si>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</si>
  <si>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</si>
  <si>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</si>
  <si>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</si>
  <si>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</si>
  <si>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</si>
  <si>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</si>
  <si>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</si>
  <si>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</si>
  <si>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</si>
  <si>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</si>
  <si>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</si>
  <si>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</si>
  <si>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</si>
  <si>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</si>
  <si>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</si>
  <si>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</si>
  <si>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</si>
  <si>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</si>
  <si>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</si>
  <si>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</si>
  <si>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</si>
  <si>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</si>
  <si>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</si>
  <si>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</si>
  <si>
    <t>18 occ  |  3 vacant</t>
  </si>
  <si>
    <t>9/30/2035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</si>
</sst>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&quot;($&quot;#,##0\)"/>
    <numFmt numFmtId="174" formatCode="0.00&quot; yrs&quot;"/>
    <numFmt numFmtId="175" formatCode="0&quot; days&quot;"/>
    <numFmt numFmtId="176" formatCode="0.000%"/>
    <numFmt numFmtId="177" formatCode="0.00\x"/>
    <numFmt numFmtId="178" formatCode="\$#,##0&quot; (wtd avg passing)&quot;"/>
    <numFmt numFmtId="179" formatCode="\$#,##0&quot; (wtd avg market)&quot;"/>
    <numFmt numFmtId="180" formatCode="\$#,##0&quot; psm (avg)&quot;"/>
    <numFmt numFmtId="181" formatCode="0.00&quot; yrs (WALE NLA)&quot;"/>
    <numFmt numFmtId="182" formatCode="_-\$* #,##0.00_-;&quot;-$&quot;* #,##0.00_-;_-\$* \-??_-;_-@_-"/>
    <numFmt numFmtId="183" formatCode="\$#,##0;[Red]&quot;-$&quot;#,##0"/>
    <numFmt numFmtId="184" formatCode="_(\$* #,##0.00_);_(\$* \(#,##0.00\);_(\$* \-??_);_(@_)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1">
    <xf numFmtId="0" fontId="0" fillId="0" borderId="0" xfId="0"/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4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4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5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5" fontId="12" fillId="6" borderId="2" xfId="0" applyNumberFormat="1" applyFont="1" applyFill="1" applyBorder="1" applyAlignment="1">
      <alignment horizontal="center" vertical="center"/>
    </xf>
    <xf numFmtId="175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5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6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6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7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79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80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1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2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172" fontId="6" fillId="11" borderId="1" xfId="0" applyNumberFormat="1" applyFont="1" applyFill="1" applyBorder="1" applyAlignment="1">
      <alignment horizontal="center" vertical="center"/>
    </xf>
    <xf numFmtId="10" fontId="6" fillId="10" borderId="1" xfId="0" applyNumberFormat="1" applyFont="1" applyFill="1" applyBorder="1" applyAlignment="1">
      <alignment horizontal="center" vertical="center"/>
    </xf>
    <xf numFmtId="10" fontId="6" fillId="12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7" borderId="0" xfId="0" applyFont="1" applyFill="1"/>
    <xf numFmtId="0" fontId="8" fillId="8" borderId="0" xfId="0" applyFont="1" applyFill="1"/>
    <xf numFmtId="0" fontId="8" fillId="5" borderId="0" xfId="0" applyFont="1" applyFill="1"/>
    <xf numFmtId="0" fontId="8" fillId="4" borderId="0" xfId="0" applyFont="1" applyFill="1"/>
    <xf numFmtId="167" fontId="20" fillId="13" borderId="1" xfId="0" applyNumberFormat="1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173" fontId="20" fillId="11" borderId="1" xfId="0" applyNumberFormat="1" applyFont="1" applyFill="1" applyBorder="1" applyAlignment="1">
      <alignment horizontal="center" vertical="center"/>
    </xf>
    <xf numFmtId="174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center" vertical="center"/>
    </xf>
    <xf numFmtId="167" fontId="11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 wrapText="1"/>
    </xf>
    <xf numFmtId="0" fontId="9" fillId="13" borderId="1" xfId="0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167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7" borderId="2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/>
    </xf>
    <xf numFmtId="168" fontId="11" fillId="4" borderId="0" xfId="0" applyNumberFormat="1" applyFont="1" applyFill="1" applyAlignment="1">
      <alignment horizontal="center" vertical="center"/>
    </xf>
    <xf numFmtId="172" fontId="9" fillId="3" borderId="1" xfId="0" applyNumberFormat="1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0" fontId="14" fillId="4" borderId="2" xfId="0" applyFont="1" applyFill="1" applyBorder="1" applyAlignment="1">
      <alignment horizontal="left" vertical="center"/>
    </xf>
    <xf numFmtId="167" fontId="10" fillId="4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0" fontId="11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/>
    <xf numFmtId="0" fontId="4" fillId="2" borderId="0" xfId="0" applyFont="1" applyFill="1"/>
    <xf numFmtId="0" fontId="6" fillId="3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26" fillId="4" borderId="2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26" fillId="4" borderId="2" xfId="0" applyFont="1" applyFill="1" applyBorder="1" applyAlignment="1">
      <alignment horizontal="left" vertical="center"/>
    </xf>
    <xf numFmtId="177" fontId="11" fillId="2" borderId="0" xfId="0" applyNumberFormat="1" applyFont="1" applyFill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8" fillId="2" borderId="0" xfId="0" applyFont="1" applyFill="1"/>
    <xf numFmtId="0" fontId="9" fillId="3" borderId="0" xfId="0" applyFont="1" applyFill="1" applyAlignment="1">
      <alignment horizontal="center" vertical="center" wrapText="1"/>
    </xf>
    <xf numFmtId="165" fontId="10" fillId="4" borderId="0" xfId="0" applyNumberFormat="1" applyFont="1" applyFill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x14ac:dyDescent="0.35">
      <c r="A3" s="3"/>
      <c r="B3" s="4" t="s">
        <v>0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244" t="s">
        <v>1</v>
      </c>
      <c r="C9" s="244"/>
      <c r="D9" s="244"/>
      <c r="E9" s="244"/>
      <c r="F9" s="244"/>
      <c r="G9" s="244"/>
      <c r="H9" s="244"/>
      <c r="I9" s="3"/>
    </row>
    <row r="10" spans="1:9" x14ac:dyDescent="0.35">
      <c r="A10" s="3"/>
      <c r="B10" s="244"/>
      <c r="C10" s="244"/>
      <c r="D10" s="244"/>
      <c r="E10" s="244"/>
      <c r="F10" s="244"/>
      <c r="G10" s="244"/>
      <c r="H10" s="244"/>
      <c r="I10" s="3"/>
    </row>
    <row r="11" spans="1:9" x14ac:dyDescent="0.35">
      <c r="A11" s="3"/>
      <c r="B11" s="244"/>
      <c r="C11" s="244"/>
      <c r="D11" s="244"/>
      <c r="E11" s="244"/>
      <c r="F11" s="244"/>
      <c r="G11" s="244"/>
      <c r="H11" s="244"/>
      <c r="I11" s="3"/>
    </row>
    <row r="12" spans="1:9" x14ac:dyDescent="0.35">
      <c r="A12" s="3"/>
      <c r="B12" s="244"/>
      <c r="C12" s="244"/>
      <c r="D12" s="244"/>
      <c r="E12" s="244"/>
      <c r="F12" s="244"/>
      <c r="G12" s="244"/>
      <c r="H12" s="244"/>
      <c r="I12" s="3"/>
    </row>
    <row r="13" spans="1:9" x14ac:dyDescent="0.35">
      <c r="A13" s="3"/>
      <c r="B13" s="244"/>
      <c r="C13" s="244"/>
      <c r="D13" s="244"/>
      <c r="E13" s="244"/>
      <c r="F13" s="244"/>
      <c r="G13" s="244"/>
      <c r="H13" s="244"/>
      <c r="I13" s="3"/>
    </row>
    <row r="14" spans="1:9" x14ac:dyDescent="0.35">
      <c r="A14" s="3"/>
      <c r="B14" s="244"/>
      <c r="C14" s="244"/>
      <c r="D14" s="244"/>
      <c r="E14" s="244"/>
      <c r="F14" s="244"/>
      <c r="G14" s="244"/>
      <c r="H14" s="244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x14ac:dyDescent="0.4">
      <c r="A16" s="3"/>
      <c r="B16" s="245" t="s">
        <v>2</v>
      </c>
      <c r="C16" s="245"/>
      <c r="D16" s="245"/>
      <c r="E16" s="245"/>
      <c r="F16" s="245"/>
      <c r="G16" s="245"/>
      <c r="H16" s="245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246" t="s">
        <v>3</v>
      </c>
      <c r="C18" s="246"/>
      <c r="D18" s="246"/>
      <c r="E18" s="246"/>
      <c r="F18" s="246"/>
      <c r="G18" s="246"/>
      <c r="H18" s="246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x14ac:dyDescent="0.35">
      <c r="A27" s="3"/>
      <c r="B27" s="5" t="s">
        <v>4</v>
      </c>
      <c r="C27" s="246" t="s">
        <v>5</v>
      </c>
      <c r="D27" s="246"/>
      <c r="E27" s="246"/>
      <c r="F27" s="246"/>
      <c r="G27" s="246"/>
      <c r="H27" s="246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247" t="s">
        <v>6</v>
      </c>
      <c r="B1" s="247"/>
      <c r="C1" s="247"/>
      <c r="D1" s="247"/>
      <c r="E1" s="247"/>
      <c r="F1" s="247"/>
      <c r="G1" s="247"/>
      <c r="H1" s="247"/>
    </row>
    <row r="2" spans="1:8" ht="15.75" customHeight="1" x14ac:dyDescent="0.35">
      <c r="A2" s="248" t="s">
        <v>7</v>
      </c>
      <c r="B2" s="248"/>
      <c r="C2" s="248"/>
      <c r="D2" s="248"/>
      <c r="E2" s="248"/>
      <c r="F2" s="248"/>
      <c r="G2" s="248"/>
      <c r="H2" s="248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204" t="s">
        <v>8</v>
      </c>
      <c r="C4" s="204"/>
      <c r="D4" s="204"/>
      <c r="E4" s="204"/>
      <c r="F4" s="204"/>
      <c r="G4" s="204"/>
      <c r="H4" s="6"/>
    </row>
    <row r="5" spans="1:8" ht="18" customHeight="1" x14ac:dyDescent="0.35">
      <c r="A5" s="6"/>
      <c r="B5" s="206" t="s">
        <v>9</v>
      </c>
      <c r="C5" s="206"/>
      <c r="D5" s="249" t="s">
        <v>10</v>
      </c>
      <c r="E5" s="249"/>
      <c r="F5" s="249"/>
      <c r="G5" s="249"/>
      <c r="H5" s="6"/>
    </row>
    <row r="6" spans="1:8" ht="18" customHeight="1" x14ac:dyDescent="0.35">
      <c r="A6" s="6"/>
      <c r="B6" s="250" t="s">
        <v>11</v>
      </c>
      <c r="C6" s="250"/>
      <c r="D6" s="251">
        <v>46142</v>
      </c>
      <c r="E6" s="251"/>
      <c r="F6" s="251"/>
      <c r="G6" s="251"/>
      <c r="H6" s="6"/>
    </row>
    <row r="7" spans="1:8" ht="18" customHeight="1" x14ac:dyDescent="0.35">
      <c r="A7" s="6"/>
      <c r="B7" s="206" t="s">
        <v>12</v>
      </c>
      <c r="C7" s="206"/>
      <c r="D7" s="249" t="s">
        <v>13</v>
      </c>
      <c r="E7" s="249"/>
      <c r="F7" s="249"/>
      <c r="G7" s="249"/>
      <c r="H7" s="6"/>
    </row>
    <row r="8" spans="1:8" ht="18" customHeight="1" x14ac:dyDescent="0.35">
      <c r="A8" s="6"/>
      <c r="B8" s="250" t="s">
        <v>14</v>
      </c>
      <c r="C8" s="250"/>
      <c r="D8" s="252">
        <f>'Input Data'!B53</f>
        <v>0</v>
      </c>
      <c r="E8" s="252"/>
      <c r="F8" s="252"/>
      <c r="G8" s="252"/>
      <c r="H8" s="6"/>
    </row>
    <row r="9" spans="1:8" ht="18" customHeight="1" x14ac:dyDescent="0.35">
      <c r="A9" s="6"/>
      <c r="B9" s="206" t="s">
        <v>15</v>
      </c>
      <c r="C9" s="206"/>
      <c r="D9" s="249">
        <f>'Input Data'!B54</f>
        <v>0</v>
      </c>
      <c r="E9" s="249"/>
      <c r="F9" s="249"/>
      <c r="G9" s="249"/>
      <c r="H9" s="6"/>
    </row>
    <row r="10" spans="1:8" ht="18" customHeight="1" x14ac:dyDescent="0.35">
      <c r="A10" s="6"/>
      <c r="B10" s="250" t="s">
        <v>16</v>
      </c>
      <c r="C10" s="250"/>
      <c r="D10" s="252">
        <f>'Input Data'!V53</f>
        <v>0</v>
      </c>
      <c r="E10" s="252"/>
      <c r="F10" s="252"/>
      <c r="G10" s="252"/>
      <c r="H10" s="6"/>
    </row>
    <row r="11" spans="1:8" ht="18" customHeight="1" x14ac:dyDescent="0.35">
      <c r="A11" s="6"/>
      <c r="B11" s="206" t="s">
        <v>17</v>
      </c>
      <c r="C11" s="206"/>
      <c r="D11" s="249">
        <f>'Input Data'!K53</f>
        <v>0</v>
      </c>
      <c r="E11" s="249"/>
      <c r="F11" s="249"/>
      <c r="G11" s="249"/>
      <c r="H11" s="6"/>
    </row>
    <row r="12" spans="1:8" ht="18" customHeight="1" x14ac:dyDescent="0.35">
      <c r="A12" s="6"/>
      <c r="B12" s="250" t="s">
        <v>18</v>
      </c>
      <c r="C12" s="250"/>
      <c r="D12" s="252" t="s">
        <v>19</v>
      </c>
      <c r="E12" s="252"/>
      <c r="F12" s="252"/>
      <c r="G12" s="252"/>
      <c r="H12" s="6"/>
    </row>
    <row r="13" spans="1:8" ht="18" customHeight="1" x14ac:dyDescent="0.35">
      <c r="A13" s="6"/>
      <c r="B13" s="206" t="s">
        <v>20</v>
      </c>
      <c r="C13" s="206"/>
      <c r="D13" s="249" t="s">
        <v>21</v>
      </c>
      <c r="E13" s="249"/>
      <c r="F13" s="249"/>
      <c r="G13" s="249"/>
      <c r="H13" s="6"/>
    </row>
    <row r="14" spans="1:8" ht="18" customHeight="1" x14ac:dyDescent="0.35">
      <c r="A14" s="6"/>
      <c r="B14" s="250" t="s">
        <v>22</v>
      </c>
      <c r="C14" s="250"/>
      <c r="D14" s="253"/>
      <c r="E14" s="253"/>
      <c r="F14" s="253"/>
      <c r="G14" s="253"/>
      <c r="H14" s="6"/>
    </row>
    <row r="15" spans="1:8" ht="18" customHeight="1" x14ac:dyDescent="0.35">
      <c r="A15" s="6"/>
      <c r="B15" s="206" t="s">
        <v>23</v>
      </c>
      <c r="C15" s="206"/>
      <c r="D15" s="253"/>
      <c r="E15" s="253"/>
      <c r="F15" s="253"/>
      <c r="G15" s="253"/>
      <c r="H15" s="6"/>
    </row>
    <row r="16" spans="1:8" ht="18" customHeight="1" x14ac:dyDescent="0.35">
      <c r="A16" s="6"/>
      <c r="B16" s="250" t="s">
        <v>24</v>
      </c>
      <c r="C16" s="250"/>
      <c r="D16" s="254"/>
      <c r="E16" s="254"/>
      <c r="F16" s="254"/>
      <c r="G16" s="254"/>
      <c r="H16" s="6"/>
    </row>
    <row r="17" spans="1:8" ht="7.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19.5" customHeight="1" x14ac:dyDescent="0.35">
      <c r="A18" s="6"/>
      <c r="B18" s="204" t="s">
        <v>25</v>
      </c>
      <c r="C18" s="204"/>
      <c r="D18" s="204"/>
      <c r="E18" s="204"/>
      <c r="F18" s="204"/>
      <c r="G18" s="204"/>
      <c r="H18" s="6"/>
    </row>
    <row r="19" spans="1:8" ht="24" customHeight="1" x14ac:dyDescent="0.35">
      <c r="A19" s="6"/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6"/>
    </row>
    <row r="20" spans="1:8" ht="18" customHeight="1" x14ac:dyDescent="0.35">
      <c r="A20" s="6"/>
      <c r="B20" s="11">
        <v>46142</v>
      </c>
      <c r="C20" s="12"/>
      <c r="D20" s="13" t="s">
        <v>32</v>
      </c>
      <c r="E20" s="13" t="s">
        <v>33</v>
      </c>
      <c r="F20" s="13" t="s">
        <v>34</v>
      </c>
      <c r="G20" s="14" t="s">
        <v>35</v>
      </c>
      <c r="H20" s="6"/>
    </row>
    <row r="21" spans="1:8" ht="18" customHeight="1" x14ac:dyDescent="0.35">
      <c r="A21" s="6"/>
      <c r="B21" s="15"/>
      <c r="C21" s="15"/>
      <c r="D21" s="15"/>
      <c r="E21" s="15"/>
      <c r="F21" s="15"/>
      <c r="G21" s="15"/>
      <c r="H21" s="6"/>
    </row>
    <row r="22" spans="1:8" ht="18" customHeight="1" x14ac:dyDescent="0.35">
      <c r="A22" s="6"/>
      <c r="B22" s="1"/>
      <c r="C22" s="1"/>
      <c r="D22" s="1"/>
      <c r="E22" s="1"/>
      <c r="F22" s="1"/>
      <c r="G22" s="1"/>
      <c r="H22" s="6"/>
    </row>
    <row r="23" spans="1:8" ht="18" customHeight="1" x14ac:dyDescent="0.35">
      <c r="A23" s="6"/>
      <c r="B23" s="15"/>
      <c r="C23" s="15"/>
      <c r="D23" s="15"/>
      <c r="E23" s="15"/>
      <c r="F23" s="15"/>
      <c r="G23" s="15"/>
      <c r="H23" s="6"/>
    </row>
    <row r="24" spans="1:8" ht="18" customHeight="1" x14ac:dyDescent="0.35">
      <c r="A24" s="6"/>
      <c r="B24" s="1"/>
      <c r="C24" s="1"/>
      <c r="D24" s="1"/>
      <c r="E24" s="1"/>
      <c r="F24" s="1"/>
      <c r="G24" s="1"/>
      <c r="H24" s="6"/>
    </row>
    <row r="25" spans="1:8" ht="18" customHeight="1" x14ac:dyDescent="0.35">
      <c r="A25" s="6"/>
      <c r="B25" s="15"/>
      <c r="C25" s="15"/>
      <c r="D25" s="15"/>
      <c r="E25" s="15"/>
      <c r="F25" s="15"/>
      <c r="G25" s="15"/>
      <c r="H25" s="6"/>
    </row>
    <row r="26" spans="1:8" ht="18" customHeight="1" x14ac:dyDescent="0.35">
      <c r="A26" s="6"/>
      <c r="B26" s="1"/>
      <c r="C26" s="1"/>
      <c r="D26" s="1"/>
      <c r="E26" s="1"/>
      <c r="F26" s="1"/>
      <c r="G26" s="1"/>
      <c r="H26" s="6"/>
    </row>
    <row r="27" spans="1:8" ht="18" customHeight="1" x14ac:dyDescent="0.35">
      <c r="A27" s="6"/>
      <c r="B27" s="15"/>
      <c r="C27" s="15"/>
      <c r="D27" s="15"/>
      <c r="E27" s="15"/>
      <c r="F27" s="15"/>
      <c r="G27" s="15"/>
      <c r="H27" s="6"/>
    </row>
    <row r="28" spans="1:8" ht="18" customHeight="1" x14ac:dyDescent="0.35">
      <c r="A28" s="6"/>
      <c r="B28" s="1"/>
      <c r="C28" s="1"/>
      <c r="D28" s="1"/>
      <c r="E28" s="1"/>
      <c r="F28" s="1"/>
      <c r="G28" s="1"/>
      <c r="H28" s="6"/>
    </row>
    <row r="29" spans="1:8" ht="18" customHeight="1" x14ac:dyDescent="0.35">
      <c r="A29" s="6"/>
      <c r="B29" s="15"/>
      <c r="C29" s="15"/>
      <c r="D29" s="15"/>
      <c r="E29" s="15"/>
      <c r="F29" s="15"/>
      <c r="G29" s="15"/>
      <c r="H29" s="6"/>
    </row>
    <row r="30" spans="1:8" ht="18" customHeight="1" x14ac:dyDescent="0.35">
      <c r="A30" s="6"/>
      <c r="B30" s="1"/>
      <c r="C30" s="1"/>
      <c r="D30" s="1"/>
      <c r="E30" s="1"/>
      <c r="F30" s="1"/>
      <c r="G30" s="1"/>
      <c r="H30" s="6"/>
    </row>
    <row r="31" spans="1:8" ht="18" customHeight="1" x14ac:dyDescent="0.35">
      <c r="A31" s="6"/>
      <c r="B31" s="15"/>
      <c r="C31" s="15"/>
      <c r="D31" s="15"/>
      <c r="E31" s="15"/>
      <c r="F31" s="15"/>
      <c r="G31" s="15"/>
      <c r="H31" s="6"/>
    </row>
    <row r="32" spans="1:8" ht="18" customHeight="1" x14ac:dyDescent="0.35">
      <c r="A32" s="6"/>
      <c r="B32" s="1"/>
      <c r="C32" s="1"/>
      <c r="D32" s="1"/>
      <c r="E32" s="1"/>
      <c r="F32" s="1"/>
      <c r="G32" s="1"/>
      <c r="H32" s="6"/>
    </row>
    <row r="33" spans="1:8" ht="18" customHeight="1" x14ac:dyDescent="0.35">
      <c r="A33" s="6"/>
      <c r="B33" s="15"/>
      <c r="C33" s="15"/>
      <c r="D33" s="15"/>
      <c r="E33" s="15"/>
      <c r="F33" s="15"/>
      <c r="G33" s="15"/>
      <c r="H33" s="6"/>
    </row>
    <row r="34" spans="1:8" ht="18" customHeight="1" x14ac:dyDescent="0.35">
      <c r="A34" s="6"/>
      <c r="B34" s="1"/>
      <c r="C34" s="1"/>
      <c r="D34" s="1"/>
      <c r="E34" s="1"/>
      <c r="F34" s="1"/>
      <c r="G34" s="1"/>
      <c r="H34" s="6"/>
    </row>
    <row r="35" spans="1:8" ht="18" customHeight="1" x14ac:dyDescent="0.35">
      <c r="A35" s="6"/>
      <c r="B35" s="15"/>
      <c r="C35" s="15"/>
      <c r="D35" s="15"/>
      <c r="E35" s="15"/>
      <c r="F35" s="15"/>
      <c r="G35" s="15"/>
      <c r="H35" s="6"/>
    </row>
    <row r="36" spans="1:8" ht="18" customHeight="1" x14ac:dyDescent="0.35">
      <c r="A36" s="6"/>
      <c r="B36" s="1"/>
      <c r="C36" s="1"/>
      <c r="D36" s="1"/>
      <c r="E36" s="1"/>
      <c r="F36" s="1"/>
      <c r="G36" s="1"/>
      <c r="H36" s="6"/>
    </row>
    <row r="37" spans="1:8" ht="18" customHeight="1" x14ac:dyDescent="0.35">
      <c r="A37" s="6"/>
      <c r="B37" s="15"/>
      <c r="C37" s="15"/>
      <c r="D37" s="15"/>
      <c r="E37" s="15"/>
      <c r="F37" s="15"/>
      <c r="G37" s="15"/>
      <c r="H37" s="6"/>
    </row>
    <row r="38" spans="1:8" ht="7.5" customHeight="1" x14ac:dyDescent="0.35">
      <c r="A38" s="6"/>
      <c r="B38" s="6"/>
      <c r="C38" s="6"/>
      <c r="D38" s="6"/>
      <c r="E38" s="6"/>
      <c r="F38" s="6"/>
      <c r="G38" s="6"/>
      <c r="H38" s="6"/>
    </row>
    <row r="39" spans="1:8" ht="19.5" customHeight="1" x14ac:dyDescent="0.35">
      <c r="A39" s="6"/>
      <c r="B39" s="204" t="s">
        <v>36</v>
      </c>
      <c r="C39" s="204"/>
      <c r="D39" s="204"/>
      <c r="E39" s="204"/>
      <c r="F39" s="204"/>
      <c r="G39" s="204"/>
      <c r="H39" s="6"/>
    </row>
    <row r="40" spans="1:8" ht="18" customHeight="1" x14ac:dyDescent="0.35">
      <c r="A40" s="6"/>
      <c r="B40" s="16" t="s">
        <v>37</v>
      </c>
      <c r="C40" s="224" t="s">
        <v>38</v>
      </c>
      <c r="D40" s="224"/>
      <c r="E40" s="224"/>
      <c r="F40" s="224"/>
      <c r="G40" s="224"/>
      <c r="H40" s="6"/>
    </row>
    <row r="41" spans="1:8" ht="18" customHeight="1" x14ac:dyDescent="0.35">
      <c r="A41" s="6"/>
      <c r="B41" s="18" t="s">
        <v>39</v>
      </c>
      <c r="C41" s="227" t="s">
        <v>40</v>
      </c>
      <c r="D41" s="227"/>
      <c r="E41" s="227"/>
      <c r="F41" s="227"/>
      <c r="G41" s="227"/>
      <c r="H41" s="6"/>
    </row>
    <row r="42" spans="1:8" ht="18" customHeight="1" x14ac:dyDescent="0.35">
      <c r="A42" s="6"/>
      <c r="B42" s="16" t="s">
        <v>41</v>
      </c>
      <c r="C42" s="224" t="s">
        <v>42</v>
      </c>
      <c r="D42" s="224"/>
      <c r="E42" s="224"/>
      <c r="F42" s="224"/>
      <c r="G42" s="224"/>
      <c r="H42" s="6"/>
    </row>
    <row r="43" spans="1:8" ht="18" customHeight="1" x14ac:dyDescent="0.35">
      <c r="A43" s="6"/>
      <c r="B43" s="18" t="s">
        <v>43</v>
      </c>
      <c r="C43" s="227" t="s">
        <v>44</v>
      </c>
      <c r="D43" s="227"/>
      <c r="E43" s="227"/>
      <c r="F43" s="227"/>
      <c r="G43" s="227"/>
      <c r="H43" s="6"/>
    </row>
    <row r="44" spans="1:8" ht="18" customHeight="1" x14ac:dyDescent="0.35">
      <c r="A44" s="6"/>
      <c r="B44" s="16" t="s">
        <v>45</v>
      </c>
      <c r="C44" s="224" t="s">
        <v>46</v>
      </c>
      <c r="D44" s="224"/>
      <c r="E44" s="224"/>
      <c r="F44" s="224"/>
      <c r="G44" s="224"/>
      <c r="H44" s="6"/>
    </row>
    <row r="45" spans="1:8" ht="18" customHeight="1" x14ac:dyDescent="0.35">
      <c r="A45" s="6"/>
      <c r="B45" s="18" t="s">
        <v>47</v>
      </c>
      <c r="C45" s="227" t="s">
        <v>48</v>
      </c>
      <c r="D45" s="227"/>
      <c r="E45" s="227"/>
      <c r="F45" s="227"/>
      <c r="G45" s="227"/>
      <c r="H45" s="6"/>
    </row>
    <row r="46" spans="1:8" ht="18" customHeight="1" x14ac:dyDescent="0.35">
      <c r="A46" s="6"/>
      <c r="B46" s="16" t="s">
        <v>49</v>
      </c>
      <c r="C46" s="224" t="s">
        <v>50</v>
      </c>
      <c r="D46" s="224"/>
      <c r="E46" s="224"/>
      <c r="F46" s="224"/>
      <c r="G46" s="224"/>
      <c r="H46" s="6"/>
    </row>
    <row r="47" spans="1:8" ht="18" customHeight="1" x14ac:dyDescent="0.35">
      <c r="A47" s="6"/>
      <c r="B47" s="18" t="s">
        <v>51</v>
      </c>
      <c r="C47" s="227" t="s">
        <v>52</v>
      </c>
      <c r="D47" s="227"/>
      <c r="E47" s="227"/>
      <c r="F47" s="227"/>
      <c r="G47" s="227"/>
      <c r="H47" s="6"/>
    </row>
    <row r="48" spans="1:8" ht="18" customHeight="1" x14ac:dyDescent="0.35">
      <c r="A48" s="6"/>
      <c r="B48" s="16" t="s">
        <v>53</v>
      </c>
      <c r="C48" s="224" t="s">
        <v>54</v>
      </c>
      <c r="D48" s="224"/>
      <c r="E48" s="224"/>
      <c r="F48" s="224"/>
      <c r="G48" s="224"/>
      <c r="H48" s="6"/>
    </row>
    <row r="49" spans="1:8" ht="18" customHeight="1" x14ac:dyDescent="0.35">
      <c r="A49" s="6"/>
      <c r="B49" s="18" t="s">
        <v>55</v>
      </c>
      <c r="C49" s="227" t="s">
        <v>56</v>
      </c>
      <c r="D49" s="227"/>
      <c r="E49" s="227"/>
      <c r="F49" s="227"/>
      <c r="G49" s="227"/>
      <c r="H49" s="6"/>
    </row>
  </sheetData>
  <mergeCells count="39">
    <mergeCell ref="C49:G49"/>
    <mergeCell ref="C44:G44"/>
    <mergeCell ref="C45:G45"/>
    <mergeCell ref="C46:G46"/>
    <mergeCell ref="C47:G47"/>
    <mergeCell ref="C48:G48"/>
    <mergeCell ref="B39:G39"/>
    <mergeCell ref="C40:G40"/>
    <mergeCell ref="C41:G41"/>
    <mergeCell ref="C42:G42"/>
    <mergeCell ref="C43:G43"/>
    <mergeCell ref="B15:C15"/>
    <mergeCell ref="D15:G15"/>
    <mergeCell ref="B16:C16"/>
    <mergeCell ref="D16:G16"/>
    <mergeCell ref="B18:G18"/>
    <mergeCell ref="B12:C12"/>
    <mergeCell ref="D12:G12"/>
    <mergeCell ref="B13:C13"/>
    <mergeCell ref="D13:G13"/>
    <mergeCell ref="B14:C14"/>
    <mergeCell ref="D14:G14"/>
    <mergeCell ref="B9:C9"/>
    <mergeCell ref="D9:G9"/>
    <mergeCell ref="B10:C10"/>
    <mergeCell ref="D10:G10"/>
    <mergeCell ref="B11:C11"/>
    <mergeCell ref="D11:G11"/>
    <mergeCell ref="B6:C6"/>
    <mergeCell ref="D6:G6"/>
    <mergeCell ref="B7:C7"/>
    <mergeCell ref="D7:G7"/>
    <mergeCell ref="B8:C8"/>
    <mergeCell ref="D8:G8"/>
    <mergeCell ref="A1:H1"/>
    <mergeCell ref="A2:H2"/>
    <mergeCell ref="B4:G4"/>
    <mergeCell ref="B5:C5"/>
    <mergeCell ref="D5:G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tabSelected="1" zoomScale="85" zoomScaleNormal="85" workbookViewId="0">
      <pane ySplit="2" topLeftCell="A3" activePane="bottomLeft" state="frozen"/>
      <selection pane="bottomLeft" activeCell="G16" sqref="G16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7" width="20" bestFit="1" customWidth="1"/>
    <col min="8" max="8" width="16.36328125" bestFit="1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20.26953125" bestFit="1" customWidth="1"/>
    <col min="31" max="31" width="9" customWidth="1"/>
    <col min="32" max="32" width="8.984375E-2" customWidth="1"/>
  </cols>
  <sheetData>
    <row r="1" spans="1:32" ht="27.75" customHeight="1" x14ac:dyDescent="0.35">
      <c r="A1" s="247" t="s">
        <v>57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6"/>
      <c r="AD1" s="6"/>
      <c r="AE1" s="6"/>
      <c r="AF1" s="6"/>
    </row>
    <row r="2" spans="1:32" ht="31.5" customHeight="1" x14ac:dyDescent="0.35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73</v>
      </c>
      <c r="Q2" s="2" t="s">
        <v>74</v>
      </c>
      <c r="R2" s="2" t="s">
        <v>75</v>
      </c>
      <c r="S2" s="2" t="s">
        <v>76</v>
      </c>
      <c r="T2" s="2" t="s">
        <v>77</v>
      </c>
      <c r="U2" s="2" t="s">
        <v>78</v>
      </c>
      <c r="V2" s="2" t="s">
        <v>79</v>
      </c>
      <c r="W2" s="2" t="s">
        <v>80</v>
      </c>
      <c r="X2" s="2" t="s">
        <v>81</v>
      </c>
      <c r="Y2" s="2" t="s">
        <v>82</v>
      </c>
      <c r="Z2" s="2" t="s">
        <v>83</v>
      </c>
      <c r="AA2" s="2" t="s">
        <v>84</v>
      </c>
      <c r="AB2" s="2" t="s">
        <v>85</v>
      </c>
      <c r="AC2" s="20" t="s">
        <v>86</v>
      </c>
      <c r="AD2" s="20" t="s">
        <v>87</v>
      </c>
      <c r="AE2" s="20" t="s">
        <v>88</v>
      </c>
      <c r="AF2" s="20" t="s">
        <v>89</v>
      </c>
    </row>
    <row r="3" spans="1:32" ht="15.75" customHeight="1" x14ac:dyDescent="0.35">
      <c r="A3" s="13" t="s">
        <v>90</v>
      </c>
      <c r="B3" s="13" t="s">
        <v>91</v>
      </c>
      <c r="C3" s="13" t="s">
        <v>92</v>
      </c>
      <c r="D3" s="21" t="s">
        <v>93</v>
      </c>
      <c r="E3" s="21" t="s">
        <v>94</v>
      </c>
      <c r="F3" s="22">
        <v>107.7</v>
      </c>
      <c r="G3" s="23">
        <v>44013</v>
      </c>
      <c r="H3" s="23">
        <v>47118</v>
      </c>
      <c r="I3" s="24">
        <v>8.5</v>
      </c>
      <c r="J3" s="25">
        <v>1342.25</v>
      </c>
      <c r="K3" s="25">
        <f t="shared" ref="K3:K24" si="0">IF(J3&gt;0,J3*F3,0)</f>
        <v>144560.32500000001</v>
      </c>
      <c r="L3" s="25">
        <v>0</v>
      </c>
      <c r="M3" s="25">
        <v>7243.9</v>
      </c>
      <c r="N3" s="25">
        <v>0</v>
      </c>
      <c r="O3" s="25">
        <v>8685.24</v>
      </c>
      <c r="P3" s="25">
        <v>3030</v>
      </c>
      <c r="Q3" s="25">
        <f t="shared" ref="Q3:Q24" si="1">K3+L3+M3+N3+O3+P3</f>
        <v>163519.465</v>
      </c>
      <c r="R3" s="13">
        <v>1</v>
      </c>
      <c r="S3" s="14" t="s">
        <v>95</v>
      </c>
      <c r="T3" s="23">
        <v>46204</v>
      </c>
      <c r="U3" s="14" t="s">
        <v>96</v>
      </c>
      <c r="V3" s="26">
        <f t="shared" ref="V3:V24" ca="1" si="2">IFERROR(MAX((H3-TODAY())/365.25,0),0)</f>
        <v>2.5051334702258727</v>
      </c>
      <c r="W3" s="22">
        <f t="shared" ref="W3:W24" ca="1" si="3">F3*V3</f>
        <v>269.80287474332653</v>
      </c>
      <c r="X3" s="25">
        <v>950</v>
      </c>
      <c r="Y3" s="25">
        <f t="shared" ref="Y3:Y24" si="4">IF(J3&gt;0,J3-X3,0)</f>
        <v>392.25</v>
      </c>
      <c r="Z3" s="27">
        <f t="shared" ref="Z3:Z24" si="5">IFERROR(IF(J3&gt;0,(J3-X3)/X3,0),0)</f>
        <v>0.41289473684210526</v>
      </c>
      <c r="AA3" s="25" t="s">
        <v>97</v>
      </c>
      <c r="AB3" s="14" t="s">
        <v>98</v>
      </c>
      <c r="AC3" s="28" t="str">
        <f t="shared" ref="AC3:AC24" ca="1" si="6">IF(AD3="","VACANT",IF(AD3&lt;TODAY(),"EXPIRED","ACTIVE"))</f>
        <v>ACTIVE</v>
      </c>
      <c r="AD3" s="29">
        <v>47118</v>
      </c>
      <c r="AE3" s="30">
        <v>1342.25</v>
      </c>
      <c r="AF3" s="31" t="s">
        <v>99</v>
      </c>
    </row>
    <row r="4" spans="1:32" ht="15.75" customHeight="1" x14ac:dyDescent="0.35">
      <c r="A4" s="32" t="s">
        <v>100</v>
      </c>
      <c r="B4" s="32" t="s">
        <v>91</v>
      </c>
      <c r="C4" s="32" t="s">
        <v>101</v>
      </c>
      <c r="D4" s="33" t="s">
        <v>102</v>
      </c>
      <c r="E4" s="33" t="s">
        <v>102</v>
      </c>
      <c r="F4" s="34">
        <v>795.5</v>
      </c>
      <c r="G4" s="35">
        <v>44378</v>
      </c>
      <c r="H4" s="35">
        <v>48029</v>
      </c>
      <c r="I4" s="36">
        <v>10</v>
      </c>
      <c r="J4" s="37">
        <v>855.7</v>
      </c>
      <c r="K4" s="37">
        <f t="shared" si="0"/>
        <v>680709.35000000009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f t="shared" si="1"/>
        <v>680709.35000000009</v>
      </c>
      <c r="R4" s="32">
        <v>0</v>
      </c>
      <c r="S4" s="17" t="s">
        <v>95</v>
      </c>
      <c r="T4" s="35">
        <v>46204</v>
      </c>
      <c r="U4" s="17" t="s">
        <v>103</v>
      </c>
      <c r="V4" s="38">
        <f t="shared" ca="1" si="2"/>
        <v>4.9993155373032172</v>
      </c>
      <c r="W4" s="34">
        <f t="shared" ca="1" si="3"/>
        <v>3976.9555099247091</v>
      </c>
      <c r="X4" s="37">
        <v>870</v>
      </c>
      <c r="Y4" s="37">
        <f t="shared" si="4"/>
        <v>-14.299999999999955</v>
      </c>
      <c r="Z4" s="39">
        <f t="shared" si="5"/>
        <v>-1.6436781609195351E-2</v>
      </c>
      <c r="AA4" s="37" t="s">
        <v>104</v>
      </c>
      <c r="AB4" s="17" t="s">
        <v>105</v>
      </c>
      <c r="AC4" s="28" t="str">
        <f t="shared" ca="1" si="6"/>
        <v>ACTIVE</v>
      </c>
      <c r="AD4" s="40">
        <v>48029</v>
      </c>
      <c r="AE4" s="30">
        <v>855.7</v>
      </c>
      <c r="AF4" s="31" t="s">
        <v>106</v>
      </c>
    </row>
    <row r="5" spans="1:32" ht="15.75" customHeight="1" x14ac:dyDescent="0.35">
      <c r="A5" s="13" t="s">
        <v>107</v>
      </c>
      <c r="B5" s="13" t="s">
        <v>108</v>
      </c>
      <c r="C5" s="13" t="s">
        <v>109</v>
      </c>
      <c r="D5" s="21" t="s">
        <v>102</v>
      </c>
      <c r="E5" s="21" t="s">
        <v>102</v>
      </c>
      <c r="F5" s="22">
        <v>1047</v>
      </c>
      <c r="G5" s="23">
        <v>44378</v>
      </c>
      <c r="H5" s="23">
        <v>48029</v>
      </c>
      <c r="I5" s="24">
        <v>10</v>
      </c>
      <c r="J5" s="25">
        <v>855.7</v>
      </c>
      <c r="K5" s="25">
        <f t="shared" si="0"/>
        <v>895917.9</v>
      </c>
      <c r="L5" s="25">
        <v>0</v>
      </c>
      <c r="M5" s="25">
        <v>0</v>
      </c>
      <c r="N5" s="25">
        <v>0</v>
      </c>
      <c r="O5" s="25">
        <v>10160.4</v>
      </c>
      <c r="P5" s="25">
        <v>0</v>
      </c>
      <c r="Q5" s="25">
        <f t="shared" si="1"/>
        <v>906078.3</v>
      </c>
      <c r="R5" s="13">
        <v>1</v>
      </c>
      <c r="S5" s="14" t="s">
        <v>95</v>
      </c>
      <c r="T5" s="23">
        <v>46204</v>
      </c>
      <c r="U5" s="14" t="s">
        <v>103</v>
      </c>
      <c r="V5" s="26">
        <f t="shared" ca="1" si="2"/>
        <v>4.9993155373032172</v>
      </c>
      <c r="W5" s="22">
        <f t="shared" ca="1" si="3"/>
        <v>5234.283367556468</v>
      </c>
      <c r="X5" s="25">
        <v>870</v>
      </c>
      <c r="Y5" s="25">
        <f t="shared" si="4"/>
        <v>-14.299999999999955</v>
      </c>
      <c r="Z5" s="27">
        <f t="shared" si="5"/>
        <v>-1.6436781609195351E-2</v>
      </c>
      <c r="AA5" s="25" t="s">
        <v>104</v>
      </c>
      <c r="AB5" s="14" t="s">
        <v>110</v>
      </c>
      <c r="AC5" s="28" t="str">
        <f t="shared" ca="1" si="6"/>
        <v>ACTIVE</v>
      </c>
      <c r="AD5" s="29">
        <v>48029</v>
      </c>
      <c r="AE5" s="30">
        <v>855.7</v>
      </c>
      <c r="AF5" s="31" t="s">
        <v>111</v>
      </c>
    </row>
    <row r="6" spans="1:32" ht="15.75" customHeight="1" x14ac:dyDescent="0.35">
      <c r="A6" s="32" t="s">
        <v>112</v>
      </c>
      <c r="B6" s="32" t="s">
        <v>113</v>
      </c>
      <c r="C6" s="32" t="s">
        <v>114</v>
      </c>
      <c r="D6" s="33" t="s">
        <v>102</v>
      </c>
      <c r="E6" s="33" t="s">
        <v>115</v>
      </c>
      <c r="F6" s="34">
        <v>437.1</v>
      </c>
      <c r="G6" s="35">
        <v>44378</v>
      </c>
      <c r="H6" s="35">
        <v>48029</v>
      </c>
      <c r="I6" s="36">
        <v>10</v>
      </c>
      <c r="J6" s="37">
        <v>855.7</v>
      </c>
      <c r="K6" s="37">
        <f t="shared" si="0"/>
        <v>374026.47000000003</v>
      </c>
      <c r="L6" s="37">
        <v>0</v>
      </c>
      <c r="M6" s="37">
        <v>0</v>
      </c>
      <c r="N6" s="37">
        <v>0</v>
      </c>
      <c r="O6" s="37">
        <v>0</v>
      </c>
      <c r="P6" s="37">
        <v>3030</v>
      </c>
      <c r="Q6" s="37">
        <f t="shared" si="1"/>
        <v>377056.47000000003</v>
      </c>
      <c r="R6" s="32">
        <v>0</v>
      </c>
      <c r="S6" s="17" t="s">
        <v>95</v>
      </c>
      <c r="T6" s="35">
        <v>46204</v>
      </c>
      <c r="U6" s="17" t="s">
        <v>103</v>
      </c>
      <c r="V6" s="38">
        <f t="shared" ca="1" si="2"/>
        <v>4.9993155373032172</v>
      </c>
      <c r="W6" s="34">
        <f t="shared" ca="1" si="3"/>
        <v>2185.2008213552363</v>
      </c>
      <c r="X6" s="37">
        <v>870</v>
      </c>
      <c r="Y6" s="37">
        <f t="shared" si="4"/>
        <v>-14.299999999999955</v>
      </c>
      <c r="Z6" s="39">
        <f t="shared" si="5"/>
        <v>-1.6436781609195351E-2</v>
      </c>
      <c r="AA6" s="37" t="s">
        <v>104</v>
      </c>
      <c r="AB6" s="17" t="s">
        <v>116</v>
      </c>
      <c r="AC6" s="28" t="str">
        <f t="shared" ca="1" si="6"/>
        <v>ACTIVE</v>
      </c>
      <c r="AD6" s="40">
        <v>48029</v>
      </c>
      <c r="AE6" s="30">
        <v>855.7</v>
      </c>
      <c r="AF6" s="31" t="s">
        <v>117</v>
      </c>
    </row>
    <row r="7" spans="1:32" ht="15.75" customHeight="1" x14ac:dyDescent="0.35">
      <c r="A7" s="13" t="s">
        <v>118</v>
      </c>
      <c r="B7" s="13" t="s">
        <v>113</v>
      </c>
      <c r="C7" s="13" t="s">
        <v>119</v>
      </c>
      <c r="D7" s="21" t="s">
        <v>120</v>
      </c>
      <c r="E7" s="21" t="s">
        <v>121</v>
      </c>
      <c r="F7" s="22">
        <v>229.8</v>
      </c>
      <c r="G7" s="23">
        <v>45444</v>
      </c>
      <c r="H7" s="23">
        <v>47269</v>
      </c>
      <c r="I7" s="24">
        <v>5</v>
      </c>
      <c r="J7" s="25">
        <v>877.01</v>
      </c>
      <c r="K7" s="25">
        <f t="shared" si="0"/>
        <v>201536.89800000002</v>
      </c>
      <c r="L7" s="25">
        <v>0</v>
      </c>
      <c r="M7" s="25">
        <v>15474.73</v>
      </c>
      <c r="N7" s="25">
        <v>3274.65</v>
      </c>
      <c r="O7" s="25">
        <v>0</v>
      </c>
      <c r="P7" s="25">
        <v>3030</v>
      </c>
      <c r="Q7" s="25">
        <f t="shared" si="1"/>
        <v>223316.27800000002</v>
      </c>
      <c r="R7" s="13">
        <v>1</v>
      </c>
      <c r="S7" s="14" t="s">
        <v>122</v>
      </c>
      <c r="T7" s="23">
        <v>45809</v>
      </c>
      <c r="U7" s="14" t="s">
        <v>123</v>
      </c>
      <c r="V7" s="26">
        <f t="shared" ca="1" si="2"/>
        <v>2.9185489390828199</v>
      </c>
      <c r="W7" s="22">
        <f t="shared" ca="1" si="3"/>
        <v>670.68254620123207</v>
      </c>
      <c r="X7" s="25">
        <v>950</v>
      </c>
      <c r="Y7" s="25">
        <f t="shared" si="4"/>
        <v>-72.990000000000009</v>
      </c>
      <c r="Z7" s="27">
        <f t="shared" si="5"/>
        <v>-7.6831578947368431E-2</v>
      </c>
      <c r="AA7" s="25" t="s">
        <v>124</v>
      </c>
      <c r="AB7" s="14" t="s">
        <v>125</v>
      </c>
      <c r="AC7" s="28" t="str">
        <f t="shared" ca="1" si="6"/>
        <v>ACTIVE</v>
      </c>
      <c r="AD7" s="29">
        <v>47269</v>
      </c>
      <c r="AE7" s="30">
        <v>877.01</v>
      </c>
      <c r="AF7" s="31" t="s">
        <v>126</v>
      </c>
    </row>
    <row r="8" spans="1:32" ht="15.75" customHeight="1" x14ac:dyDescent="0.35">
      <c r="A8" s="32" t="s">
        <v>127</v>
      </c>
      <c r="B8" s="32" t="s">
        <v>113</v>
      </c>
      <c r="C8" s="32" t="s">
        <v>128</v>
      </c>
      <c r="D8" s="33" t="s">
        <v>129</v>
      </c>
      <c r="E8" s="33" t="s">
        <v>129</v>
      </c>
      <c r="F8" s="34">
        <v>413.5</v>
      </c>
      <c r="G8" s="35">
        <v>45352</v>
      </c>
      <c r="H8" s="35">
        <v>47177</v>
      </c>
      <c r="I8" s="36">
        <v>5</v>
      </c>
      <c r="J8" s="37">
        <v>1005.89</v>
      </c>
      <c r="K8" s="37">
        <f t="shared" si="0"/>
        <v>415935.51500000001</v>
      </c>
      <c r="L8" s="37">
        <v>-104594.82</v>
      </c>
      <c r="M8" s="37">
        <v>32592.07</v>
      </c>
      <c r="N8" s="37">
        <v>6202.5</v>
      </c>
      <c r="O8" s="37">
        <v>5381.04</v>
      </c>
      <c r="P8" s="37">
        <v>3030</v>
      </c>
      <c r="Q8" s="37">
        <f t="shared" si="1"/>
        <v>358546.30499999999</v>
      </c>
      <c r="R8" s="32">
        <v>1</v>
      </c>
      <c r="S8" s="17" t="s">
        <v>95</v>
      </c>
      <c r="T8" s="35">
        <v>46447</v>
      </c>
      <c r="U8" s="17" t="s">
        <v>123</v>
      </c>
      <c r="V8" s="38">
        <f t="shared" ca="1" si="2"/>
        <v>2.6666666666666665</v>
      </c>
      <c r="W8" s="34">
        <f t="shared" ca="1" si="3"/>
        <v>1102.6666666666665</v>
      </c>
      <c r="X8" s="37">
        <v>990</v>
      </c>
      <c r="Y8" s="37">
        <f t="shared" si="4"/>
        <v>15.889999999999986</v>
      </c>
      <c r="Z8" s="39">
        <f t="shared" si="5"/>
        <v>1.6050505050505037E-2</v>
      </c>
      <c r="AA8" s="37" t="s">
        <v>130</v>
      </c>
      <c r="AB8" s="17" t="s">
        <v>131</v>
      </c>
      <c r="AC8" s="28" t="str">
        <f t="shared" ca="1" si="6"/>
        <v>ACTIVE</v>
      </c>
      <c r="AD8" s="40">
        <v>47177</v>
      </c>
      <c r="AE8" s="30">
        <v>1005.89</v>
      </c>
      <c r="AF8" s="31" t="s">
        <v>132</v>
      </c>
    </row>
    <row r="9" spans="1:32" ht="15.75" customHeight="1" x14ac:dyDescent="0.35">
      <c r="A9" s="13" t="s">
        <v>133</v>
      </c>
      <c r="B9" s="13" t="s">
        <v>134</v>
      </c>
      <c r="C9" s="13" t="s">
        <v>135</v>
      </c>
      <c r="D9" s="21" t="s">
        <v>136</v>
      </c>
      <c r="E9" s="21" t="s">
        <v>137</v>
      </c>
      <c r="F9" s="22">
        <v>451.7</v>
      </c>
      <c r="G9" s="23">
        <v>45762</v>
      </c>
      <c r="H9" s="23">
        <v>47375</v>
      </c>
      <c r="I9" s="24">
        <v>4.4000000000000004</v>
      </c>
      <c r="J9" s="25">
        <v>954.5</v>
      </c>
      <c r="K9" s="25">
        <f t="shared" si="0"/>
        <v>431147.64999999997</v>
      </c>
      <c r="L9" s="25">
        <v>-211720.82</v>
      </c>
      <c r="M9" s="25">
        <v>39812.839999999997</v>
      </c>
      <c r="N9" s="25">
        <v>7123.31</v>
      </c>
      <c r="O9" s="25">
        <v>7416</v>
      </c>
      <c r="P9" s="25">
        <v>3030</v>
      </c>
      <c r="Q9" s="25">
        <f t="shared" si="1"/>
        <v>276808.98</v>
      </c>
      <c r="R9" s="13">
        <v>1</v>
      </c>
      <c r="S9" s="14" t="s">
        <v>138</v>
      </c>
      <c r="T9" s="23">
        <v>46492</v>
      </c>
      <c r="U9" s="14" t="s">
        <v>123</v>
      </c>
      <c r="V9" s="26">
        <f t="shared" ca="1" si="2"/>
        <v>3.2087611225188226</v>
      </c>
      <c r="W9" s="22">
        <f t="shared" ca="1" si="3"/>
        <v>1449.3973990417521</v>
      </c>
      <c r="X9" s="25">
        <v>955</v>
      </c>
      <c r="Y9" s="25">
        <f t="shared" si="4"/>
        <v>-0.5</v>
      </c>
      <c r="Z9" s="27">
        <f t="shared" si="5"/>
        <v>-5.2356020942408382E-4</v>
      </c>
      <c r="AA9" s="25" t="s">
        <v>139</v>
      </c>
      <c r="AB9" s="14" t="s">
        <v>140</v>
      </c>
      <c r="AC9" s="28" t="str">
        <f t="shared" ca="1" si="6"/>
        <v>ACTIVE</v>
      </c>
      <c r="AD9" s="29">
        <v>47375</v>
      </c>
      <c r="AE9" s="30">
        <v>954.5</v>
      </c>
      <c r="AF9" s="31" t="s">
        <v>141</v>
      </c>
    </row>
    <row r="10" spans="1:32" ht="15.75" customHeight="1" x14ac:dyDescent="0.35">
      <c r="A10" s="41" t="s">
        <v>142</v>
      </c>
      <c r="B10" s="41" t="s">
        <v>134</v>
      </c>
      <c r="C10" s="41" t="s">
        <v>143</v>
      </c>
      <c r="D10" s="42" t="s">
        <v>144</v>
      </c>
      <c r="E10" s="42" t="s">
        <v>144</v>
      </c>
      <c r="F10" s="43">
        <v>189.4</v>
      </c>
      <c r="G10" s="11">
        <v>44713</v>
      </c>
      <c r="H10" s="11">
        <v>46538</v>
      </c>
      <c r="I10" s="44">
        <v>5</v>
      </c>
      <c r="J10" s="45">
        <v>1020.02</v>
      </c>
      <c r="K10" s="45">
        <f t="shared" si="0"/>
        <v>193191.788</v>
      </c>
      <c r="L10" s="45">
        <v>-23525.37</v>
      </c>
      <c r="M10" s="45">
        <v>16708.87</v>
      </c>
      <c r="N10" s="45">
        <v>0</v>
      </c>
      <c r="O10" s="45">
        <v>13703.64</v>
      </c>
      <c r="P10" s="45">
        <v>6060</v>
      </c>
      <c r="Q10" s="45">
        <f t="shared" si="1"/>
        <v>206138.92800000001</v>
      </c>
      <c r="R10" s="41">
        <v>2</v>
      </c>
      <c r="S10" s="46" t="s">
        <v>122</v>
      </c>
      <c r="T10" s="11">
        <v>46174</v>
      </c>
      <c r="U10" s="46" t="s">
        <v>123</v>
      </c>
      <c r="V10" s="47">
        <f t="shared" ca="1" si="2"/>
        <v>0.91718001368925395</v>
      </c>
      <c r="W10" s="43">
        <f t="shared" ca="1" si="3"/>
        <v>173.71389459274471</v>
      </c>
      <c r="X10" s="45">
        <v>990</v>
      </c>
      <c r="Y10" s="45">
        <f t="shared" si="4"/>
        <v>30.019999999999982</v>
      </c>
      <c r="Z10" s="48">
        <f t="shared" si="5"/>
        <v>3.0323232323232304E-2</v>
      </c>
      <c r="AA10" s="45" t="s">
        <v>145</v>
      </c>
      <c r="AB10" s="46" t="s">
        <v>146</v>
      </c>
      <c r="AC10" s="28" t="str">
        <f t="shared" ca="1" si="6"/>
        <v>ACTIVE</v>
      </c>
      <c r="AD10" s="40">
        <v>46538</v>
      </c>
      <c r="AE10" s="30">
        <v>1020.02</v>
      </c>
      <c r="AF10" s="31" t="s">
        <v>147</v>
      </c>
    </row>
    <row r="11" spans="1:32" ht="15.75" customHeight="1" x14ac:dyDescent="0.35">
      <c r="A11" s="13" t="s">
        <v>148</v>
      </c>
      <c r="B11" s="13" t="s">
        <v>134</v>
      </c>
      <c r="C11" s="13" t="s">
        <v>149</v>
      </c>
      <c r="D11" s="21" t="s">
        <v>150</v>
      </c>
      <c r="E11" s="21" t="s">
        <v>150</v>
      </c>
      <c r="F11" s="22">
        <v>267.89999999999998</v>
      </c>
      <c r="G11" s="23">
        <v>45870</v>
      </c>
      <c r="H11" s="23">
        <v>48426</v>
      </c>
      <c r="I11" s="24">
        <v>7</v>
      </c>
      <c r="J11" s="25">
        <v>920</v>
      </c>
      <c r="K11" s="25">
        <f t="shared" si="0"/>
        <v>246467.99999999997</v>
      </c>
      <c r="L11" s="25">
        <v>-98587.199999999997</v>
      </c>
      <c r="M11" s="25">
        <v>17619.78</v>
      </c>
      <c r="N11" s="25">
        <v>0</v>
      </c>
      <c r="O11" s="25">
        <v>0</v>
      </c>
      <c r="P11" s="25">
        <v>0</v>
      </c>
      <c r="Q11" s="25">
        <f t="shared" si="1"/>
        <v>165500.57999999999</v>
      </c>
      <c r="R11" s="13">
        <v>1</v>
      </c>
      <c r="S11" s="14" t="s">
        <v>151</v>
      </c>
      <c r="T11" s="23">
        <v>46235</v>
      </c>
      <c r="U11" s="14" t="s">
        <v>123</v>
      </c>
      <c r="V11" s="26">
        <f t="shared" ca="1" si="2"/>
        <v>6.0862422997946615</v>
      </c>
      <c r="W11" s="22">
        <f t="shared" ca="1" si="3"/>
        <v>1630.5043121149897</v>
      </c>
      <c r="X11" s="25">
        <v>955</v>
      </c>
      <c r="Y11" s="25">
        <f t="shared" si="4"/>
        <v>-35</v>
      </c>
      <c r="Z11" s="27">
        <f t="shared" si="5"/>
        <v>-3.6649214659685861E-2</v>
      </c>
      <c r="AA11" s="25" t="s">
        <v>152</v>
      </c>
      <c r="AB11" s="14" t="s">
        <v>153</v>
      </c>
      <c r="AC11" s="28" t="str">
        <f t="shared" ca="1" si="6"/>
        <v>ACTIVE</v>
      </c>
      <c r="AD11" s="29">
        <v>48426</v>
      </c>
      <c r="AE11" s="30">
        <v>920</v>
      </c>
      <c r="AF11" s="31" t="s">
        <v>154</v>
      </c>
    </row>
    <row r="12" spans="1:32" ht="15.75" customHeight="1" x14ac:dyDescent="0.35">
      <c r="A12" s="32" t="s">
        <v>155</v>
      </c>
      <c r="B12" s="32" t="s">
        <v>156</v>
      </c>
      <c r="C12" s="32" t="s">
        <v>157</v>
      </c>
      <c r="D12" s="33" t="s">
        <v>136</v>
      </c>
      <c r="E12" s="33" t="s">
        <v>137</v>
      </c>
      <c r="F12" s="34">
        <v>484.1</v>
      </c>
      <c r="G12" s="35">
        <v>45184</v>
      </c>
      <c r="H12" s="35">
        <v>47375</v>
      </c>
      <c r="I12" s="36">
        <v>6</v>
      </c>
      <c r="J12" s="37">
        <v>1049.77</v>
      </c>
      <c r="K12" s="37">
        <f t="shared" si="0"/>
        <v>508193.65700000001</v>
      </c>
      <c r="L12" s="37">
        <v>-181765.03</v>
      </c>
      <c r="M12" s="37">
        <v>42634.69</v>
      </c>
      <c r="N12" s="37">
        <v>6898.43</v>
      </c>
      <c r="O12" s="37">
        <v>17421.36</v>
      </c>
      <c r="P12" s="37">
        <v>6060</v>
      </c>
      <c r="Q12" s="37">
        <f t="shared" si="1"/>
        <v>399443.10699999996</v>
      </c>
      <c r="R12" s="32">
        <v>2</v>
      </c>
      <c r="S12" s="17" t="s">
        <v>138</v>
      </c>
      <c r="T12" s="35">
        <v>46280</v>
      </c>
      <c r="U12" s="17" t="s">
        <v>123</v>
      </c>
      <c r="V12" s="38">
        <f t="shared" ca="1" si="2"/>
        <v>3.2087611225188226</v>
      </c>
      <c r="W12" s="34">
        <f t="shared" ca="1" si="3"/>
        <v>1553.3612594113622</v>
      </c>
      <c r="X12" s="37">
        <v>1020</v>
      </c>
      <c r="Y12" s="37">
        <f t="shared" si="4"/>
        <v>29.769999999999982</v>
      </c>
      <c r="Z12" s="39">
        <f t="shared" si="5"/>
        <v>2.9186274509803902E-2</v>
      </c>
      <c r="AA12" s="37" t="s">
        <v>158</v>
      </c>
      <c r="AB12" s="17" t="s">
        <v>159</v>
      </c>
      <c r="AC12" s="28" t="str">
        <f t="shared" ca="1" si="6"/>
        <v>ACTIVE</v>
      </c>
      <c r="AD12" s="40">
        <v>47375</v>
      </c>
      <c r="AE12" s="30">
        <v>1049.77</v>
      </c>
      <c r="AF12" s="31" t="s">
        <v>160</v>
      </c>
    </row>
    <row r="13" spans="1:32" ht="15.75" customHeight="1" x14ac:dyDescent="0.35">
      <c r="A13" s="13" t="s">
        <v>161</v>
      </c>
      <c r="B13" s="13" t="s">
        <v>156</v>
      </c>
      <c r="C13" s="13" t="s">
        <v>162</v>
      </c>
      <c r="D13" s="21" t="s">
        <v>136</v>
      </c>
      <c r="E13" s="21" t="s">
        <v>163</v>
      </c>
      <c r="F13" s="22">
        <v>365.5</v>
      </c>
      <c r="G13" s="23">
        <v>45184</v>
      </c>
      <c r="H13" s="23">
        <v>47375</v>
      </c>
      <c r="I13" s="24">
        <v>6</v>
      </c>
      <c r="J13" s="25">
        <v>0</v>
      </c>
      <c r="K13" s="25">
        <f t="shared" si="0"/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1"/>
        <v>0</v>
      </c>
      <c r="R13" s="13">
        <v>0</v>
      </c>
      <c r="S13" s="14" t="s">
        <v>138</v>
      </c>
      <c r="T13" s="23">
        <v>46280</v>
      </c>
      <c r="U13" s="14" t="s">
        <v>123</v>
      </c>
      <c r="V13" s="26">
        <f t="shared" ca="1" si="2"/>
        <v>3.2087611225188226</v>
      </c>
      <c r="W13" s="22">
        <f t="shared" ca="1" si="3"/>
        <v>1172.8021902806297</v>
      </c>
      <c r="X13" s="25">
        <v>1020</v>
      </c>
      <c r="Y13" s="25">
        <f t="shared" si="4"/>
        <v>0</v>
      </c>
      <c r="Z13" s="27">
        <f t="shared" si="5"/>
        <v>0</v>
      </c>
      <c r="AA13" s="25" t="s">
        <v>164</v>
      </c>
      <c r="AB13" s="14" t="s">
        <v>165</v>
      </c>
      <c r="AC13" s="28" t="str">
        <f t="shared" ca="1" si="6"/>
        <v>ACTIVE</v>
      </c>
      <c r="AD13" s="29">
        <v>47375</v>
      </c>
      <c r="AE13" s="30">
        <v>0</v>
      </c>
      <c r="AF13" s="31" t="s">
        <v>166</v>
      </c>
    </row>
    <row r="14" spans="1:32" ht="15.75" customHeight="1" x14ac:dyDescent="0.35">
      <c r="A14" s="32" t="s">
        <v>167</v>
      </c>
      <c r="B14" s="32" t="s">
        <v>168</v>
      </c>
      <c r="C14" s="32" t="s">
        <v>169</v>
      </c>
      <c r="D14" s="33" t="s">
        <v>170</v>
      </c>
      <c r="E14" s="33" t="s">
        <v>170</v>
      </c>
      <c r="F14" s="34">
        <v>686.7</v>
      </c>
      <c r="G14" s="35">
        <v>43282</v>
      </c>
      <c r="H14" s="35">
        <v>46934</v>
      </c>
      <c r="I14" s="36">
        <v>10</v>
      </c>
      <c r="J14" s="37">
        <v>989.66</v>
      </c>
      <c r="K14" s="37">
        <f t="shared" si="0"/>
        <v>679599.522</v>
      </c>
      <c r="L14" s="37">
        <v>-219915.68</v>
      </c>
      <c r="M14" s="37">
        <v>66218.48</v>
      </c>
      <c r="N14" s="37">
        <v>10300.5</v>
      </c>
      <c r="O14" s="37">
        <v>0</v>
      </c>
      <c r="P14" s="37">
        <v>0</v>
      </c>
      <c r="Q14" s="37">
        <f t="shared" si="1"/>
        <v>536202.82200000004</v>
      </c>
      <c r="R14" s="32">
        <v>0</v>
      </c>
      <c r="S14" s="17" t="s">
        <v>95</v>
      </c>
      <c r="T14" s="35">
        <v>46204</v>
      </c>
      <c r="U14" s="17" t="s">
        <v>123</v>
      </c>
      <c r="V14" s="38">
        <f t="shared" ca="1" si="2"/>
        <v>2.001368925393566</v>
      </c>
      <c r="W14" s="34">
        <f t="shared" ca="1" si="3"/>
        <v>1374.3400410677618</v>
      </c>
      <c r="X14" s="37">
        <v>990</v>
      </c>
      <c r="Y14" s="37">
        <f t="shared" si="4"/>
        <v>-0.34000000000003183</v>
      </c>
      <c r="Z14" s="39">
        <f t="shared" si="5"/>
        <v>-3.434343434343756E-4</v>
      </c>
      <c r="AA14" s="37" t="s">
        <v>171</v>
      </c>
      <c r="AB14" s="17" t="s">
        <v>172</v>
      </c>
      <c r="AC14" s="28" t="str">
        <f t="shared" ca="1" si="6"/>
        <v>ACTIVE</v>
      </c>
      <c r="AD14" s="40">
        <v>46934</v>
      </c>
      <c r="AE14" s="30">
        <v>989.66</v>
      </c>
      <c r="AF14" s="31" t="s">
        <v>173</v>
      </c>
    </row>
    <row r="15" spans="1:32" ht="15.75" customHeight="1" x14ac:dyDescent="0.35">
      <c r="A15" s="13" t="s">
        <v>174</v>
      </c>
      <c r="B15" s="13" t="s">
        <v>168</v>
      </c>
      <c r="C15" s="13" t="s">
        <v>175</v>
      </c>
      <c r="D15" s="21" t="s">
        <v>176</v>
      </c>
      <c r="E15" s="21" t="s">
        <v>176</v>
      </c>
      <c r="F15" s="22">
        <v>116.3</v>
      </c>
      <c r="G15" s="23">
        <v>45809</v>
      </c>
      <c r="H15" s="23">
        <v>47787</v>
      </c>
      <c r="I15" s="24">
        <v>5.4</v>
      </c>
      <c r="J15" s="25">
        <v>990</v>
      </c>
      <c r="K15" s="25">
        <f t="shared" si="0"/>
        <v>115137</v>
      </c>
      <c r="L15" s="25">
        <v>-48357.54</v>
      </c>
      <c r="M15" s="25">
        <v>2596.98</v>
      </c>
      <c r="N15" s="25">
        <v>1834.05</v>
      </c>
      <c r="O15" s="25">
        <v>0</v>
      </c>
      <c r="P15" s="25">
        <v>0</v>
      </c>
      <c r="Q15" s="25">
        <f t="shared" si="1"/>
        <v>71210.489999999991</v>
      </c>
      <c r="R15" s="13">
        <v>0</v>
      </c>
      <c r="S15" s="14" t="s">
        <v>138</v>
      </c>
      <c r="T15" s="23">
        <v>46174</v>
      </c>
      <c r="U15" s="14" t="s">
        <v>123</v>
      </c>
      <c r="V15" s="26">
        <f t="shared" ca="1" si="2"/>
        <v>4.3367556468172488</v>
      </c>
      <c r="W15" s="22">
        <f t="shared" ca="1" si="3"/>
        <v>504.36468172484604</v>
      </c>
      <c r="X15" s="25">
        <v>990</v>
      </c>
      <c r="Y15" s="25">
        <f t="shared" si="4"/>
        <v>0</v>
      </c>
      <c r="Z15" s="27">
        <f t="shared" si="5"/>
        <v>0</v>
      </c>
      <c r="AA15" s="25" t="s">
        <v>177</v>
      </c>
      <c r="AB15" s="14" t="s">
        <v>178</v>
      </c>
      <c r="AC15" s="28" t="str">
        <f t="shared" ca="1" si="6"/>
        <v>ACTIVE</v>
      </c>
      <c r="AD15" s="29">
        <v>47787</v>
      </c>
      <c r="AE15" s="30">
        <v>990</v>
      </c>
      <c r="AF15" s="31" t="s">
        <v>179</v>
      </c>
    </row>
    <row r="16" spans="1:32" ht="15.75" customHeight="1" x14ac:dyDescent="0.35">
      <c r="A16" s="32" t="s">
        <v>180</v>
      </c>
      <c r="B16" s="32" t="s">
        <v>181</v>
      </c>
      <c r="C16" s="32" t="s">
        <v>182</v>
      </c>
      <c r="D16" s="33" t="s">
        <v>183</v>
      </c>
      <c r="E16" s="33" t="s">
        <v>183</v>
      </c>
      <c r="F16" s="34">
        <v>453.3</v>
      </c>
      <c r="G16" s="35">
        <v>44746</v>
      </c>
      <c r="H16" s="35">
        <v>46571</v>
      </c>
      <c r="I16" s="36">
        <v>5</v>
      </c>
      <c r="J16" s="37">
        <v>1027.43</v>
      </c>
      <c r="K16" s="37">
        <f t="shared" si="0"/>
        <v>465734.01900000003</v>
      </c>
      <c r="L16" s="37">
        <v>-145962.6</v>
      </c>
      <c r="M16" s="37">
        <v>39971.99</v>
      </c>
      <c r="N16" s="37">
        <v>6799.5</v>
      </c>
      <c r="O16" s="37">
        <v>9581.8799999999992</v>
      </c>
      <c r="P16" s="37">
        <v>3030</v>
      </c>
      <c r="Q16" s="37">
        <f t="shared" si="1"/>
        <v>379154.78899999999</v>
      </c>
      <c r="R16" s="32">
        <v>1</v>
      </c>
      <c r="S16" s="17" t="s">
        <v>138</v>
      </c>
      <c r="T16" s="35">
        <v>46207</v>
      </c>
      <c r="U16" s="17" t="s">
        <v>123</v>
      </c>
      <c r="V16" s="38">
        <f t="shared" ca="1" si="2"/>
        <v>1.0075290896646132</v>
      </c>
      <c r="W16" s="34">
        <f t="shared" ca="1" si="3"/>
        <v>456.71293634496919</v>
      </c>
      <c r="X16" s="37">
        <v>1040</v>
      </c>
      <c r="Y16" s="37">
        <f t="shared" si="4"/>
        <v>-12.569999999999936</v>
      </c>
      <c r="Z16" s="39">
        <f t="shared" si="5"/>
        <v>-1.20865384615384E-2</v>
      </c>
      <c r="AA16" s="37" t="s">
        <v>184</v>
      </c>
      <c r="AB16" s="17" t="s">
        <v>185</v>
      </c>
      <c r="AC16" s="28" t="str">
        <f t="shared" ca="1" si="6"/>
        <v>ACTIVE</v>
      </c>
      <c r="AD16" s="40">
        <v>46571</v>
      </c>
      <c r="AE16" s="30">
        <v>1027.43</v>
      </c>
      <c r="AF16" s="31" t="s">
        <v>186</v>
      </c>
    </row>
    <row r="17" spans="1:32" ht="15.75" customHeight="1" x14ac:dyDescent="0.35">
      <c r="A17" s="13" t="s">
        <v>187</v>
      </c>
      <c r="B17" s="13" t="s">
        <v>188</v>
      </c>
      <c r="C17" s="13" t="s">
        <v>189</v>
      </c>
      <c r="D17" s="21" t="s">
        <v>190</v>
      </c>
      <c r="E17" s="21" t="s">
        <v>190</v>
      </c>
      <c r="F17" s="22">
        <v>344.5</v>
      </c>
      <c r="G17" s="23">
        <v>45992</v>
      </c>
      <c r="H17" s="23">
        <v>47483</v>
      </c>
      <c r="I17" s="24">
        <v>4.0999999999999996</v>
      </c>
      <c r="J17" s="25">
        <v>990.29</v>
      </c>
      <c r="K17" s="25">
        <f t="shared" si="0"/>
        <v>341154.90499999997</v>
      </c>
      <c r="L17" s="25">
        <v>-137803.45000000001</v>
      </c>
      <c r="M17" s="25">
        <v>7771.92</v>
      </c>
      <c r="N17" s="25">
        <v>5432.76</v>
      </c>
      <c r="O17" s="25">
        <v>0</v>
      </c>
      <c r="P17" s="25">
        <v>6060</v>
      </c>
      <c r="Q17" s="25">
        <f t="shared" si="1"/>
        <v>222616.13499999998</v>
      </c>
      <c r="R17" s="13">
        <v>2</v>
      </c>
      <c r="S17" s="14" t="s">
        <v>122</v>
      </c>
      <c r="T17" s="23">
        <v>46357</v>
      </c>
      <c r="U17" s="14" t="s">
        <v>123</v>
      </c>
      <c r="V17" s="26">
        <f t="shared" ca="1" si="2"/>
        <v>3.5044490075290895</v>
      </c>
      <c r="W17" s="22">
        <f t="shared" ca="1" si="3"/>
        <v>1207.2826830937713</v>
      </c>
      <c r="X17" s="25">
        <v>1040</v>
      </c>
      <c r="Y17" s="25">
        <f t="shared" si="4"/>
        <v>-49.710000000000036</v>
      </c>
      <c r="Z17" s="27">
        <f t="shared" si="5"/>
        <v>-4.7798076923076957E-2</v>
      </c>
      <c r="AA17" s="25" t="s">
        <v>164</v>
      </c>
      <c r="AB17" s="14" t="s">
        <v>191</v>
      </c>
      <c r="AC17" s="28" t="str">
        <f t="shared" ca="1" si="6"/>
        <v>ACTIVE</v>
      </c>
      <c r="AD17" s="29">
        <v>47483</v>
      </c>
      <c r="AE17" s="30">
        <v>990.29</v>
      </c>
      <c r="AF17" s="31" t="s">
        <v>192</v>
      </c>
    </row>
    <row r="18" spans="1:32" ht="15.75" customHeight="1" x14ac:dyDescent="0.35">
      <c r="A18" s="32" t="s">
        <v>193</v>
      </c>
      <c r="B18" s="32" t="s">
        <v>181</v>
      </c>
      <c r="C18" s="32" t="s">
        <v>194</v>
      </c>
      <c r="D18" s="33" t="s">
        <v>195</v>
      </c>
      <c r="E18" s="33" t="s">
        <v>196</v>
      </c>
      <c r="F18" s="34">
        <v>251</v>
      </c>
      <c r="G18" s="35">
        <v>45962</v>
      </c>
      <c r="H18" s="35">
        <v>47787</v>
      </c>
      <c r="I18" s="36">
        <v>5</v>
      </c>
      <c r="J18" s="37">
        <v>985</v>
      </c>
      <c r="K18" s="37">
        <f t="shared" si="0"/>
        <v>247235</v>
      </c>
      <c r="L18" s="37">
        <v>-66750.94</v>
      </c>
      <c r="M18" s="37">
        <v>5619.89</v>
      </c>
      <c r="N18" s="37">
        <v>3958.27</v>
      </c>
      <c r="O18" s="37">
        <v>0</v>
      </c>
      <c r="P18" s="37">
        <v>0</v>
      </c>
      <c r="Q18" s="37">
        <f t="shared" si="1"/>
        <v>190062.22</v>
      </c>
      <c r="R18" s="32">
        <v>0</v>
      </c>
      <c r="S18" s="17" t="s">
        <v>122</v>
      </c>
      <c r="T18" s="35">
        <v>46327</v>
      </c>
      <c r="U18" s="17" t="s">
        <v>123</v>
      </c>
      <c r="V18" s="38">
        <f t="shared" ca="1" si="2"/>
        <v>4.3367556468172488</v>
      </c>
      <c r="W18" s="34">
        <f t="shared" ca="1" si="3"/>
        <v>1088.5256673511294</v>
      </c>
      <c r="X18" s="37">
        <v>990</v>
      </c>
      <c r="Y18" s="37">
        <f t="shared" si="4"/>
        <v>-5</v>
      </c>
      <c r="Z18" s="39">
        <f t="shared" si="5"/>
        <v>-5.0505050505050509E-3</v>
      </c>
      <c r="AA18" s="37" t="s">
        <v>164</v>
      </c>
      <c r="AB18" s="17" t="s">
        <v>197</v>
      </c>
      <c r="AC18" s="28" t="str">
        <f t="shared" ca="1" si="6"/>
        <v>ACTIVE</v>
      </c>
      <c r="AD18" s="40">
        <v>47787</v>
      </c>
      <c r="AE18" s="30">
        <v>985</v>
      </c>
      <c r="AF18" s="31" t="s">
        <v>195</v>
      </c>
    </row>
    <row r="19" spans="1:32" ht="15.75" customHeight="1" x14ac:dyDescent="0.35">
      <c r="A19" s="13" t="s">
        <v>198</v>
      </c>
      <c r="B19" s="13" t="s">
        <v>188</v>
      </c>
      <c r="C19" s="13" t="s">
        <v>199</v>
      </c>
      <c r="D19" s="21" t="s">
        <v>200</v>
      </c>
      <c r="E19" s="21" t="s">
        <v>201</v>
      </c>
      <c r="F19" s="22">
        <v>536</v>
      </c>
      <c r="G19" s="23">
        <v>45642</v>
      </c>
      <c r="H19" s="23">
        <v>47832</v>
      </c>
      <c r="I19" s="24">
        <v>6</v>
      </c>
      <c r="J19" s="25">
        <v>988</v>
      </c>
      <c r="K19" s="25">
        <f t="shared" si="0"/>
        <v>529568</v>
      </c>
      <c r="L19" s="25">
        <v>-51198.720000000001</v>
      </c>
      <c r="M19" s="25">
        <v>62133.120000000003</v>
      </c>
      <c r="N19" s="25">
        <v>8452.7199999999993</v>
      </c>
      <c r="O19" s="25">
        <v>96647.64</v>
      </c>
      <c r="P19" s="25">
        <v>30300</v>
      </c>
      <c r="Q19" s="25">
        <f t="shared" si="1"/>
        <v>675902.76</v>
      </c>
      <c r="R19" s="13">
        <v>10</v>
      </c>
      <c r="S19" s="14" t="s">
        <v>95</v>
      </c>
      <c r="T19" s="23">
        <v>46372</v>
      </c>
      <c r="U19" s="14" t="s">
        <v>123</v>
      </c>
      <c r="V19" s="26">
        <f t="shared" ca="1" si="2"/>
        <v>4.4599589322381927</v>
      </c>
      <c r="W19" s="22">
        <f t="shared" ca="1" si="3"/>
        <v>2390.5379876796715</v>
      </c>
      <c r="X19" s="25">
        <v>1010</v>
      </c>
      <c r="Y19" s="25">
        <f t="shared" si="4"/>
        <v>-22</v>
      </c>
      <c r="Z19" s="27">
        <f t="shared" si="5"/>
        <v>-2.1782178217821781E-2</v>
      </c>
      <c r="AA19" s="25" t="s">
        <v>202</v>
      </c>
      <c r="AB19" s="14" t="s">
        <v>203</v>
      </c>
      <c r="AC19" s="28" t="str">
        <f t="shared" ca="1" si="6"/>
        <v>ACTIVE</v>
      </c>
      <c r="AD19" s="29">
        <v>47832</v>
      </c>
      <c r="AE19" s="30">
        <v>988</v>
      </c>
      <c r="AF19" s="31" t="s">
        <v>204</v>
      </c>
    </row>
    <row r="20" spans="1:32" ht="15.75" customHeight="1" x14ac:dyDescent="0.35">
      <c r="A20" s="49" t="s">
        <v>205</v>
      </c>
      <c r="B20" s="49" t="s">
        <v>134</v>
      </c>
      <c r="C20" s="49" t="s">
        <v>206</v>
      </c>
      <c r="D20" s="50" t="s">
        <v>207</v>
      </c>
      <c r="E20" s="50" t="s">
        <v>207</v>
      </c>
      <c r="F20" s="51">
        <v>186.4</v>
      </c>
      <c r="G20" s="35">
        <v>46203</v>
      </c>
      <c r="H20" s="35">
        <v>48395</v>
      </c>
      <c r="I20" s="49">
        <v>6</v>
      </c>
      <c r="J20" s="49">
        <v>920</v>
      </c>
      <c r="K20" s="52">
        <f t="shared" si="0"/>
        <v>171488</v>
      </c>
      <c r="L20" s="49">
        <v>-512255</v>
      </c>
      <c r="M20" s="53"/>
      <c r="N20" s="53"/>
      <c r="O20" s="53"/>
      <c r="P20" s="53"/>
      <c r="Q20" s="52">
        <f t="shared" si="1"/>
        <v>-340767</v>
      </c>
      <c r="R20" s="53"/>
      <c r="S20" s="53"/>
      <c r="T20" s="53"/>
      <c r="U20" s="53"/>
      <c r="V20" s="54">
        <f t="shared" ca="1" si="2"/>
        <v>6.0013689253935665</v>
      </c>
      <c r="W20" s="51">
        <f t="shared" ca="1" si="3"/>
        <v>1118.6551676933609</v>
      </c>
      <c r="X20" s="53"/>
      <c r="Y20" s="52">
        <f t="shared" si="4"/>
        <v>920</v>
      </c>
      <c r="Z20" s="55">
        <f t="shared" si="5"/>
        <v>0</v>
      </c>
      <c r="AA20" s="53"/>
      <c r="AB20" s="49" t="s">
        <v>208</v>
      </c>
      <c r="AC20" s="50" t="str">
        <f t="shared" ca="1" si="6"/>
        <v>ACTIVE</v>
      </c>
      <c r="AD20" s="40">
        <v>48395</v>
      </c>
      <c r="AE20" s="30">
        <v>920</v>
      </c>
      <c r="AF20" s="31" t="s">
        <v>207</v>
      </c>
    </row>
    <row r="21" spans="1:32" ht="15.75" customHeight="1" x14ac:dyDescent="0.35">
      <c r="A21" s="49" t="s">
        <v>209</v>
      </c>
      <c r="B21" s="49" t="s">
        <v>210</v>
      </c>
      <c r="C21" s="49" t="s">
        <v>211</v>
      </c>
      <c r="D21" s="50" t="s">
        <v>212</v>
      </c>
      <c r="E21" s="56"/>
      <c r="F21" s="51">
        <v>438</v>
      </c>
      <c r="G21" s="53"/>
      <c r="H21" s="53"/>
      <c r="I21" s="53"/>
      <c r="J21" s="53"/>
      <c r="K21" s="52">
        <f t="shared" si="0"/>
        <v>0</v>
      </c>
      <c r="L21" s="53"/>
      <c r="M21" s="53"/>
      <c r="N21" s="53"/>
      <c r="O21" s="53"/>
      <c r="P21" s="53"/>
      <c r="Q21" s="52">
        <f t="shared" si="1"/>
        <v>0</v>
      </c>
      <c r="R21" s="53"/>
      <c r="S21" s="53"/>
      <c r="T21" s="53"/>
      <c r="U21" s="53"/>
      <c r="V21" s="54">
        <f t="shared" ca="1" si="2"/>
        <v>0</v>
      </c>
      <c r="W21" s="51">
        <f t="shared" ca="1" si="3"/>
        <v>0</v>
      </c>
      <c r="X21" s="53"/>
      <c r="Y21" s="52">
        <f t="shared" si="4"/>
        <v>0</v>
      </c>
      <c r="Z21" s="55">
        <f t="shared" si="5"/>
        <v>0</v>
      </c>
      <c r="AA21" s="53"/>
      <c r="AB21" s="53"/>
      <c r="AC21" s="50" t="str">
        <f t="shared" ca="1" si="6"/>
        <v>VACANT</v>
      </c>
      <c r="AD21" s="57"/>
      <c r="AE21" s="30">
        <v>0</v>
      </c>
      <c r="AF21" s="31" t="s">
        <v>212</v>
      </c>
    </row>
    <row r="22" spans="1:32" ht="15.75" customHeight="1" x14ac:dyDescent="0.35">
      <c r="A22" s="49" t="s">
        <v>213</v>
      </c>
      <c r="B22" s="49" t="s">
        <v>210</v>
      </c>
      <c r="C22" s="49" t="s">
        <v>214</v>
      </c>
      <c r="D22" s="50" t="s">
        <v>212</v>
      </c>
      <c r="E22" s="56"/>
      <c r="F22" s="51">
        <v>349</v>
      </c>
      <c r="G22" s="53"/>
      <c r="H22" s="53"/>
      <c r="I22" s="53"/>
      <c r="J22" s="53"/>
      <c r="K22" s="52">
        <f t="shared" si="0"/>
        <v>0</v>
      </c>
      <c r="L22" s="53"/>
      <c r="M22" s="53"/>
      <c r="N22" s="53"/>
      <c r="O22" s="53"/>
      <c r="P22" s="53"/>
      <c r="Q22" s="52">
        <f t="shared" si="1"/>
        <v>0</v>
      </c>
      <c r="R22" s="53"/>
      <c r="S22" s="53"/>
      <c r="T22" s="53"/>
      <c r="U22" s="53"/>
      <c r="V22" s="54">
        <f t="shared" ca="1" si="2"/>
        <v>0</v>
      </c>
      <c r="W22" s="51">
        <f t="shared" ca="1" si="3"/>
        <v>0</v>
      </c>
      <c r="X22" s="53"/>
      <c r="Y22" s="52">
        <f t="shared" si="4"/>
        <v>0</v>
      </c>
      <c r="Z22" s="55">
        <f t="shared" si="5"/>
        <v>0</v>
      </c>
      <c r="AA22" s="53"/>
      <c r="AB22" s="53"/>
      <c r="AC22" s="50" t="str">
        <f t="shared" ca="1" si="6"/>
        <v>VACANT</v>
      </c>
      <c r="AD22" s="58"/>
      <c r="AE22" s="30">
        <v>0</v>
      </c>
      <c r="AF22" s="31" t="s">
        <v>212</v>
      </c>
    </row>
    <row r="23" spans="1:32" ht="15.75" customHeight="1" x14ac:dyDescent="0.35">
      <c r="A23" s="49" t="s">
        <v>215</v>
      </c>
      <c r="B23" s="49" t="s">
        <v>216</v>
      </c>
      <c r="C23" s="49" t="s">
        <v>217</v>
      </c>
      <c r="D23" s="50" t="s">
        <v>212</v>
      </c>
      <c r="E23" s="56"/>
      <c r="F23" s="51">
        <v>236</v>
      </c>
      <c r="G23" s="53"/>
      <c r="H23" s="53"/>
      <c r="I23" s="53"/>
      <c r="J23" s="53"/>
      <c r="K23" s="52">
        <f t="shared" si="0"/>
        <v>0</v>
      </c>
      <c r="L23" s="53"/>
      <c r="M23" s="53"/>
      <c r="N23" s="53"/>
      <c r="O23" s="53"/>
      <c r="P23" s="53"/>
      <c r="Q23" s="52">
        <f t="shared" si="1"/>
        <v>0</v>
      </c>
      <c r="R23" s="53"/>
      <c r="S23" s="53"/>
      <c r="T23" s="53"/>
      <c r="U23" s="53"/>
      <c r="V23" s="54">
        <f t="shared" ca="1" si="2"/>
        <v>0</v>
      </c>
      <c r="W23" s="51">
        <f t="shared" ca="1" si="3"/>
        <v>0</v>
      </c>
      <c r="X23" s="53"/>
      <c r="Y23" s="52">
        <f t="shared" si="4"/>
        <v>0</v>
      </c>
      <c r="Z23" s="55">
        <f t="shared" si="5"/>
        <v>0</v>
      </c>
      <c r="AA23" s="53"/>
      <c r="AB23" s="49" t="s">
        <v>218</v>
      </c>
      <c r="AC23" s="50" t="str">
        <f t="shared" ca="1" si="6"/>
        <v>VACANT</v>
      </c>
      <c r="AD23" s="57"/>
      <c r="AE23" s="30">
        <v>0</v>
      </c>
      <c r="AF23" s="31" t="s">
        <v>212</v>
      </c>
    </row>
    <row r="24" spans="1:32" ht="19.5" customHeight="1" x14ac:dyDescent="0.35">
      <c r="A24" s="13" t="s">
        <v>219</v>
      </c>
      <c r="B24" s="13" t="s">
        <v>216</v>
      </c>
      <c r="C24" s="13" t="s">
        <v>220</v>
      </c>
      <c r="D24" s="21" t="s">
        <v>221</v>
      </c>
      <c r="E24" s="21" t="s">
        <v>221</v>
      </c>
      <c r="F24" s="22">
        <v>536</v>
      </c>
      <c r="G24" s="23">
        <v>46203</v>
      </c>
      <c r="H24" s="23">
        <v>49582</v>
      </c>
      <c r="I24" s="24">
        <v>6</v>
      </c>
      <c r="J24" s="25">
        <v>1040</v>
      </c>
      <c r="K24" s="25">
        <f t="shared" si="0"/>
        <v>557440</v>
      </c>
      <c r="L24" s="25">
        <v>-671072</v>
      </c>
      <c r="M24" s="25"/>
      <c r="N24" s="25"/>
      <c r="O24" s="25"/>
      <c r="P24" s="25"/>
      <c r="Q24" s="25">
        <f t="shared" si="1"/>
        <v>-113632</v>
      </c>
      <c r="R24" s="13"/>
      <c r="S24" s="14" t="s">
        <v>122</v>
      </c>
      <c r="T24" s="23">
        <v>46661</v>
      </c>
      <c r="U24" s="14"/>
      <c r="V24" s="26">
        <f t="shared" ca="1" si="2"/>
        <v>9.2511978097193701</v>
      </c>
      <c r="W24" s="22">
        <f t="shared" ca="1" si="3"/>
        <v>4958.642026009582</v>
      </c>
      <c r="X24" s="25">
        <v>1040</v>
      </c>
      <c r="Y24" s="25">
        <f t="shared" si="4"/>
        <v>0</v>
      </c>
      <c r="Z24" s="27">
        <f t="shared" si="5"/>
        <v>0</v>
      </c>
      <c r="AA24" s="25"/>
      <c r="AB24" s="14" t="s">
        <v>222</v>
      </c>
      <c r="AC24" s="28" t="str">
        <f t="shared" ca="1" si="6"/>
        <v>ACTIVE</v>
      </c>
      <c r="AD24" s="40" t="s">
        <v>653</v>
      </c>
      <c r="AE24" s="30">
        <v>1040</v>
      </c>
      <c r="AF24" s="59" t="s">
        <v>223</v>
      </c>
    </row>
    <row r="25" spans="1:32" ht="24" customHeight="1" x14ac:dyDescent="0.35">
      <c r="A25" s="216" t="s">
        <v>224</v>
      </c>
      <c r="B25" s="216"/>
      <c r="C25" s="216"/>
      <c r="D25" s="216"/>
      <c r="E25" s="216"/>
      <c r="F25" s="62">
        <f>SUM(F3:F24)</f>
        <v>8922.4000000000015</v>
      </c>
      <c r="G25" s="61"/>
      <c r="H25" s="61"/>
      <c r="I25" s="61"/>
      <c r="J25" s="61"/>
      <c r="K25" s="63">
        <f>SUM(K3:K24)</f>
        <v>7199043.9990000008</v>
      </c>
      <c r="L25" s="63">
        <f>SUM(L3:L24)</f>
        <v>-2473509.17</v>
      </c>
      <c r="M25" s="61"/>
      <c r="N25" s="61"/>
      <c r="O25" s="61"/>
      <c r="P25" s="61"/>
      <c r="Q25" s="63">
        <f>SUM(Q3:Q24)</f>
        <v>5377867.9789999994</v>
      </c>
      <c r="R25" s="61"/>
      <c r="S25" s="61"/>
      <c r="T25" s="61"/>
      <c r="U25" s="61"/>
      <c r="V25" s="64">
        <f ca="1">IFERROR(SUMPRODUCT((H3:H24&lt;&gt;"")*F3:F24*MAX((H3:H24-TODAY())/365.25,0))/SUMPRODUCT((H3:H24&lt;&gt;"")*F3:F24),0)</f>
        <v>9.2511978097193683</v>
      </c>
      <c r="W25" s="62">
        <f ca="1">SUM(W3:W24)</f>
        <v>32518.432032854202</v>
      </c>
      <c r="X25" s="61"/>
      <c r="Y25" s="61"/>
      <c r="Z25" s="61"/>
      <c r="AA25" s="61"/>
      <c r="AB25" s="61"/>
      <c r="AC25" s="6"/>
      <c r="AD25" s="6"/>
      <c r="AE25" s="6"/>
      <c r="AF25" s="6"/>
    </row>
    <row r="26" spans="1:32" x14ac:dyDescent="0.35">
      <c r="A26" s="61" t="s">
        <v>225</v>
      </c>
      <c r="B26" s="6"/>
      <c r="C26" s="6"/>
      <c r="D26" s="65" t="s">
        <v>226</v>
      </c>
      <c r="E26" s="66">
        <f>SUMPRODUCT((H3:H24&lt;&gt;"")*F3:F24)</f>
        <v>7899.4000000000005</v>
      </c>
      <c r="F26" s="65" t="s">
        <v>227</v>
      </c>
      <c r="G26" s="66">
        <f>SUMPRODUCT((H3:H24="")*F3:F24)</f>
        <v>1023</v>
      </c>
      <c r="H26" s="65" t="s">
        <v>228</v>
      </c>
      <c r="I26" s="66">
        <f>SUM(F3:F24)</f>
        <v>8922.4000000000015</v>
      </c>
      <c r="J26" s="65" t="s">
        <v>229</v>
      </c>
      <c r="K26" s="67">
        <f>IFERROR(E26/I26,0)</f>
        <v>0.88534475029140136</v>
      </c>
      <c r="L26" s="65" t="s">
        <v>230</v>
      </c>
      <c r="M26" s="67">
        <f>IFERROR(G26/I26,0)</f>
        <v>0.11465524970859857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zoomScale="84" zoomScaleNormal="84" workbookViewId="0">
      <selection activeCell="E36" sqref="E36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181" t="s">
        <v>231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</row>
    <row r="2" spans="1:14" ht="18" customHeight="1" x14ac:dyDescent="0.35">
      <c r="A2" s="182" t="s">
        <v>232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183" t="s">
        <v>233</v>
      </c>
      <c r="C4" s="183"/>
      <c r="D4" s="184" t="s">
        <v>234</v>
      </c>
      <c r="E4" s="184"/>
      <c r="F4" s="185" t="s">
        <v>235</v>
      </c>
      <c r="G4" s="185"/>
      <c r="H4" s="184" t="s">
        <v>236</v>
      </c>
      <c r="I4" s="184"/>
      <c r="J4" s="186" t="s">
        <v>237</v>
      </c>
      <c r="K4" s="186"/>
      <c r="L4" s="187" t="s">
        <v>238</v>
      </c>
      <c r="M4" s="187"/>
      <c r="N4" s="6"/>
    </row>
    <row r="5" spans="1:14" ht="27.75" customHeight="1" x14ac:dyDescent="0.35">
      <c r="A5" s="6"/>
      <c r="B5" s="188">
        <f>SUM('Input Data'!F3:F24)</f>
        <v>8922.4000000000015</v>
      </c>
      <c r="C5" s="188"/>
      <c r="D5" s="189">
        <f>SUMPRODUCT(('Input Data'!H3:H24&lt;&gt;"")*'Input Data'!F3:F24)</f>
        <v>7899.4000000000005</v>
      </c>
      <c r="E5" s="189"/>
      <c r="F5" s="190">
        <f>SUMPRODUCT(('Input Data'!H3:H24="")*'Input Data'!F3:F24)</f>
        <v>1023</v>
      </c>
      <c r="G5" s="190"/>
      <c r="H5" s="191">
        <f>IFERROR(SUMPRODUCT(('Input Data'!H3:H24&lt;&gt;"")*'Input Data'!F3:F24)/SUM('Input Data'!F3:F24),0)</f>
        <v>0.88534475029140136</v>
      </c>
      <c r="I5" s="191"/>
      <c r="J5" s="192">
        <f>IFERROR(SUMPRODUCT(('Input Data'!H3:H24="")*'Input Data'!F3:F24)/SUM('Input Data'!F3:F24),0)</f>
        <v>0.11465524970859857</v>
      </c>
      <c r="K5" s="192"/>
      <c r="L5" s="193" t="s">
        <v>652</v>
      </c>
      <c r="M5" s="193"/>
      <c r="N5" s="6"/>
    </row>
    <row r="6" spans="1:14" ht="18" customHeight="1" x14ac:dyDescent="0.35">
      <c r="A6" s="6"/>
      <c r="B6" s="194"/>
      <c r="C6" s="194"/>
      <c r="D6" s="195"/>
      <c r="E6" s="195"/>
      <c r="F6" s="196"/>
      <c r="G6" s="196"/>
      <c r="H6" s="195"/>
      <c r="I6" s="195"/>
      <c r="J6" s="197"/>
      <c r="K6" s="197"/>
      <c r="L6" s="198"/>
      <c r="M6" s="198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187" t="s">
        <v>239</v>
      </c>
      <c r="C8" s="187"/>
      <c r="D8" s="183" t="s">
        <v>240</v>
      </c>
      <c r="E8" s="183"/>
      <c r="F8" s="185" t="s">
        <v>241</v>
      </c>
      <c r="G8" s="185"/>
      <c r="H8" s="187" t="s">
        <v>242</v>
      </c>
      <c r="I8" s="187"/>
      <c r="J8" s="187" t="s">
        <v>243</v>
      </c>
      <c r="K8" s="187"/>
      <c r="L8" s="187" t="s">
        <v>244</v>
      </c>
      <c r="M8" s="187"/>
      <c r="N8" s="6"/>
    </row>
    <row r="9" spans="1:14" ht="27.75" customHeight="1" x14ac:dyDescent="0.35">
      <c r="A9" s="6"/>
      <c r="B9" s="199">
        <f>SUM('Input Data'!K3:K24)</f>
        <v>7199043.9990000008</v>
      </c>
      <c r="C9" s="199"/>
      <c r="D9" s="200">
        <f>SUM('Input Data'!Q3:Q24)</f>
        <v>5377867.9789999994</v>
      </c>
      <c r="E9" s="200"/>
      <c r="F9" s="201">
        <f>SUM('Input Data'!L3:L24)</f>
        <v>-2473509.17</v>
      </c>
      <c r="G9" s="201"/>
      <c r="H9" s="202">
        <f ca="1">E14</f>
        <v>0</v>
      </c>
      <c r="I9" s="202"/>
      <c r="J9" s="202">
        <f ca="1">E15</f>
        <v>0</v>
      </c>
      <c r="K9" s="202"/>
      <c r="L9" s="203" t="s">
        <v>245</v>
      </c>
      <c r="M9" s="203"/>
      <c r="N9" s="6"/>
    </row>
    <row r="10" spans="1:14" ht="18" customHeight="1" x14ac:dyDescent="0.35">
      <c r="A10" s="6"/>
      <c r="B10" s="198"/>
      <c r="C10" s="198"/>
      <c r="D10" s="194"/>
      <c r="E10" s="194"/>
      <c r="F10" s="196"/>
      <c r="G10" s="196"/>
      <c r="H10" s="198"/>
      <c r="I10" s="198"/>
      <c r="J10" s="198"/>
      <c r="K10" s="198"/>
      <c r="L10" s="198"/>
      <c r="M10" s="198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204" t="s">
        <v>246</v>
      </c>
      <c r="C12" s="204"/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6"/>
    </row>
    <row r="13" spans="1:14" ht="19.5" customHeight="1" x14ac:dyDescent="0.35">
      <c r="A13" s="6"/>
      <c r="B13" s="205" t="s">
        <v>247</v>
      </c>
      <c r="C13" s="205"/>
      <c r="D13" s="205"/>
      <c r="E13" s="2" t="s">
        <v>248</v>
      </c>
      <c r="F13" s="205" t="s">
        <v>249</v>
      </c>
      <c r="G13" s="205"/>
      <c r="H13" s="205"/>
      <c r="I13" s="205"/>
      <c r="J13" s="205"/>
      <c r="K13" s="205"/>
      <c r="L13" s="205"/>
      <c r="M13" s="205"/>
      <c r="N13" s="6"/>
    </row>
    <row r="14" spans="1:14" ht="18" customHeight="1" x14ac:dyDescent="0.35">
      <c r="A14" s="6"/>
      <c r="B14" s="206" t="s">
        <v>242</v>
      </c>
      <c r="C14" s="206"/>
      <c r="D14" s="206"/>
      <c r="E14" s="71">
        <f ca="1">IFERROR(SUMPRODUCT(('Input Data'!AD3:AD24&gt;TODAY())*('Input Data'!AE3:AE24&gt;0)*'Input Data'!F3:F24*('Input Data'!AD3:AD24-TODAY())/365.25)/SUMPRODUCT(('Input Data'!AD3:AD24&gt;TODAY())*('Input Data'!AE3:AE24&gt;0)*'Input Data'!F3:F24),0)</f>
        <v>0</v>
      </c>
      <c r="F14" s="207" t="s">
        <v>250</v>
      </c>
      <c r="G14" s="207"/>
      <c r="H14" s="207"/>
      <c r="I14" s="207"/>
      <c r="J14" s="207"/>
      <c r="K14" s="207"/>
      <c r="L14" s="207"/>
      <c r="M14" s="207"/>
      <c r="N14" s="6"/>
    </row>
    <row r="15" spans="1:14" ht="18" customHeight="1" x14ac:dyDescent="0.35">
      <c r="A15" s="6"/>
      <c r="B15" s="208" t="s">
        <v>243</v>
      </c>
      <c r="C15" s="208"/>
      <c r="D15" s="208"/>
      <c r="E15" s="73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0</v>
      </c>
      <c r="F15" s="209" t="s">
        <v>251</v>
      </c>
      <c r="G15" s="209"/>
      <c r="H15" s="209"/>
      <c r="I15" s="209"/>
      <c r="J15" s="209"/>
      <c r="K15" s="209"/>
      <c r="L15" s="209"/>
      <c r="M15" s="209"/>
      <c r="N15" s="6"/>
    </row>
    <row r="16" spans="1:14" ht="7.5" customHeight="1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204" t="s">
        <v>252</v>
      </c>
      <c r="C17" s="204"/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6"/>
    </row>
    <row r="18" spans="1:14" ht="19.5" customHeight="1" x14ac:dyDescent="0.35">
      <c r="A18" s="6"/>
      <c r="B18" s="205" t="s">
        <v>253</v>
      </c>
      <c r="C18" s="205"/>
      <c r="D18" s="205" t="s">
        <v>254</v>
      </c>
      <c r="E18" s="205"/>
      <c r="F18" s="2" t="s">
        <v>255</v>
      </c>
      <c r="G18" s="2" t="s">
        <v>63</v>
      </c>
      <c r="H18" s="2" t="s">
        <v>256</v>
      </c>
      <c r="I18" s="2" t="s">
        <v>257</v>
      </c>
      <c r="J18" s="205" t="s">
        <v>258</v>
      </c>
      <c r="K18" s="205"/>
      <c r="L18" s="205"/>
      <c r="M18" s="205"/>
      <c r="N18" s="6"/>
    </row>
    <row r="19" spans="1:14" ht="18" customHeight="1" x14ac:dyDescent="0.35">
      <c r="A19" s="6"/>
      <c r="B19" s="210" t="s">
        <v>259</v>
      </c>
      <c r="C19" s="210"/>
      <c r="D19" s="211">
        <f>SUMPRODUCT(('Input Data'!AD3:AD24&lt;&gt;"")*('Input Data'!AD3:AD24&lt;=DATE(2026,12,31))*'Input Data'!AE3:AE24*'Input Data'!F3:F24)</f>
        <v>0</v>
      </c>
      <c r="E19" s="211"/>
      <c r="F19" s="74">
        <f ca="1">IFERROR(D19/(SUMPRODUCT(('Input Data'!AD3:AD24&gt;TODAY())*('Input Data'!AE3:AE24&gt;0)*'Input Data'!AE3:AE24*'Input Data'!F3:F24)),0)</f>
        <v>0</v>
      </c>
      <c r="G19" s="75">
        <f>SUMPRODUCT(('Input Data'!AD3:AD24&lt;&gt;"")*('Input Data'!AD3:AD24&lt;=DATE(2026,12,31))*'Input Data'!F3:F24)</f>
        <v>0</v>
      </c>
      <c r="H19" s="74">
        <f ca="1">IFERROR(G19/(SUMPRODUCT(('Input Data'!AD3:AD24&gt;TODAY())*('Input Data'!AE3:AE24&gt;0)*'Input Data'!F3:F24)),0)</f>
        <v>0</v>
      </c>
      <c r="I19" s="76">
        <f>SUMPRODUCT(('Input Data'!AD3:AD24&lt;&gt;"")*('Input Data'!AD3:AD24&lt;=DATE(2026,12,31))*1)</f>
        <v>0</v>
      </c>
      <c r="J19" s="212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212"/>
      <c r="L19" s="212"/>
      <c r="M19" s="212"/>
      <c r="N19" s="6"/>
    </row>
    <row r="20" spans="1:14" ht="18" customHeight="1" x14ac:dyDescent="0.35">
      <c r="A20" s="6"/>
      <c r="B20" s="213" t="s">
        <v>260</v>
      </c>
      <c r="C20" s="213"/>
      <c r="D20" s="214" t="e">
        <f ca="1">SUMPRODUCT(('Input Data'!AD3:AD24&gt;TODAY())*(YEAR('Input Data'!AD3:AD24)=2027)*('Input Data'!AE3:AE24&gt;0)*'Input Data'!AE3:AE24*'Input Data'!F3:F24)</f>
        <v>#VALUE!</v>
      </c>
      <c r="E20" s="214"/>
      <c r="F20" s="77">
        <f ca="1">IFERROR(D20/(SUMPRODUCT(('Input Data'!AD3:AD24&gt;TODAY())*('Input Data'!AE3:AE24&gt;0)*'Input Data'!AE3:AE24*'Input Data'!F3:F24)),0)</f>
        <v>0</v>
      </c>
      <c r="G20" s="78" t="e">
        <f ca="1">SUMPRODUCT(('Input Data'!AD3:AD24&gt;TODAY())*(YEAR('Input Data'!AD3:AD24)=2027)*('Input Data'!AE3:AE24&gt;0)*'Input Data'!F3:F24)</f>
        <v>#VALUE!</v>
      </c>
      <c r="H20" s="77">
        <f ca="1">IFERROR(G20/(SUMPRODUCT(('Input Data'!AD3:AD24&gt;TODAY())*('Input Data'!AE3:AE24&gt;0)*'Input Data'!F3:F24)),0)</f>
        <v>0</v>
      </c>
      <c r="I20" s="79" t="e">
        <f ca="1">SUMPRODUCT(('Input Data'!AD3:AD24&gt;TODAY())*(YEAR('Input Data'!AD3:AD24)=2027)*('Input Data'!AE3:AE24&gt;0)*1)</f>
        <v>#VALUE!</v>
      </c>
      <c r="J20" s="215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—</v>
      </c>
      <c r="K20" s="215"/>
      <c r="L20" s="215"/>
      <c r="M20" s="215"/>
      <c r="N20" s="6"/>
    </row>
    <row r="21" spans="1:14" ht="26.25" customHeight="1" x14ac:dyDescent="0.35">
      <c r="A21" s="6"/>
      <c r="B21" s="216" t="s">
        <v>261</v>
      </c>
      <c r="C21" s="216"/>
      <c r="D21" s="217" t="e">
        <f ca="1">SUMPRODUCT(('Input Data'!AD3:AD24&gt;TODAY())*(YEAR('Input Data'!AD3:AD24)=2028)*('Input Data'!AE3:AE24&gt;0)*'Input Data'!AE3:AE24*'Input Data'!F3:F24)</f>
        <v>#VALUE!</v>
      </c>
      <c r="E21" s="217"/>
      <c r="F21" s="81">
        <f ca="1">IFERROR(D21/(SUMPRODUCT(('Input Data'!AD3:AD24&gt;TODAY())*('Input Data'!AE3:AE24&gt;0)*'Input Data'!AE3:AE24*'Input Data'!F3:F24)),0)</f>
        <v>0</v>
      </c>
      <c r="G21" s="82" t="e">
        <f ca="1">SUMPRODUCT(('Input Data'!AD3:AD24&gt;TODAY())*(YEAR('Input Data'!AD3:AD24)=2028)*('Input Data'!AE3:AE24&gt;0)*'Input Data'!F3:F24)</f>
        <v>#VALUE!</v>
      </c>
      <c r="H21" s="81">
        <f ca="1">IFERROR(G21/(SUMPRODUCT(('Input Data'!AD3:AD24&gt;TODAY())*('Input Data'!AE3:AE24&gt;0)*'Input Data'!F3:F24)),0)</f>
        <v>0</v>
      </c>
      <c r="I21" s="83" t="e">
        <f ca="1">SUMPRODUCT(('Input Data'!AD3:AD24&gt;TODAY())*(YEAR('Input Data'!AD3:AD24)=2028)*('Input Data'!AE3:AE24&gt;0)*1)</f>
        <v>#VALUE!</v>
      </c>
      <c r="J21" s="218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—</v>
      </c>
      <c r="K21" s="218"/>
      <c r="L21" s="218"/>
      <c r="M21" s="218"/>
      <c r="N21" s="6"/>
    </row>
    <row r="22" spans="1:14" ht="26.25" customHeight="1" x14ac:dyDescent="0.35">
      <c r="A22" s="6"/>
      <c r="B22" s="213" t="s">
        <v>262</v>
      </c>
      <c r="C22" s="213"/>
      <c r="D22" s="219" t="e">
        <f ca="1">SUMPRODUCT(('Input Data'!AD3:AD24&gt;TODAY())*(YEAR('Input Data'!AD3:AD24)=2029)*('Input Data'!AE3:AE24&gt;0)*'Input Data'!AE3:AE24*'Input Data'!F3:F24)</f>
        <v>#VALUE!</v>
      </c>
      <c r="E22" s="219"/>
      <c r="F22" s="84">
        <f ca="1">IFERROR(D22/(SUMPRODUCT(('Input Data'!AD3:AD24&gt;TODAY())*('Input Data'!AE3:AE24&gt;0)*'Input Data'!AE3:AE24*'Input Data'!F3:F24)),0)</f>
        <v>0</v>
      </c>
      <c r="G22" s="85" t="e">
        <f ca="1">SUMPRODUCT(('Input Data'!AD3:AD24&gt;TODAY())*(YEAR('Input Data'!AD3:AD24)=2029)*('Input Data'!AE3:AE24&gt;0)*'Input Data'!F3:F24)</f>
        <v>#VALUE!</v>
      </c>
      <c r="H22" s="84">
        <f ca="1">IFERROR(G22/(SUMPRODUCT(('Input Data'!AD3:AD24&gt;TODAY())*('Input Data'!AE3:AE24&gt;0)*'Input Data'!F3:F24)),0)</f>
        <v>0</v>
      </c>
      <c r="I22" s="86" t="e">
        <f ca="1">SUMPRODUCT(('Input Data'!AD3:AD24&gt;TODAY())*(YEAR('Input Data'!AD3:AD24)=2029)*('Input Data'!AE3:AE24&gt;0)*1)</f>
        <v>#VALUE!</v>
      </c>
      <c r="J22" s="220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—</v>
      </c>
      <c r="K22" s="220"/>
      <c r="L22" s="220"/>
      <c r="M22" s="220"/>
      <c r="N22" s="6"/>
    </row>
    <row r="23" spans="1:14" ht="26.25" customHeight="1" x14ac:dyDescent="0.35">
      <c r="A23" s="6"/>
      <c r="B23" s="221" t="s">
        <v>263</v>
      </c>
      <c r="C23" s="221"/>
      <c r="D23" s="219" t="e">
        <f ca="1">SUMPRODUCT(('Input Data'!AD3:AD24&gt;TODAY())*(YEAR('Input Data'!AD3:AD24)=2030)*('Input Data'!AE3:AE24&gt;0)*'Input Data'!AE3:AE24*'Input Data'!F3:F24)</f>
        <v>#VALUE!</v>
      </c>
      <c r="E23" s="219"/>
      <c r="F23" s="84">
        <f ca="1">IFERROR(D23/(SUMPRODUCT(('Input Data'!AD3:AD24&gt;TODAY())*('Input Data'!AE3:AE24&gt;0)*'Input Data'!AE3:AE24*'Input Data'!F3:F24)),0)</f>
        <v>0</v>
      </c>
      <c r="G23" s="85" t="e">
        <f ca="1">SUMPRODUCT(('Input Data'!AD3:AD24&gt;TODAY())*(YEAR('Input Data'!AD3:AD24)=2030)*('Input Data'!AE3:AE24&gt;0)*'Input Data'!F3:F24)</f>
        <v>#VALUE!</v>
      </c>
      <c r="H23" s="84">
        <f ca="1">IFERROR(G23/(SUMPRODUCT(('Input Data'!AD3:AD24&gt;TODAY())*('Input Data'!AE3:AE24&gt;0)*'Input Data'!F3:F24)),0)</f>
        <v>0</v>
      </c>
      <c r="I23" s="86" t="e">
        <f ca="1">SUMPRODUCT(('Input Data'!AD3:AD24&gt;TODAY())*(YEAR('Input Data'!AD3:AD24)=2030)*('Input Data'!AE3:AE24&gt;0)*1)</f>
        <v>#VALUE!</v>
      </c>
      <c r="J23" s="220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—</v>
      </c>
      <c r="K23" s="220"/>
      <c r="L23" s="220"/>
      <c r="M23" s="220"/>
      <c r="N23" s="6"/>
    </row>
    <row r="24" spans="1:14" ht="26.25" customHeight="1" x14ac:dyDescent="0.35">
      <c r="A24" s="6"/>
      <c r="B24" s="213" t="s">
        <v>264</v>
      </c>
      <c r="C24" s="213"/>
      <c r="D24" s="219" t="e">
        <f ca="1">SUMPRODUCT(('Input Data'!AD3:AD24&gt;TODAY())*(YEAR('Input Data'!AD3:AD24)&gt;=2031)*('Input Data'!AE3:AE24&gt;0)*'Input Data'!AE3:AE24*'Input Data'!F3:F24)</f>
        <v>#VALUE!</v>
      </c>
      <c r="E24" s="219"/>
      <c r="F24" s="84">
        <f ca="1">IFERROR(D24/(SUMPRODUCT(('Input Data'!AD3:AD24&gt;TODAY())*('Input Data'!AE3:AE24&gt;0)*'Input Data'!AE3:AE24*'Input Data'!F3:F24)),0)</f>
        <v>0</v>
      </c>
      <c r="G24" s="85" t="e">
        <f ca="1">SUMPRODUCT(('Input Data'!AD3:AD24&gt;TODAY())*(YEAR('Input Data'!AD3:AD24)&gt;=2031)*('Input Data'!AE3:AE24&gt;0)*'Input Data'!F3:F24)</f>
        <v>#VALUE!</v>
      </c>
      <c r="H24" s="84">
        <f ca="1">IFERROR(G24/(SUMPRODUCT(('Input Data'!AD3:AD24&gt;TODAY())*('Input Data'!AE3:AE24&gt;0)*'Input Data'!F3:F24)),0)</f>
        <v>0</v>
      </c>
      <c r="I24" s="86" t="e">
        <f ca="1">SUMPRODUCT(('Input Data'!AD3:AD24&gt;TODAY())*(YEAR('Input Data'!AD3:AD24)&gt;=2031)*('Input Data'!AE3:AE24&gt;0)*1)</f>
        <v>#VALUE!</v>
      </c>
      <c r="J24" s="220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—</v>
      </c>
      <c r="K24" s="220"/>
      <c r="L24" s="220"/>
      <c r="M24" s="220"/>
      <c r="N24" s="6"/>
    </row>
    <row r="25" spans="1:14" ht="19.5" customHeight="1" x14ac:dyDescent="0.35">
      <c r="A25" s="6"/>
      <c r="B25" s="216" t="s">
        <v>265</v>
      </c>
      <c r="C25" s="216"/>
      <c r="D25" s="222">
        <f ca="1">SUMPRODUCT(('Input Data'!AD3:AD24&gt;TODAY())*('Input Data'!AE3:AE24&gt;0)*'Input Data'!AE3:AE24*'Input Data'!F3:F24)</f>
        <v>7199043.9990000008</v>
      </c>
      <c r="E25" s="222"/>
      <c r="F25" s="87">
        <v>1</v>
      </c>
      <c r="G25" s="62">
        <f ca="1">SUMPRODUCT(('Input Data'!AD3:AD24&gt;TODAY())*('Input Data'!AE3:AE24&gt;0)*'Input Data'!F3:F24)</f>
        <v>7533.9000000000005</v>
      </c>
      <c r="H25" s="87">
        <v>1</v>
      </c>
      <c r="I25" s="68"/>
      <c r="J25" s="68"/>
      <c r="K25" s="68"/>
      <c r="L25" s="68"/>
      <c r="M25" s="68"/>
      <c r="N25" s="6"/>
    </row>
    <row r="26" spans="1:14" ht="7.5" customHeigh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204" t="s">
        <v>266</v>
      </c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6"/>
    </row>
    <row r="28" spans="1:14" ht="19.5" customHeight="1" x14ac:dyDescent="0.35">
      <c r="A28" s="6"/>
      <c r="B28" s="2" t="s">
        <v>267</v>
      </c>
      <c r="C28" s="205" t="s">
        <v>268</v>
      </c>
      <c r="D28" s="205"/>
      <c r="E28" s="2" t="s">
        <v>269</v>
      </c>
      <c r="F28" s="2" t="s">
        <v>270</v>
      </c>
      <c r="G28" s="2" t="s">
        <v>271</v>
      </c>
      <c r="H28" s="2" t="s">
        <v>272</v>
      </c>
      <c r="I28" s="2" t="s">
        <v>273</v>
      </c>
      <c r="J28" s="205" t="s">
        <v>274</v>
      </c>
      <c r="K28" s="205"/>
      <c r="L28" s="205"/>
      <c r="M28" s="205"/>
      <c r="N28" s="6"/>
    </row>
    <row r="29" spans="1:14" ht="15" customHeight="1" x14ac:dyDescent="0.35">
      <c r="A29" s="6"/>
      <c r="B29" s="49" t="str">
        <f>'Input Data'!C3</f>
        <v>3.01</v>
      </c>
      <c r="C29" s="223" t="str">
        <f>'Input Data'!D3</f>
        <v>Sydney Smiletree Pty Ltd</v>
      </c>
      <c r="D29" s="223"/>
      <c r="E29" s="51">
        <f>'Input Data'!F3</f>
        <v>107.7</v>
      </c>
      <c r="F29" s="52">
        <f>'Input Data'!J3</f>
        <v>1342.25</v>
      </c>
      <c r="G29" s="52">
        <f>'Input Data'!X3</f>
        <v>950</v>
      </c>
      <c r="H29" s="52">
        <f>'Input Data'!Y3</f>
        <v>392.25</v>
      </c>
      <c r="I29" s="55">
        <f>'Input Data'!Z3</f>
        <v>0.41289473684210526</v>
      </c>
      <c r="J29" s="223" t="str">
        <f>IF('Input Data'!Y3&gt;0,"▲ Above Mkt",IF('Input Data'!Y3&lt;0,"▼ Below Mkt","≈ At Market"))</f>
        <v>▲ Above Mkt</v>
      </c>
      <c r="K29" s="223"/>
      <c r="L29" s="223"/>
      <c r="M29" s="223"/>
      <c r="N29" s="6"/>
    </row>
    <row r="30" spans="1:14" ht="15" customHeight="1" x14ac:dyDescent="0.35">
      <c r="A30" s="6"/>
      <c r="B30" s="32" t="str">
        <f>'Input Data'!C4</f>
        <v>3.02</v>
      </c>
      <c r="C30" s="224" t="str">
        <f>'Input Data'!D4</f>
        <v>Fitness First Australia Pty Limited</v>
      </c>
      <c r="D30" s="224"/>
      <c r="E30" s="34">
        <f>'Input Data'!F4</f>
        <v>795.5</v>
      </c>
      <c r="F30" s="37">
        <f>'Input Data'!J4</f>
        <v>855.7</v>
      </c>
      <c r="G30" s="37">
        <f>'Input Data'!X4</f>
        <v>870</v>
      </c>
      <c r="H30" s="37">
        <f>'Input Data'!Y4</f>
        <v>-14.299999999999955</v>
      </c>
      <c r="I30" s="39">
        <f>'Input Data'!Z4</f>
        <v>-1.6436781609195351E-2</v>
      </c>
      <c r="J30" s="224" t="str">
        <f>IF('Input Data'!Y4&gt;0,"▲ Above Mkt",IF('Input Data'!Y4&lt;0,"▼ Below Mkt","≈ At Market"))</f>
        <v>▼ Below Mkt</v>
      </c>
      <c r="K30" s="224"/>
      <c r="L30" s="224"/>
      <c r="M30" s="224"/>
      <c r="N30" s="6"/>
    </row>
    <row r="31" spans="1:14" ht="15" customHeight="1" x14ac:dyDescent="0.35">
      <c r="A31" s="6"/>
      <c r="B31" s="13" t="str">
        <f>'Input Data'!C5</f>
        <v>4.01</v>
      </c>
      <c r="C31" s="207" t="str">
        <f>'Input Data'!D5</f>
        <v>Fitness First Australia Pty Limited</v>
      </c>
      <c r="D31" s="207"/>
      <c r="E31" s="22">
        <f>'Input Data'!F5</f>
        <v>1047</v>
      </c>
      <c r="F31" s="25">
        <f>'Input Data'!J5</f>
        <v>855.7</v>
      </c>
      <c r="G31" s="25">
        <f>'Input Data'!X5</f>
        <v>870</v>
      </c>
      <c r="H31" s="25">
        <f>'Input Data'!Y5</f>
        <v>-14.299999999999955</v>
      </c>
      <c r="I31" s="27">
        <f>'Input Data'!Z5</f>
        <v>-1.6436781609195351E-2</v>
      </c>
      <c r="J31" s="207" t="str">
        <f>IF('Input Data'!Y5&gt;0,"▲ Above Mkt",IF('Input Data'!Y5&lt;0,"▼ Below Mkt","≈ At Market"))</f>
        <v>▼ Below Mkt</v>
      </c>
      <c r="K31" s="207"/>
      <c r="L31" s="207"/>
      <c r="M31" s="207"/>
      <c r="N31" s="6"/>
    </row>
    <row r="32" spans="1:14" ht="15" customHeight="1" x14ac:dyDescent="0.35">
      <c r="A32" s="6"/>
      <c r="B32" s="32" t="str">
        <f>'Input Data'!C6</f>
        <v>5.01</v>
      </c>
      <c r="C32" s="224" t="str">
        <f>'Input Data'!D6</f>
        <v>Fitness First Australia Pty Limited</v>
      </c>
      <c r="D32" s="224"/>
      <c r="E32" s="34">
        <f>'Input Data'!F6</f>
        <v>437.1</v>
      </c>
      <c r="F32" s="37">
        <f>'Input Data'!J6</f>
        <v>855.7</v>
      </c>
      <c r="G32" s="37">
        <f>'Input Data'!X6</f>
        <v>870</v>
      </c>
      <c r="H32" s="37">
        <f>'Input Data'!Y6</f>
        <v>-14.299999999999955</v>
      </c>
      <c r="I32" s="39">
        <f>'Input Data'!Z6</f>
        <v>-1.6436781609195351E-2</v>
      </c>
      <c r="J32" s="224" t="str">
        <f>IF('Input Data'!Y6&gt;0,"▲ Above Mkt",IF('Input Data'!Y6&lt;0,"▼ Below Mkt","≈ At Market"))</f>
        <v>▼ Below Mkt</v>
      </c>
      <c r="K32" s="224"/>
      <c r="L32" s="224"/>
      <c r="M32" s="224"/>
      <c r="N32" s="6"/>
    </row>
    <row r="33" spans="1:14" ht="15" customHeight="1" x14ac:dyDescent="0.35">
      <c r="A33" s="6"/>
      <c r="B33" s="88" t="str">
        <f>'Input Data'!C7</f>
        <v>5.03</v>
      </c>
      <c r="C33" s="225" t="str">
        <f>'Input Data'!D7</f>
        <v>Asterx Pty Ltd</v>
      </c>
      <c r="D33" s="225"/>
      <c r="E33" s="90">
        <f>'Input Data'!F7</f>
        <v>229.8</v>
      </c>
      <c r="F33" s="91">
        <f>'Input Data'!J7</f>
        <v>877.01</v>
      </c>
      <c r="G33" s="91">
        <f>'Input Data'!X7</f>
        <v>950</v>
      </c>
      <c r="H33" s="91">
        <f>'Input Data'!Y7</f>
        <v>-72.990000000000009</v>
      </c>
      <c r="I33" s="92">
        <f>'Input Data'!Z7</f>
        <v>-7.6831578947368431E-2</v>
      </c>
      <c r="J33" s="225" t="str">
        <f>IF('Input Data'!Y7&gt;0,"▲ Above Mkt",IF('Input Data'!Y7&lt;0,"▼ Below Mkt","≈ At Market"))</f>
        <v>▼ Below Mkt</v>
      </c>
      <c r="K33" s="225"/>
      <c r="L33" s="225"/>
      <c r="M33" s="225"/>
      <c r="N33" s="6"/>
    </row>
    <row r="34" spans="1:14" ht="15" customHeight="1" x14ac:dyDescent="0.35">
      <c r="A34" s="6"/>
      <c r="B34" s="32" t="str">
        <f>'Input Data'!C8</f>
        <v>5.04</v>
      </c>
      <c r="C34" s="224" t="str">
        <f>'Input Data'!D8</f>
        <v>Auctionsplus Pty Ltd</v>
      </c>
      <c r="D34" s="224"/>
      <c r="E34" s="34">
        <f>'Input Data'!F8</f>
        <v>413.5</v>
      </c>
      <c r="F34" s="37">
        <f>'Input Data'!J8</f>
        <v>1005.89</v>
      </c>
      <c r="G34" s="37">
        <f>'Input Data'!X8</f>
        <v>990</v>
      </c>
      <c r="H34" s="37">
        <f>'Input Data'!Y8</f>
        <v>15.889999999999986</v>
      </c>
      <c r="I34" s="39">
        <f>'Input Data'!Z8</f>
        <v>1.6050505050505037E-2</v>
      </c>
      <c r="J34" s="224" t="str">
        <f>IF('Input Data'!Y8&gt;0,"▲ Above Mkt",IF('Input Data'!Y8&lt;0,"▼ Below Mkt","≈ At Market"))</f>
        <v>▲ Above Mkt</v>
      </c>
      <c r="K34" s="224"/>
      <c r="L34" s="224"/>
      <c r="M34" s="224"/>
      <c r="N34" s="6"/>
    </row>
    <row r="35" spans="1:14" ht="15" customHeight="1" x14ac:dyDescent="0.35">
      <c r="A35" s="6"/>
      <c r="B35" s="13" t="str">
        <f>'Input Data'!C9</f>
        <v>6.02</v>
      </c>
      <c r="C35" s="207" t="str">
        <f>'Input Data'!D9</f>
        <v>Sungrow Australia Group</v>
      </c>
      <c r="D35" s="207"/>
      <c r="E35" s="22">
        <f>'Input Data'!F9</f>
        <v>451.7</v>
      </c>
      <c r="F35" s="25">
        <f>'Input Data'!J9</f>
        <v>954.5</v>
      </c>
      <c r="G35" s="25">
        <f>'Input Data'!X9</f>
        <v>955</v>
      </c>
      <c r="H35" s="25">
        <f>'Input Data'!Y9</f>
        <v>-0.5</v>
      </c>
      <c r="I35" s="27">
        <f>'Input Data'!Z9</f>
        <v>-5.2356020942408382E-4</v>
      </c>
      <c r="J35" s="207" t="str">
        <f>IF('Input Data'!Y9&gt;0,"▲ Above Mkt",IF('Input Data'!Y9&lt;0,"▼ Below Mkt","≈ At Market"))</f>
        <v>▼ Below Mkt</v>
      </c>
      <c r="K35" s="207"/>
      <c r="L35" s="207"/>
      <c r="M35" s="207"/>
      <c r="N35" s="6"/>
    </row>
    <row r="36" spans="1:14" ht="15" customHeight="1" x14ac:dyDescent="0.35">
      <c r="A36" s="6"/>
      <c r="B36" s="32" t="str">
        <f>'Input Data'!C10</f>
        <v>6.03</v>
      </c>
      <c r="C36" s="224" t="str">
        <f>'Input Data'!D10</f>
        <v>Keeping Company Pty Ltd</v>
      </c>
      <c r="D36" s="224"/>
      <c r="E36" s="34">
        <f>'Input Data'!F10</f>
        <v>189.4</v>
      </c>
      <c r="F36" s="37">
        <f>'Input Data'!J10</f>
        <v>1020.02</v>
      </c>
      <c r="G36" s="37">
        <f>'Input Data'!X10</f>
        <v>990</v>
      </c>
      <c r="H36" s="37">
        <f>'Input Data'!Y10</f>
        <v>30.019999999999982</v>
      </c>
      <c r="I36" s="39">
        <f>'Input Data'!Z10</f>
        <v>3.0323232323232304E-2</v>
      </c>
      <c r="J36" s="224" t="str">
        <f>IF('Input Data'!Y10&gt;0,"▲ Above Mkt",IF('Input Data'!Y10&lt;0,"▼ Below Mkt","≈ At Market"))</f>
        <v>▲ Above Mkt</v>
      </c>
      <c r="K36" s="224"/>
      <c r="L36" s="224"/>
      <c r="M36" s="224"/>
      <c r="N36" s="6"/>
    </row>
    <row r="37" spans="1:14" ht="15" customHeight="1" x14ac:dyDescent="0.35">
      <c r="A37" s="6"/>
      <c r="B37" s="13" t="str">
        <f>'Input Data'!C11</f>
        <v>6.04</v>
      </c>
      <c r="C37" s="207" t="str">
        <f>'Input Data'!D11</f>
        <v>Elekta Pty Limited</v>
      </c>
      <c r="D37" s="207"/>
      <c r="E37" s="22">
        <f>'Input Data'!F11</f>
        <v>267.89999999999998</v>
      </c>
      <c r="F37" s="25">
        <f>'Input Data'!J11</f>
        <v>920</v>
      </c>
      <c r="G37" s="25">
        <f>'Input Data'!X11</f>
        <v>955</v>
      </c>
      <c r="H37" s="25">
        <f>'Input Data'!Y11</f>
        <v>-35</v>
      </c>
      <c r="I37" s="27">
        <f>'Input Data'!Z11</f>
        <v>-3.6649214659685861E-2</v>
      </c>
      <c r="J37" s="207" t="str">
        <f>IF('Input Data'!Y11&gt;0,"▲ Above Mkt",IF('Input Data'!Y11&lt;0,"▼ Below Mkt","≈ At Market"))</f>
        <v>▼ Below Mkt</v>
      </c>
      <c r="K37" s="207"/>
      <c r="L37" s="207"/>
      <c r="M37" s="207"/>
      <c r="N37" s="6"/>
    </row>
    <row r="38" spans="1:14" ht="15" customHeight="1" x14ac:dyDescent="0.35">
      <c r="A38" s="6"/>
      <c r="B38" s="32" t="str">
        <f>'Input Data'!C12</f>
        <v>7.01</v>
      </c>
      <c r="C38" s="224" t="str">
        <f>'Input Data'!D12</f>
        <v>Sungrow Australia Group</v>
      </c>
      <c r="D38" s="224"/>
      <c r="E38" s="34">
        <f>'Input Data'!F12</f>
        <v>484.1</v>
      </c>
      <c r="F38" s="37">
        <f>'Input Data'!J12</f>
        <v>1049.77</v>
      </c>
      <c r="G38" s="37">
        <f>'Input Data'!X12</f>
        <v>1020</v>
      </c>
      <c r="H38" s="37">
        <f>'Input Data'!Y12</f>
        <v>29.769999999999982</v>
      </c>
      <c r="I38" s="39">
        <f>'Input Data'!Z12</f>
        <v>2.9186274509803902E-2</v>
      </c>
      <c r="J38" s="224" t="str">
        <f>IF('Input Data'!Y12&gt;0,"▲ Above Mkt",IF('Input Data'!Y12&lt;0,"▼ Below Mkt","≈ At Market"))</f>
        <v>▲ Above Mkt</v>
      </c>
      <c r="K38" s="224"/>
      <c r="L38" s="224"/>
      <c r="M38" s="224"/>
      <c r="N38" s="6"/>
    </row>
    <row r="39" spans="1:14" ht="15" customHeight="1" x14ac:dyDescent="0.35">
      <c r="A39" s="6"/>
      <c r="B39" s="13" t="str">
        <f>'Input Data'!C14</f>
        <v>8.01</v>
      </c>
      <c r="C39" s="207" t="str">
        <f>'Input Data'!D14</f>
        <v>Vanderlande Industries Australia Pty Ltd</v>
      </c>
      <c r="D39" s="207"/>
      <c r="E39" s="22">
        <f>'Input Data'!F14</f>
        <v>686.7</v>
      </c>
      <c r="F39" s="25">
        <f>'Input Data'!J14</f>
        <v>989.66</v>
      </c>
      <c r="G39" s="25">
        <f>'Input Data'!X14</f>
        <v>990</v>
      </c>
      <c r="H39" s="25">
        <f>'Input Data'!Y14</f>
        <v>-0.34000000000003183</v>
      </c>
      <c r="I39" s="27">
        <f>'Input Data'!Z14</f>
        <v>-3.434343434343756E-4</v>
      </c>
      <c r="J39" s="207" t="str">
        <f>IF('Input Data'!Y14&gt;0,"▲ Above Mkt",IF('Input Data'!Y14&lt;0,"▼ Below Mkt","≈ At Market"))</f>
        <v>▼ Below Mkt</v>
      </c>
      <c r="K39" s="207"/>
      <c r="L39" s="207"/>
      <c r="M39" s="207"/>
      <c r="N39" s="6"/>
    </row>
    <row r="40" spans="1:14" ht="15" customHeight="1" x14ac:dyDescent="0.35">
      <c r="A40" s="6"/>
      <c r="B40" s="32" t="str">
        <f>'Input Data'!C15</f>
        <v>8.03</v>
      </c>
      <c r="C40" s="224" t="str">
        <f>'Input Data'!D15</f>
        <v>Can Too Foundation Limited</v>
      </c>
      <c r="D40" s="224"/>
      <c r="E40" s="34">
        <f>'Input Data'!F15</f>
        <v>116.3</v>
      </c>
      <c r="F40" s="37">
        <f>'Input Data'!J15</f>
        <v>990</v>
      </c>
      <c r="G40" s="37">
        <f>'Input Data'!X15</f>
        <v>990</v>
      </c>
      <c r="H40" s="37">
        <f>'Input Data'!Y15</f>
        <v>0</v>
      </c>
      <c r="I40" s="39">
        <f>'Input Data'!Z15</f>
        <v>0</v>
      </c>
      <c r="J40" s="224" t="str">
        <f>IF('Input Data'!Y15&gt;0,"▲ Above Mkt",IF('Input Data'!Y15&lt;0,"▼ Below Mkt","≈ At Market"))</f>
        <v>≈ At Market</v>
      </c>
      <c r="K40" s="224"/>
      <c r="L40" s="224"/>
      <c r="M40" s="224"/>
      <c r="N40" s="6"/>
    </row>
    <row r="41" spans="1:14" ht="15" customHeight="1" x14ac:dyDescent="0.35">
      <c r="A41" s="6"/>
      <c r="B41" s="13" t="str">
        <f>'Input Data'!C16</f>
        <v>9.01</v>
      </c>
      <c r="C41" s="207" t="str">
        <f>'Input Data'!D16</f>
        <v>Pitt &amp; Sherry (Operations) Pty Ltd</v>
      </c>
      <c r="D41" s="207"/>
      <c r="E41" s="22">
        <f>'Input Data'!F16</f>
        <v>453.3</v>
      </c>
      <c r="F41" s="25">
        <f>'Input Data'!J16</f>
        <v>1027.43</v>
      </c>
      <c r="G41" s="25">
        <f>'Input Data'!X16</f>
        <v>1040</v>
      </c>
      <c r="H41" s="25">
        <f>'Input Data'!Y16</f>
        <v>-12.569999999999936</v>
      </c>
      <c r="I41" s="27">
        <f>'Input Data'!Z16</f>
        <v>-1.20865384615384E-2</v>
      </c>
      <c r="J41" s="207" t="str">
        <f>IF('Input Data'!Y16&gt;0,"▲ Above Mkt",IF('Input Data'!Y16&lt;0,"▼ Below Mkt","≈ At Market"))</f>
        <v>▼ Below Mkt</v>
      </c>
      <c r="K41" s="207"/>
      <c r="L41" s="207"/>
      <c r="M41" s="207"/>
      <c r="N41" s="6"/>
    </row>
    <row r="42" spans="1:14" ht="15" customHeight="1" x14ac:dyDescent="0.35">
      <c r="A42" s="6"/>
      <c r="B42" s="32" t="str">
        <f>'Input Data'!C17</f>
        <v>12.01</v>
      </c>
      <c r="C42" s="224" t="str">
        <f>'Input Data'!D17</f>
        <v>Hulsbosch Design Pty Ltd</v>
      </c>
      <c r="D42" s="224"/>
      <c r="E42" s="34">
        <f>'Input Data'!F17</f>
        <v>344.5</v>
      </c>
      <c r="F42" s="37">
        <f>'Input Data'!J17</f>
        <v>990.29</v>
      </c>
      <c r="G42" s="37">
        <f>'Input Data'!X17</f>
        <v>1040</v>
      </c>
      <c r="H42" s="37">
        <f>'Input Data'!Y17</f>
        <v>-49.710000000000036</v>
      </c>
      <c r="I42" s="39">
        <f>'Input Data'!Z17</f>
        <v>-4.7798076923076957E-2</v>
      </c>
      <c r="J42" s="224" t="str">
        <f>IF('Input Data'!Y17&gt;0,"▲ Above Mkt",IF('Input Data'!Y17&lt;0,"▼ Below Mkt","≈ At Market"))</f>
        <v>▼ Below Mkt</v>
      </c>
      <c r="K42" s="224"/>
      <c r="L42" s="224"/>
      <c r="M42" s="224"/>
      <c r="N42" s="6"/>
    </row>
    <row r="43" spans="1:14" ht="15" customHeight="1" x14ac:dyDescent="0.35">
      <c r="A43" s="6"/>
      <c r="B43" s="13" t="str">
        <f>'Input Data'!C18</f>
        <v>9.02</v>
      </c>
      <c r="C43" s="207" t="str">
        <f>'Input Data'!D18</f>
        <v>Smile Partners Australia</v>
      </c>
      <c r="D43" s="207"/>
      <c r="E43" s="22">
        <f>'Input Data'!F18</f>
        <v>251</v>
      </c>
      <c r="F43" s="25">
        <f>'Input Data'!J18</f>
        <v>985</v>
      </c>
      <c r="G43" s="25">
        <f>'Input Data'!X18</f>
        <v>990</v>
      </c>
      <c r="H43" s="25">
        <f>'Input Data'!Y18</f>
        <v>-5</v>
      </c>
      <c r="I43" s="27">
        <f>'Input Data'!Z18</f>
        <v>-5.0505050505050509E-3</v>
      </c>
      <c r="J43" s="207" t="str">
        <f>IF('Input Data'!Y18&gt;0,"▲ Above Mkt",IF('Input Data'!Y18&lt;0,"▼ Below Mkt","≈ At Market"))</f>
        <v>▼ Below Mkt</v>
      </c>
      <c r="K43" s="207"/>
      <c r="L43" s="207"/>
      <c r="M43" s="207"/>
      <c r="N43" s="6"/>
    </row>
    <row r="44" spans="1:14" ht="15" customHeight="1" x14ac:dyDescent="0.35">
      <c r="A44" s="6"/>
      <c r="B44" s="32" t="str">
        <f>'Input Data'!C19</f>
        <v>12.02</v>
      </c>
      <c r="C44" s="224" t="str">
        <f>'Input Data'!D19</f>
        <v>Aei Insurance Group Pty Ltd</v>
      </c>
      <c r="D44" s="224"/>
      <c r="E44" s="34">
        <f>'Input Data'!F19</f>
        <v>536</v>
      </c>
      <c r="F44" s="37">
        <f>'Input Data'!J19</f>
        <v>988</v>
      </c>
      <c r="G44" s="37">
        <f>'Input Data'!X19</f>
        <v>1010</v>
      </c>
      <c r="H44" s="37">
        <f>'Input Data'!Y19</f>
        <v>-22</v>
      </c>
      <c r="I44" s="39">
        <f>'Input Data'!Z19</f>
        <v>-2.1782178217821781E-2</v>
      </c>
      <c r="J44" s="224" t="str">
        <f>IF('Input Data'!Y19&gt;0,"▲ Above Mkt",IF('Input Data'!Y19&lt;0,"▼ Below Mkt","≈ At Market"))</f>
        <v>▼ Below Mkt</v>
      </c>
      <c r="K44" s="224"/>
      <c r="L44" s="224"/>
      <c r="M44" s="224"/>
      <c r="N44" s="6"/>
    </row>
    <row r="45" spans="1:14" ht="7.5" customHeight="1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9.5" customHeight="1" x14ac:dyDescent="0.35">
      <c r="A46" s="6"/>
      <c r="B46" s="204" t="s">
        <v>275</v>
      </c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6"/>
    </row>
    <row r="47" spans="1:14" ht="19.5" customHeight="1" x14ac:dyDescent="0.35">
      <c r="A47" s="6"/>
      <c r="B47" s="205" t="s">
        <v>276</v>
      </c>
      <c r="C47" s="205"/>
      <c r="D47" s="2" t="s">
        <v>277</v>
      </c>
      <c r="E47" s="2" t="s">
        <v>278</v>
      </c>
      <c r="F47" s="2" t="s">
        <v>279</v>
      </c>
      <c r="G47" s="205" t="s">
        <v>280</v>
      </c>
      <c r="H47" s="205"/>
      <c r="I47" s="205"/>
      <c r="J47" s="205"/>
      <c r="K47" s="205"/>
      <c r="L47" s="205"/>
      <c r="M47" s="205"/>
      <c r="N47" s="6"/>
    </row>
    <row r="48" spans="1:14" ht="18" customHeight="1" x14ac:dyDescent="0.35">
      <c r="A48" s="6"/>
      <c r="B48" s="226" t="s">
        <v>281</v>
      </c>
      <c r="C48" s="226"/>
      <c r="D48" s="41" t="s">
        <v>282</v>
      </c>
      <c r="E48" s="11">
        <v>46204</v>
      </c>
      <c r="F48" s="93">
        <f t="shared" ref="F48:F60" ca="1" si="0">IFERROR(INT(E48-TODAY()),"")</f>
        <v>1</v>
      </c>
      <c r="G48" s="226" t="s">
        <v>283</v>
      </c>
      <c r="H48" s="226"/>
      <c r="I48" s="226"/>
      <c r="J48" s="226"/>
      <c r="K48" s="226"/>
      <c r="L48" s="226"/>
      <c r="M48" s="226"/>
      <c r="N48" s="6"/>
    </row>
    <row r="49" spans="1:14" ht="18" customHeight="1" x14ac:dyDescent="0.35">
      <c r="A49" s="6"/>
      <c r="B49" s="227" t="s">
        <v>284</v>
      </c>
      <c r="C49" s="227"/>
      <c r="D49" s="94" t="s">
        <v>65</v>
      </c>
      <c r="E49" s="95">
        <v>46538</v>
      </c>
      <c r="F49" s="96">
        <f t="shared" ca="1" si="0"/>
        <v>335</v>
      </c>
      <c r="G49" s="227" t="s">
        <v>285</v>
      </c>
      <c r="H49" s="227"/>
      <c r="I49" s="227"/>
      <c r="J49" s="227"/>
      <c r="K49" s="227"/>
      <c r="L49" s="227"/>
      <c r="M49" s="227"/>
      <c r="N49" s="6"/>
    </row>
    <row r="50" spans="1:14" ht="18" customHeight="1" x14ac:dyDescent="0.35">
      <c r="A50" s="6"/>
      <c r="B50" s="207" t="s">
        <v>286</v>
      </c>
      <c r="C50" s="207"/>
      <c r="D50" s="13" t="s">
        <v>287</v>
      </c>
      <c r="E50" s="23">
        <v>46447</v>
      </c>
      <c r="F50" s="97">
        <f t="shared" ca="1" si="0"/>
        <v>244</v>
      </c>
      <c r="G50" s="207" t="s">
        <v>288</v>
      </c>
      <c r="H50" s="207"/>
      <c r="I50" s="207"/>
      <c r="J50" s="207"/>
      <c r="K50" s="207"/>
      <c r="L50" s="207"/>
      <c r="M50" s="207"/>
      <c r="N50" s="6"/>
    </row>
    <row r="51" spans="1:14" ht="18" customHeight="1" x14ac:dyDescent="0.35">
      <c r="A51" s="6"/>
      <c r="B51" s="223" t="s">
        <v>289</v>
      </c>
      <c r="C51" s="223"/>
      <c r="D51" s="49" t="s">
        <v>290</v>
      </c>
      <c r="E51" s="98">
        <v>45809</v>
      </c>
      <c r="F51" s="99">
        <f t="shared" ca="1" si="0"/>
        <v>-394</v>
      </c>
      <c r="G51" s="223" t="s">
        <v>291</v>
      </c>
      <c r="H51" s="223"/>
      <c r="I51" s="223"/>
      <c r="J51" s="223"/>
      <c r="K51" s="223"/>
      <c r="L51" s="223"/>
      <c r="M51" s="223"/>
      <c r="N51" s="6"/>
    </row>
    <row r="52" spans="1:14" ht="18" customHeight="1" x14ac:dyDescent="0.35">
      <c r="A52" s="6"/>
      <c r="B52" s="226" t="s">
        <v>284</v>
      </c>
      <c r="C52" s="226"/>
      <c r="D52" s="41" t="s">
        <v>290</v>
      </c>
      <c r="E52" s="11">
        <v>46174</v>
      </c>
      <c r="F52" s="93">
        <f t="shared" ca="1" si="0"/>
        <v>-29</v>
      </c>
      <c r="G52" s="226" t="s">
        <v>292</v>
      </c>
      <c r="H52" s="226"/>
      <c r="I52" s="226"/>
      <c r="J52" s="226"/>
      <c r="K52" s="226"/>
      <c r="L52" s="226"/>
      <c r="M52" s="226"/>
      <c r="N52" s="6"/>
    </row>
    <row r="53" spans="1:14" ht="18" customHeight="1" x14ac:dyDescent="0.35">
      <c r="A53" s="6"/>
      <c r="B53" s="226" t="s">
        <v>293</v>
      </c>
      <c r="C53" s="226"/>
      <c r="D53" s="41" t="s">
        <v>287</v>
      </c>
      <c r="E53" s="11">
        <v>46204</v>
      </c>
      <c r="F53" s="93">
        <f t="shared" ca="1" si="0"/>
        <v>1</v>
      </c>
      <c r="G53" s="226" t="s">
        <v>294</v>
      </c>
      <c r="H53" s="226"/>
      <c r="I53" s="226"/>
      <c r="J53" s="226"/>
      <c r="K53" s="226"/>
      <c r="L53" s="226"/>
      <c r="M53" s="226"/>
      <c r="N53" s="6"/>
    </row>
    <row r="54" spans="1:14" ht="18" customHeight="1" x14ac:dyDescent="0.35">
      <c r="A54" s="6"/>
      <c r="B54" s="226" t="s">
        <v>295</v>
      </c>
      <c r="C54" s="226"/>
      <c r="D54" s="41" t="s">
        <v>296</v>
      </c>
      <c r="E54" s="11">
        <v>46207</v>
      </c>
      <c r="F54" s="93">
        <f t="shared" ca="1" si="0"/>
        <v>4</v>
      </c>
      <c r="G54" s="226" t="s">
        <v>297</v>
      </c>
      <c r="H54" s="226"/>
      <c r="I54" s="226"/>
      <c r="J54" s="226"/>
      <c r="K54" s="226"/>
      <c r="L54" s="226"/>
      <c r="M54" s="226"/>
      <c r="N54" s="6"/>
    </row>
    <row r="55" spans="1:14" ht="18" customHeight="1" x14ac:dyDescent="0.35">
      <c r="A55" s="6"/>
      <c r="B55" s="226" t="s">
        <v>298</v>
      </c>
      <c r="C55" s="226"/>
      <c r="D55" s="41" t="s">
        <v>287</v>
      </c>
      <c r="E55" s="11">
        <v>46204</v>
      </c>
      <c r="F55" s="93">
        <f t="shared" ca="1" si="0"/>
        <v>1</v>
      </c>
      <c r="G55" s="226" t="s">
        <v>299</v>
      </c>
      <c r="H55" s="226"/>
      <c r="I55" s="226"/>
      <c r="J55" s="226"/>
      <c r="K55" s="226"/>
      <c r="L55" s="226"/>
      <c r="M55" s="226"/>
      <c r="N55" s="6"/>
    </row>
    <row r="56" spans="1:14" ht="18" customHeight="1" x14ac:dyDescent="0.35">
      <c r="A56" s="6"/>
      <c r="B56" s="207" t="s">
        <v>295</v>
      </c>
      <c r="C56" s="207"/>
      <c r="D56" s="13" t="s">
        <v>65</v>
      </c>
      <c r="E56" s="23">
        <v>46571</v>
      </c>
      <c r="F56" s="97">
        <f t="shared" ca="1" si="0"/>
        <v>368</v>
      </c>
      <c r="G56" s="207" t="s">
        <v>300</v>
      </c>
      <c r="H56" s="207"/>
      <c r="I56" s="207"/>
      <c r="J56" s="207"/>
      <c r="K56" s="207"/>
      <c r="L56" s="207"/>
      <c r="M56" s="207"/>
      <c r="N56" s="6"/>
    </row>
    <row r="57" spans="1:14" ht="18" customHeight="1" x14ac:dyDescent="0.35">
      <c r="A57" s="6"/>
      <c r="B57" s="226" t="s">
        <v>301</v>
      </c>
      <c r="C57" s="226"/>
      <c r="D57" s="41" t="s">
        <v>296</v>
      </c>
      <c r="E57" s="11">
        <v>46174</v>
      </c>
      <c r="F57" s="93">
        <f t="shared" ca="1" si="0"/>
        <v>-29</v>
      </c>
      <c r="G57" s="226" t="s">
        <v>294</v>
      </c>
      <c r="H57" s="226"/>
      <c r="I57" s="226"/>
      <c r="J57" s="226"/>
      <c r="K57" s="226"/>
      <c r="L57" s="226"/>
      <c r="M57" s="226"/>
      <c r="N57" s="6"/>
    </row>
    <row r="58" spans="1:14" ht="18" customHeight="1" x14ac:dyDescent="0.35">
      <c r="A58" s="6"/>
      <c r="B58" s="223" t="s">
        <v>302</v>
      </c>
      <c r="C58" s="223"/>
      <c r="D58" s="49" t="s">
        <v>303</v>
      </c>
      <c r="E58" s="98" t="s">
        <v>304</v>
      </c>
      <c r="F58" s="99" t="str">
        <f t="shared" ca="1" si="0"/>
        <v/>
      </c>
      <c r="G58" s="223" t="s">
        <v>305</v>
      </c>
      <c r="H58" s="223"/>
      <c r="I58" s="223"/>
      <c r="J58" s="223"/>
      <c r="K58" s="223"/>
      <c r="L58" s="223"/>
      <c r="M58" s="223"/>
      <c r="N58" s="6"/>
    </row>
    <row r="59" spans="1:14" ht="18" customHeight="1" x14ac:dyDescent="0.35">
      <c r="A59" s="6"/>
      <c r="B59" s="223" t="s">
        <v>306</v>
      </c>
      <c r="C59" s="223"/>
      <c r="D59" s="49" t="s">
        <v>303</v>
      </c>
      <c r="E59" s="98" t="s">
        <v>304</v>
      </c>
      <c r="F59" s="99" t="str">
        <f t="shared" ca="1" si="0"/>
        <v/>
      </c>
      <c r="G59" s="223" t="s">
        <v>307</v>
      </c>
      <c r="H59" s="223"/>
      <c r="I59" s="223"/>
      <c r="J59" s="223"/>
      <c r="K59" s="223"/>
      <c r="L59" s="223"/>
      <c r="M59" s="223"/>
      <c r="N59" s="6"/>
    </row>
    <row r="60" spans="1:14" ht="7.5" customHeight="1" x14ac:dyDescent="0.35">
      <c r="A60" s="1"/>
      <c r="B60" s="59" t="s">
        <v>308</v>
      </c>
      <c r="C60" s="1"/>
      <c r="D60" s="59" t="s">
        <v>282</v>
      </c>
      <c r="E60" s="60">
        <v>46296</v>
      </c>
      <c r="F60" s="59">
        <f t="shared" ca="1" si="0"/>
        <v>93</v>
      </c>
      <c r="G60" s="59" t="s">
        <v>309</v>
      </c>
      <c r="H60" s="1"/>
      <c r="I60" s="1"/>
      <c r="J60" s="1"/>
      <c r="K60" s="1"/>
      <c r="L60" s="1"/>
      <c r="M60" s="1"/>
      <c r="N60" s="1"/>
    </row>
    <row r="61" spans="1:14" ht="19.5" customHeight="1" x14ac:dyDescent="0.35">
      <c r="A61" s="100"/>
      <c r="B61" s="204" t="s">
        <v>310</v>
      </c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100"/>
    </row>
    <row r="62" spans="1:14" ht="21.75" customHeight="1" x14ac:dyDescent="0.35">
      <c r="A62" s="1"/>
      <c r="B62" s="101" t="s">
        <v>59</v>
      </c>
      <c r="C62" s="228" t="s">
        <v>311</v>
      </c>
      <c r="D62" s="228"/>
      <c r="E62" s="228" t="s">
        <v>63</v>
      </c>
      <c r="F62" s="228"/>
      <c r="G62" s="228" t="s">
        <v>312</v>
      </c>
      <c r="H62" s="228"/>
      <c r="I62" s="228" t="s">
        <v>255</v>
      </c>
      <c r="J62" s="228"/>
      <c r="K62" s="101" t="s">
        <v>313</v>
      </c>
      <c r="L62" s="228" t="s">
        <v>85</v>
      </c>
      <c r="M62" s="228"/>
      <c r="N62" s="1"/>
    </row>
    <row r="63" spans="1:14" ht="19.5" customHeight="1" x14ac:dyDescent="0.35">
      <c r="A63" s="100"/>
      <c r="B63" s="61" t="s">
        <v>188</v>
      </c>
      <c r="C63" s="220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220"/>
      <c r="E63" s="229">
        <f>SUMPRODUCT(('Input Data'!B3:B24="L12")*'Input Data'!F3:F24)</f>
        <v>880.5</v>
      </c>
      <c r="F63" s="229"/>
      <c r="G63" s="219">
        <f ca="1">SUMPRODUCT(('Input Data'!B3:B24="L12")*('Input Data'!AD3:AD24&gt;TODAY())*('Input Data'!AE3:AE24&gt;0)*'Input Data'!Q3:Q24)</f>
        <v>898518.89500000002</v>
      </c>
      <c r="H63" s="219"/>
      <c r="I63" s="230"/>
      <c r="J63" s="230"/>
      <c r="K63" s="86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198"/>
      <c r="M63" s="198"/>
      <c r="N63" s="100"/>
    </row>
    <row r="64" spans="1:14" ht="19.5" customHeight="1" x14ac:dyDescent="0.35">
      <c r="A64" s="1"/>
      <c r="B64" s="61" t="s">
        <v>216</v>
      </c>
      <c r="C64" s="220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220"/>
      <c r="E64" s="229">
        <f>SUMPRODUCT(('Input Data'!B3:B24="L11")*'Input Data'!F3:F24)</f>
        <v>772</v>
      </c>
      <c r="F64" s="229"/>
      <c r="G64" s="219">
        <f ca="1">SUMPRODUCT(('Input Data'!B3:B24="L11")*('Input Data'!AD3:AD24&gt;TODAY())*('Input Data'!AE3:AE24&gt;0)*'Input Data'!Q3:Q24)</f>
        <v>-113632</v>
      </c>
      <c r="H64" s="219"/>
      <c r="I64" s="230"/>
      <c r="J64" s="230"/>
      <c r="K64" s="86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198"/>
      <c r="M64" s="198"/>
      <c r="N64" s="1"/>
    </row>
    <row r="65" spans="1:14" ht="19.5" customHeight="1" x14ac:dyDescent="0.35">
      <c r="A65" s="100"/>
      <c r="B65" s="61" t="s">
        <v>210</v>
      </c>
      <c r="C65" s="220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220"/>
      <c r="E65" s="229">
        <f>SUMPRODUCT(('Input Data'!B3:B24="L10")*'Input Data'!F3:F24)</f>
        <v>787</v>
      </c>
      <c r="F65" s="229"/>
      <c r="G65" s="219">
        <f ca="1">SUMPRODUCT(('Input Data'!B3:B24="L10")*('Input Data'!AD3:AD24&gt;TODAY())*('Input Data'!AE3:AE24&gt;0)*'Input Data'!Q3:Q24)</f>
        <v>0</v>
      </c>
      <c r="H65" s="219"/>
      <c r="I65" s="230"/>
      <c r="J65" s="230"/>
      <c r="K65" s="86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198"/>
      <c r="M65" s="198"/>
      <c r="N65" s="100"/>
    </row>
    <row r="66" spans="1:14" ht="19.5" customHeight="1" x14ac:dyDescent="0.35">
      <c r="A66" s="1"/>
      <c r="B66" s="61" t="s">
        <v>181</v>
      </c>
      <c r="C66" s="220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220"/>
      <c r="E66" s="229">
        <f>SUMPRODUCT(('Input Data'!B3:B24="L09")*'Input Data'!F3:F24)</f>
        <v>704.3</v>
      </c>
      <c r="F66" s="229"/>
      <c r="G66" s="219">
        <f ca="1">SUMPRODUCT(('Input Data'!B3:B24="L09")*('Input Data'!AD3:AD24&gt;TODAY())*('Input Data'!AE3:AE24&gt;0)*'Input Data'!Q3:Q24)</f>
        <v>569217.00899999996</v>
      </c>
      <c r="H66" s="219"/>
      <c r="I66" s="230"/>
      <c r="J66" s="230"/>
      <c r="K66" s="86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198"/>
      <c r="M66" s="198"/>
      <c r="N66" s="1"/>
    </row>
    <row r="67" spans="1:14" ht="19.5" customHeight="1" x14ac:dyDescent="0.35">
      <c r="A67" s="100"/>
      <c r="B67" s="61" t="s">
        <v>168</v>
      </c>
      <c r="C67" s="220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220"/>
      <c r="E67" s="229">
        <f>SUMPRODUCT(('Input Data'!B3:B24="L08")*'Input Data'!F3:F24)</f>
        <v>803</v>
      </c>
      <c r="F67" s="229"/>
      <c r="G67" s="219">
        <f ca="1">SUMPRODUCT(('Input Data'!B3:B24="L08")*('Input Data'!AD3:AD24&gt;TODAY())*('Input Data'!AE3:AE24&gt;0)*'Input Data'!Q3:Q24)</f>
        <v>607413.31200000003</v>
      </c>
      <c r="H67" s="219"/>
      <c r="I67" s="230"/>
      <c r="J67" s="230"/>
      <c r="K67" s="86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198"/>
      <c r="M67" s="198"/>
      <c r="N67" s="100"/>
    </row>
    <row r="68" spans="1:14" ht="19.5" customHeight="1" x14ac:dyDescent="0.35">
      <c r="A68" s="1"/>
      <c r="B68" s="61" t="s">
        <v>156</v>
      </c>
      <c r="C68" s="220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220"/>
      <c r="E68" s="229">
        <f>SUMPRODUCT(('Input Data'!B3:B24="L07")*'Input Data'!F3:F24)</f>
        <v>849.6</v>
      </c>
      <c r="F68" s="229"/>
      <c r="G68" s="219">
        <f ca="1">SUMPRODUCT(('Input Data'!B3:B24="L07")*('Input Data'!AD3:AD24&gt;TODAY())*('Input Data'!AE3:AE24&gt;0)*'Input Data'!Q3:Q24)</f>
        <v>399443.10699999996</v>
      </c>
      <c r="H68" s="219"/>
      <c r="I68" s="230"/>
      <c r="J68" s="230"/>
      <c r="K68" s="86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198"/>
      <c r="M68" s="198"/>
      <c r="N68" s="1"/>
    </row>
    <row r="69" spans="1:14" ht="19.5" customHeight="1" x14ac:dyDescent="0.35">
      <c r="A69" s="100"/>
      <c r="B69" s="61" t="s">
        <v>134</v>
      </c>
      <c r="C69" s="220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220"/>
      <c r="E69" s="229">
        <f>SUMPRODUCT(('Input Data'!B3:B24="L06")*'Input Data'!F3:F24)</f>
        <v>1095.4000000000001</v>
      </c>
      <c r="F69" s="229"/>
      <c r="G69" s="219">
        <f ca="1">SUMPRODUCT(('Input Data'!B3:B24="L06")*('Input Data'!AD3:AD24&gt;TODAY())*('Input Data'!AE3:AE24&gt;0)*'Input Data'!Q3:Q24)</f>
        <v>307681.48800000001</v>
      </c>
      <c r="H69" s="219"/>
      <c r="I69" s="230"/>
      <c r="J69" s="230"/>
      <c r="K69" s="86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198"/>
      <c r="M69" s="198"/>
      <c r="N69" s="100"/>
    </row>
    <row r="70" spans="1:14" ht="19.5" customHeight="1" x14ac:dyDescent="0.35">
      <c r="A70" s="1"/>
      <c r="B70" s="61" t="s">
        <v>113</v>
      </c>
      <c r="C70" s="220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220"/>
      <c r="E70" s="229">
        <f>SUMPRODUCT(('Input Data'!B3:B24="L05")*'Input Data'!F3:F24)</f>
        <v>1080.4000000000001</v>
      </c>
      <c r="F70" s="229"/>
      <c r="G70" s="219">
        <f ca="1">SUMPRODUCT(('Input Data'!B3:B24="L05")*('Input Data'!AD3:AD24&gt;TODAY())*('Input Data'!AE3:AE24&gt;0)*'Input Data'!Q3:Q24)</f>
        <v>958919.05300000007</v>
      </c>
      <c r="H70" s="219"/>
      <c r="I70" s="230"/>
      <c r="J70" s="230"/>
      <c r="K70" s="86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198"/>
      <c r="M70" s="198"/>
      <c r="N70" s="1"/>
    </row>
    <row r="71" spans="1:14" ht="19.5" customHeight="1" x14ac:dyDescent="0.35">
      <c r="A71" s="100"/>
      <c r="B71" s="61" t="s">
        <v>108</v>
      </c>
      <c r="C71" s="220" t="str">
        <f ca="1">IFERROR(MID(IF(('Input Data'!AD5&gt;TODAY())*('Input Data'!AE5&gt;0),", "&amp;'Input Data'!AF5&amp;" ("&amp;'Input Data'!C5&amp;")",""),3,999),"—")</f>
        <v>Fitness First (L4) (4.01)</v>
      </c>
      <c r="D71" s="220"/>
      <c r="E71" s="229">
        <f>SUMPRODUCT(('Input Data'!B3:B24="L04")*'Input Data'!F3:F24)</f>
        <v>1047</v>
      </c>
      <c r="F71" s="229"/>
      <c r="G71" s="219">
        <f ca="1">SUMPRODUCT(('Input Data'!B3:B24="L04")*('Input Data'!AD3:AD24&gt;TODAY())*('Input Data'!AE3:AE24&gt;0)*'Input Data'!Q3:Q24)</f>
        <v>906078.3</v>
      </c>
      <c r="H71" s="219"/>
      <c r="I71" s="230"/>
      <c r="J71" s="230"/>
      <c r="K71" s="86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198"/>
      <c r="M71" s="198"/>
      <c r="N71" s="100"/>
    </row>
    <row r="72" spans="1:14" ht="19.5" customHeight="1" x14ac:dyDescent="0.35">
      <c r="A72" s="1"/>
      <c r="B72" s="61" t="s">
        <v>91</v>
      </c>
      <c r="C72" s="220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220"/>
      <c r="E72" s="229">
        <f>SUMPRODUCT(('Input Data'!B3:B24="L03")*'Input Data'!F3:F24)</f>
        <v>903.2</v>
      </c>
      <c r="F72" s="229"/>
      <c r="G72" s="219">
        <f ca="1">SUMPRODUCT(('Input Data'!B3:B24="L03")*('Input Data'!AD3:AD24&gt;TODAY())*('Input Data'!AE3:AE24&gt;0)*'Input Data'!Q3:Q24)</f>
        <v>844228.81500000006</v>
      </c>
      <c r="H72" s="219"/>
      <c r="I72" s="230"/>
      <c r="J72" s="230"/>
      <c r="K72" s="86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198"/>
      <c r="M72" s="198"/>
      <c r="N72" s="1"/>
    </row>
    <row r="73" spans="1:14" ht="19.5" customHeight="1" x14ac:dyDescent="0.35">
      <c r="A73" s="100"/>
      <c r="B73" s="216" t="s">
        <v>314</v>
      </c>
      <c r="C73" s="216"/>
      <c r="D73" s="216"/>
      <c r="E73" s="231">
        <f>SUM('Input Data'!F3:F24)</f>
        <v>8922.4000000000015</v>
      </c>
      <c r="F73" s="231"/>
      <c r="G73" s="222">
        <f>SUM('Input Data'!Q3:Q24)</f>
        <v>5377867.9789999994</v>
      </c>
      <c r="H73" s="222"/>
      <c r="I73" s="232" t="s">
        <v>315</v>
      </c>
      <c r="J73" s="232"/>
      <c r="K73" s="232"/>
      <c r="L73" s="232"/>
      <c r="M73" s="232"/>
      <c r="N73" s="100"/>
    </row>
    <row r="74" spans="1:14" ht="9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21.75" customHeight="1" x14ac:dyDescent="0.35">
      <c r="A75" s="100"/>
      <c r="B75" s="233" t="s">
        <v>316</v>
      </c>
      <c r="C75" s="233"/>
      <c r="D75" s="233"/>
      <c r="E75" s="233"/>
      <c r="F75" s="233"/>
      <c r="G75" s="233"/>
      <c r="H75" s="233"/>
      <c r="I75" s="233"/>
      <c r="J75" s="233"/>
      <c r="K75" s="233"/>
      <c r="L75" s="233"/>
      <c r="M75" s="233"/>
      <c r="N75" s="100"/>
    </row>
    <row r="76" spans="1:14" ht="27.75" customHeight="1" x14ac:dyDescent="0.35">
      <c r="A76" s="6"/>
      <c r="B76" s="228"/>
      <c r="C76" s="228"/>
      <c r="D76" s="228"/>
      <c r="E76" s="101" t="s">
        <v>317</v>
      </c>
      <c r="F76" s="228" t="s">
        <v>318</v>
      </c>
      <c r="G76" s="228"/>
      <c r="H76" s="228" t="s">
        <v>319</v>
      </c>
      <c r="I76" s="228"/>
      <c r="J76" s="228" t="s">
        <v>320</v>
      </c>
      <c r="K76" s="228"/>
      <c r="L76" s="228"/>
      <c r="M76" s="228"/>
      <c r="N76" s="6"/>
    </row>
    <row r="77" spans="1:14" ht="19.5" customHeight="1" x14ac:dyDescent="0.35">
      <c r="A77" s="6"/>
      <c r="B77" s="234" t="s">
        <v>321</v>
      </c>
      <c r="C77" s="234"/>
      <c r="D77" s="234"/>
      <c r="E77" s="103">
        <f>Valuations!C6</f>
        <v>0</v>
      </c>
      <c r="F77" s="219">
        <f>Valuations!D6</f>
        <v>0</v>
      </c>
      <c r="G77" s="219"/>
      <c r="H77" s="219">
        <f>Valuations!E6</f>
        <v>0</v>
      </c>
      <c r="I77" s="219"/>
      <c r="J77" s="235">
        <f>IFERROR(E77-G77,"")</f>
        <v>0</v>
      </c>
      <c r="K77" s="235"/>
      <c r="L77" s="236" t="str">
        <f>IFERROR((E77-G77)/G77,"")</f>
        <v/>
      </c>
      <c r="M77" s="236"/>
      <c r="N77" s="6"/>
    </row>
    <row r="78" spans="1:14" ht="19.5" customHeight="1" x14ac:dyDescent="0.35">
      <c r="A78" s="6"/>
      <c r="B78" s="234" t="s">
        <v>322</v>
      </c>
      <c r="C78" s="234"/>
      <c r="D78" s="234"/>
      <c r="E78" s="105">
        <f>Valuations!C7</f>
        <v>0</v>
      </c>
      <c r="F78" s="237">
        <f>Valuations!D7</f>
        <v>0</v>
      </c>
      <c r="G78" s="237"/>
      <c r="H78" s="237">
        <f>Valuations!E7</f>
        <v>0</v>
      </c>
      <c r="I78" s="237"/>
      <c r="J78" s="238" t="s">
        <v>4</v>
      </c>
      <c r="K78" s="238"/>
      <c r="L78" s="238"/>
      <c r="M78" s="238"/>
      <c r="N78" s="6"/>
    </row>
    <row r="79" spans="1:14" ht="19.5" customHeight="1" x14ac:dyDescent="0.35">
      <c r="A79" s="6"/>
      <c r="B79" s="234" t="s">
        <v>323</v>
      </c>
      <c r="C79" s="234"/>
      <c r="D79" s="234"/>
      <c r="E79" s="83">
        <f>Valuations!C8</f>
        <v>0</v>
      </c>
      <c r="F79" s="239">
        <f>Valuations!D8</f>
        <v>0</v>
      </c>
      <c r="G79" s="239"/>
      <c r="H79" s="239">
        <f>Valuations!E8</f>
        <v>0</v>
      </c>
      <c r="I79" s="239"/>
      <c r="J79" s="238" t="s">
        <v>4</v>
      </c>
      <c r="K79" s="238"/>
      <c r="L79" s="238"/>
      <c r="M79" s="238"/>
      <c r="N79" s="6"/>
    </row>
    <row r="80" spans="1:14" ht="19.5" customHeight="1" x14ac:dyDescent="0.35">
      <c r="A80" s="6"/>
      <c r="B80" s="234" t="s">
        <v>324</v>
      </c>
      <c r="C80" s="234"/>
      <c r="D80" s="234"/>
      <c r="E80" s="106">
        <f>Valuations!C10</f>
        <v>0</v>
      </c>
      <c r="F80" s="240">
        <f>Valuations!D10</f>
        <v>0</v>
      </c>
      <c r="G80" s="240"/>
      <c r="H80" s="240">
        <f>Valuations!E10</f>
        <v>0</v>
      </c>
      <c r="I80" s="240"/>
      <c r="J80" s="241">
        <f>IFERROR(E80-G80,"")</f>
        <v>0</v>
      </c>
      <c r="K80" s="241"/>
      <c r="L80" s="236" t="str">
        <f>IFERROR((E80-G80)/G80,"")</f>
        <v/>
      </c>
      <c r="M80" s="236"/>
      <c r="N80" s="6"/>
    </row>
    <row r="81" spans="1:14" ht="19.5" customHeight="1" x14ac:dyDescent="0.35">
      <c r="A81" s="6"/>
      <c r="B81" s="234" t="s">
        <v>325</v>
      </c>
      <c r="C81" s="234"/>
      <c r="D81" s="234"/>
      <c r="E81" s="106">
        <f>Valuations!C11</f>
        <v>0</v>
      </c>
      <c r="F81" s="240">
        <f>Valuations!D11</f>
        <v>0</v>
      </c>
      <c r="G81" s="240"/>
      <c r="H81" s="240">
        <f>Valuations!E11</f>
        <v>0</v>
      </c>
      <c r="I81" s="240"/>
      <c r="J81" s="241">
        <f>IFERROR(E81-G81,"")</f>
        <v>0</v>
      </c>
      <c r="K81" s="241"/>
      <c r="L81" s="236" t="str">
        <f>IFERROR((E81-G81)/G81,"")</f>
        <v/>
      </c>
      <c r="M81" s="236"/>
      <c r="N81" s="6"/>
    </row>
    <row r="82" spans="1:14" ht="19.5" customHeight="1" x14ac:dyDescent="0.35">
      <c r="A82" s="6"/>
      <c r="B82" s="234" t="s">
        <v>326</v>
      </c>
      <c r="C82" s="234"/>
      <c r="D82" s="234"/>
      <c r="E82" s="80">
        <f>Valuations!C12</f>
        <v>0</v>
      </c>
      <c r="F82" s="219">
        <f>Valuations!D12</f>
        <v>0</v>
      </c>
      <c r="G82" s="219"/>
      <c r="H82" s="219">
        <f>Valuations!E12</f>
        <v>0</v>
      </c>
      <c r="I82" s="219"/>
      <c r="J82" s="235">
        <f>IFERROR(E82-G82,"")</f>
        <v>0</v>
      </c>
      <c r="K82" s="235"/>
      <c r="L82" s="236" t="str">
        <f>IFERROR((E82-G82)/G82,"")</f>
        <v/>
      </c>
      <c r="M82" s="236"/>
      <c r="N82" s="6"/>
    </row>
    <row r="83" spans="1:14" ht="19.5" customHeight="1" x14ac:dyDescent="0.35">
      <c r="A83" s="6"/>
      <c r="B83" s="234" t="s">
        <v>327</v>
      </c>
      <c r="C83" s="234"/>
      <c r="D83" s="234"/>
      <c r="E83" s="83">
        <f>Valuations!C9</f>
        <v>0</v>
      </c>
      <c r="F83" s="239">
        <f>Valuations!D9</f>
        <v>0</v>
      </c>
      <c r="G83" s="239"/>
      <c r="H83" s="239">
        <f>Valuations!E9</f>
        <v>0</v>
      </c>
      <c r="I83" s="239"/>
      <c r="J83" s="238" t="s">
        <v>4</v>
      </c>
      <c r="K83" s="238"/>
      <c r="L83" s="238"/>
      <c r="M83" s="238"/>
      <c r="N83" s="6"/>
    </row>
    <row r="84" spans="1:14" ht="9.75" customHeight="1" x14ac:dyDescent="0.3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35">
      <c r="A85" s="6"/>
      <c r="B85" s="204" t="s">
        <v>328</v>
      </c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6"/>
    </row>
    <row r="86" spans="1:14" ht="27.75" customHeight="1" x14ac:dyDescent="0.35">
      <c r="A86" s="6"/>
      <c r="B86" s="228"/>
      <c r="C86" s="228"/>
      <c r="D86" s="228"/>
      <c r="E86" s="101" t="s">
        <v>329</v>
      </c>
      <c r="F86" s="228" t="s">
        <v>330</v>
      </c>
      <c r="G86" s="228"/>
      <c r="H86" s="228" t="s">
        <v>331</v>
      </c>
      <c r="I86" s="228"/>
      <c r="J86" s="228" t="s">
        <v>332</v>
      </c>
      <c r="K86" s="228"/>
      <c r="L86" s="228"/>
      <c r="M86" s="228"/>
      <c r="N86" s="6"/>
    </row>
    <row r="87" spans="1:14" ht="19.5" customHeight="1" x14ac:dyDescent="0.35">
      <c r="A87" s="6"/>
      <c r="B87" s="234" t="s">
        <v>333</v>
      </c>
      <c r="C87" s="234"/>
      <c r="D87" s="234"/>
      <c r="E87" s="83">
        <f>Valuations!C20</f>
        <v>0</v>
      </c>
      <c r="F87" s="239">
        <f>Valuations!D20</f>
        <v>0</v>
      </c>
      <c r="G87" s="239"/>
      <c r="H87" s="239">
        <f>Valuations!E20</f>
        <v>0</v>
      </c>
      <c r="I87" s="239"/>
      <c r="J87" s="242" t="s">
        <v>4</v>
      </c>
      <c r="K87" s="242"/>
      <c r="L87" s="242"/>
      <c r="M87" s="242"/>
      <c r="N87" s="6"/>
    </row>
    <row r="88" spans="1:14" ht="19.5" customHeight="1" x14ac:dyDescent="0.35">
      <c r="A88" s="6"/>
      <c r="B88" s="234" t="s">
        <v>334</v>
      </c>
      <c r="C88" s="234"/>
      <c r="D88" s="234"/>
      <c r="E88" s="103">
        <f>Valuations!C21</f>
        <v>0</v>
      </c>
      <c r="F88" s="219">
        <f>Valuations!D21</f>
        <v>0</v>
      </c>
      <c r="G88" s="219"/>
      <c r="H88" s="219">
        <f>Valuations!E21</f>
        <v>0</v>
      </c>
      <c r="I88" s="219"/>
      <c r="J88" s="235">
        <f>IFERROR(E88-G88,"")</f>
        <v>0</v>
      </c>
      <c r="K88" s="235"/>
      <c r="L88" s="236" t="str">
        <f>IFERROR((E88-G88)/G88,"")</f>
        <v/>
      </c>
      <c r="M88" s="236"/>
      <c r="N88" s="6"/>
    </row>
    <row r="89" spans="1:14" ht="19.5" customHeight="1" x14ac:dyDescent="0.35">
      <c r="A89" s="6"/>
      <c r="B89" s="234" t="s">
        <v>335</v>
      </c>
      <c r="C89" s="234"/>
      <c r="D89" s="234"/>
      <c r="E89" s="80">
        <f>Valuations!C22</f>
        <v>0</v>
      </c>
      <c r="F89" s="219">
        <f>Valuations!D22</f>
        <v>0</v>
      </c>
      <c r="G89" s="219"/>
      <c r="H89" s="219">
        <f>Valuations!E22</f>
        <v>0</v>
      </c>
      <c r="I89" s="219"/>
      <c r="J89" s="235">
        <f>IFERROR(E89-G89,"")</f>
        <v>0</v>
      </c>
      <c r="K89" s="235"/>
      <c r="L89" s="236" t="str">
        <f>IFERROR((E89-G89)/G89,"")</f>
        <v/>
      </c>
      <c r="M89" s="236"/>
      <c r="N89" s="6"/>
    </row>
    <row r="90" spans="1:14" ht="19.5" customHeight="1" x14ac:dyDescent="0.35">
      <c r="A90" s="6"/>
      <c r="B90" s="234" t="s">
        <v>336</v>
      </c>
      <c r="C90" s="234"/>
      <c r="D90" s="234"/>
      <c r="E90" s="105">
        <f>Valuations!C23</f>
        <v>0</v>
      </c>
      <c r="F90" s="237">
        <f>Valuations!D23</f>
        <v>0</v>
      </c>
      <c r="G90" s="237"/>
      <c r="H90" s="237">
        <f>Valuations!E23</f>
        <v>0</v>
      </c>
      <c r="I90" s="237"/>
      <c r="J90" s="242" t="s">
        <v>4</v>
      </c>
      <c r="K90" s="242"/>
      <c r="L90" s="242"/>
      <c r="M90" s="242"/>
      <c r="N90" s="6"/>
    </row>
    <row r="91" spans="1:14" x14ac:dyDescent="0.3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5.75" customHeight="1" x14ac:dyDescent="0.35">
      <c r="A92" s="6"/>
      <c r="B92" s="243" t="s">
        <v>337</v>
      </c>
      <c r="C92" s="243"/>
      <c r="D92" s="243"/>
      <c r="E92" s="243"/>
      <c r="F92" s="243"/>
      <c r="G92" s="243"/>
      <c r="H92" s="243"/>
      <c r="I92" s="243"/>
      <c r="J92" s="243"/>
      <c r="K92" s="243"/>
      <c r="L92" s="243"/>
      <c r="M92" s="243"/>
      <c r="N92" s="6"/>
    </row>
  </sheetData>
  <mergeCells count="252">
    <mergeCell ref="B92:M92"/>
    <mergeCell ref="B89:D89"/>
    <mergeCell ref="F89:G89"/>
    <mergeCell ref="H89:I89"/>
    <mergeCell ref="J89:K89"/>
    <mergeCell ref="L89:M89"/>
    <mergeCell ref="B90:D90"/>
    <mergeCell ref="F90:G90"/>
    <mergeCell ref="H90:I90"/>
    <mergeCell ref="J90:M90"/>
    <mergeCell ref="B87:D87"/>
    <mergeCell ref="F87:G87"/>
    <mergeCell ref="H87:I87"/>
    <mergeCell ref="J87:M87"/>
    <mergeCell ref="B88:D88"/>
    <mergeCell ref="F88:G88"/>
    <mergeCell ref="H88:I88"/>
    <mergeCell ref="J88:K88"/>
    <mergeCell ref="L88:M88"/>
    <mergeCell ref="B83:D83"/>
    <mergeCell ref="F83:G83"/>
    <mergeCell ref="H83:I83"/>
    <mergeCell ref="J83:M83"/>
    <mergeCell ref="B85:M85"/>
    <mergeCell ref="B86:D86"/>
    <mergeCell ref="F86:G86"/>
    <mergeCell ref="H86:I86"/>
    <mergeCell ref="J86:M86"/>
    <mergeCell ref="B81:D81"/>
    <mergeCell ref="F81:G81"/>
    <mergeCell ref="H81:I81"/>
    <mergeCell ref="J81:K81"/>
    <mergeCell ref="L81:M81"/>
    <mergeCell ref="B82:D82"/>
    <mergeCell ref="F82:G82"/>
    <mergeCell ref="H82:I82"/>
    <mergeCell ref="J82:K82"/>
    <mergeCell ref="L82:M82"/>
    <mergeCell ref="B79:D79"/>
    <mergeCell ref="F79:G79"/>
    <mergeCell ref="H79:I79"/>
    <mergeCell ref="J79:M79"/>
    <mergeCell ref="B80:D80"/>
    <mergeCell ref="F80:G80"/>
    <mergeCell ref="H80:I80"/>
    <mergeCell ref="J80:K80"/>
    <mergeCell ref="L80:M80"/>
    <mergeCell ref="B77:D77"/>
    <mergeCell ref="F77:G77"/>
    <mergeCell ref="H77:I77"/>
    <mergeCell ref="J77:K77"/>
    <mergeCell ref="L77:M77"/>
    <mergeCell ref="B78:D78"/>
    <mergeCell ref="F78:G78"/>
    <mergeCell ref="H78:I78"/>
    <mergeCell ref="J78:M78"/>
    <mergeCell ref="B73:D73"/>
    <mergeCell ref="E73:F73"/>
    <mergeCell ref="G73:H73"/>
    <mergeCell ref="I73:M73"/>
    <mergeCell ref="B75:M75"/>
    <mergeCell ref="B76:D76"/>
    <mergeCell ref="F76:G76"/>
    <mergeCell ref="H76:I76"/>
    <mergeCell ref="J76:M76"/>
    <mergeCell ref="C71:D71"/>
    <mergeCell ref="E71:F71"/>
    <mergeCell ref="G71:H71"/>
    <mergeCell ref="I71:J71"/>
    <mergeCell ref="L71:M71"/>
    <mergeCell ref="C72:D72"/>
    <mergeCell ref="E72:F72"/>
    <mergeCell ref="G72:H72"/>
    <mergeCell ref="I72:J72"/>
    <mergeCell ref="L72:M72"/>
    <mergeCell ref="C69:D69"/>
    <mergeCell ref="E69:F69"/>
    <mergeCell ref="G69:H69"/>
    <mergeCell ref="I69:J69"/>
    <mergeCell ref="L69:M69"/>
    <mergeCell ref="C70:D70"/>
    <mergeCell ref="E70:F70"/>
    <mergeCell ref="G70:H70"/>
    <mergeCell ref="I70:J70"/>
    <mergeCell ref="L70:M70"/>
    <mergeCell ref="C67:D67"/>
    <mergeCell ref="E67:F67"/>
    <mergeCell ref="G67:H67"/>
    <mergeCell ref="I67:J67"/>
    <mergeCell ref="L67:M67"/>
    <mergeCell ref="C68:D68"/>
    <mergeCell ref="E68:F68"/>
    <mergeCell ref="G68:H68"/>
    <mergeCell ref="I68:J68"/>
    <mergeCell ref="L68:M68"/>
    <mergeCell ref="C65:D65"/>
    <mergeCell ref="E65:F65"/>
    <mergeCell ref="G65:H65"/>
    <mergeCell ref="I65:J65"/>
    <mergeCell ref="L65:M65"/>
    <mergeCell ref="C66:D66"/>
    <mergeCell ref="E66:F66"/>
    <mergeCell ref="G66:H66"/>
    <mergeCell ref="I66:J66"/>
    <mergeCell ref="L66:M66"/>
    <mergeCell ref="C63:D63"/>
    <mergeCell ref="E63:F63"/>
    <mergeCell ref="G63:H63"/>
    <mergeCell ref="I63:J63"/>
    <mergeCell ref="L63:M63"/>
    <mergeCell ref="C64:D64"/>
    <mergeCell ref="E64:F64"/>
    <mergeCell ref="G64:H64"/>
    <mergeCell ref="I64:J64"/>
    <mergeCell ref="L64:M64"/>
    <mergeCell ref="B57:C57"/>
    <mergeCell ref="G57:M57"/>
    <mergeCell ref="B58:C58"/>
    <mergeCell ref="G58:M58"/>
    <mergeCell ref="B59:C59"/>
    <mergeCell ref="G59:M59"/>
    <mergeCell ref="B61:M61"/>
    <mergeCell ref="C62:D62"/>
    <mergeCell ref="E62:F62"/>
    <mergeCell ref="G62:H62"/>
    <mergeCell ref="I62:J62"/>
    <mergeCell ref="L62:M62"/>
    <mergeCell ref="B52:C52"/>
    <mergeCell ref="G52:M52"/>
    <mergeCell ref="B53:C53"/>
    <mergeCell ref="G53:M53"/>
    <mergeCell ref="B54:C54"/>
    <mergeCell ref="G54:M54"/>
    <mergeCell ref="B55:C55"/>
    <mergeCell ref="G55:M55"/>
    <mergeCell ref="B56:C56"/>
    <mergeCell ref="G56:M56"/>
    <mergeCell ref="B47:C47"/>
    <mergeCell ref="G47:M47"/>
    <mergeCell ref="B48:C48"/>
    <mergeCell ref="G48:M48"/>
    <mergeCell ref="B49:C49"/>
    <mergeCell ref="G49:M49"/>
    <mergeCell ref="B50:C50"/>
    <mergeCell ref="G50:M50"/>
    <mergeCell ref="B51:C51"/>
    <mergeCell ref="G51:M51"/>
    <mergeCell ref="C41:D41"/>
    <mergeCell ref="J41:M41"/>
    <mergeCell ref="C42:D42"/>
    <mergeCell ref="J42:M42"/>
    <mergeCell ref="C43:D43"/>
    <mergeCell ref="J43:M43"/>
    <mergeCell ref="C44:D44"/>
    <mergeCell ref="J44:M44"/>
    <mergeCell ref="B46:M46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B25:C25"/>
    <mergeCell ref="D25:E25"/>
    <mergeCell ref="B27:M27"/>
    <mergeCell ref="C28:D28"/>
    <mergeCell ref="J28:M28"/>
    <mergeCell ref="C29:D29"/>
    <mergeCell ref="J29:M29"/>
    <mergeCell ref="C30:D30"/>
    <mergeCell ref="J30:M30"/>
    <mergeCell ref="B22:C22"/>
    <mergeCell ref="D22:E22"/>
    <mergeCell ref="J22:M22"/>
    <mergeCell ref="B23:C23"/>
    <mergeCell ref="D23:E23"/>
    <mergeCell ref="J23:M23"/>
    <mergeCell ref="B24:C24"/>
    <mergeCell ref="D24:E24"/>
    <mergeCell ref="J24:M24"/>
    <mergeCell ref="B19:C19"/>
    <mergeCell ref="D19:E19"/>
    <mergeCell ref="J19:M19"/>
    <mergeCell ref="B20:C20"/>
    <mergeCell ref="D20:E20"/>
    <mergeCell ref="J20:M20"/>
    <mergeCell ref="B21:C21"/>
    <mergeCell ref="D21:E21"/>
    <mergeCell ref="J21:M21"/>
    <mergeCell ref="B12:M12"/>
    <mergeCell ref="B13:D13"/>
    <mergeCell ref="F13:M13"/>
    <mergeCell ref="B14:D14"/>
    <mergeCell ref="F14:M14"/>
    <mergeCell ref="B15:D15"/>
    <mergeCell ref="F15:M15"/>
    <mergeCell ref="B17:M17"/>
    <mergeCell ref="B18:C18"/>
    <mergeCell ref="D18:E18"/>
    <mergeCell ref="J18:M1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247" t="s">
        <v>338</v>
      </c>
      <c r="B1" s="247"/>
      <c r="C1" s="247"/>
      <c r="D1" s="247"/>
      <c r="E1" s="247"/>
      <c r="F1" s="247"/>
      <c r="G1" s="247"/>
      <c r="H1" s="247"/>
    </row>
    <row r="2" spans="1:8" ht="18" customHeight="1" x14ac:dyDescent="0.35">
      <c r="A2" s="255" t="s">
        <v>339</v>
      </c>
      <c r="B2" s="255"/>
      <c r="C2" s="255"/>
      <c r="D2" s="255"/>
      <c r="E2" s="255"/>
      <c r="F2" s="255"/>
      <c r="G2" s="255"/>
      <c r="H2" s="255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233" t="s">
        <v>340</v>
      </c>
      <c r="C4" s="233"/>
      <c r="D4" s="233"/>
      <c r="E4" s="233"/>
      <c r="F4" s="233"/>
      <c r="G4" s="233"/>
      <c r="H4" s="6"/>
    </row>
    <row r="5" spans="1:8" ht="27.75" customHeight="1" x14ac:dyDescent="0.35">
      <c r="A5" s="6"/>
      <c r="B5" s="101"/>
      <c r="C5" s="101" t="s">
        <v>341</v>
      </c>
      <c r="D5" s="101" t="s">
        <v>342</v>
      </c>
      <c r="E5" s="101" t="s">
        <v>343</v>
      </c>
      <c r="F5" s="228" t="s">
        <v>85</v>
      </c>
      <c r="G5" s="228"/>
      <c r="H5" s="6"/>
    </row>
    <row r="6" spans="1:8" ht="19.5" customHeight="1" x14ac:dyDescent="0.35">
      <c r="A6" s="6"/>
      <c r="B6" s="21" t="s">
        <v>344</v>
      </c>
      <c r="C6" s="107"/>
      <c r="D6" s="107"/>
      <c r="E6" s="107"/>
      <c r="F6" s="254"/>
      <c r="G6" s="254"/>
      <c r="H6" s="6"/>
    </row>
    <row r="7" spans="1:8" ht="19.5" customHeight="1" x14ac:dyDescent="0.35">
      <c r="A7" s="6"/>
      <c r="B7" s="21" t="s">
        <v>322</v>
      </c>
      <c r="C7" s="57"/>
      <c r="D7" s="57"/>
      <c r="E7" s="57"/>
      <c r="F7" s="256"/>
      <c r="G7" s="256"/>
      <c r="H7" s="6"/>
    </row>
    <row r="8" spans="1:8" ht="19.5" customHeight="1" x14ac:dyDescent="0.35">
      <c r="A8" s="6"/>
      <c r="B8" s="21" t="s">
        <v>323</v>
      </c>
      <c r="C8" s="108"/>
      <c r="D8" s="108"/>
      <c r="E8" s="108"/>
      <c r="F8" s="254"/>
      <c r="G8" s="254"/>
      <c r="H8" s="6"/>
    </row>
    <row r="9" spans="1:8" ht="19.5" customHeight="1" x14ac:dyDescent="0.35">
      <c r="A9" s="6"/>
      <c r="B9" s="21" t="s">
        <v>327</v>
      </c>
      <c r="C9" s="109"/>
      <c r="D9" s="109"/>
      <c r="E9" s="109"/>
      <c r="F9" s="256"/>
      <c r="G9" s="256"/>
      <c r="H9" s="6"/>
    </row>
    <row r="10" spans="1:8" ht="19.5" customHeight="1" x14ac:dyDescent="0.35">
      <c r="A10" s="6"/>
      <c r="B10" s="21" t="s">
        <v>345</v>
      </c>
      <c r="C10" s="110"/>
      <c r="D10" s="110"/>
      <c r="E10" s="110"/>
      <c r="F10" s="254"/>
      <c r="G10" s="254"/>
      <c r="H10" s="6"/>
    </row>
    <row r="11" spans="1:8" ht="19.5" customHeight="1" x14ac:dyDescent="0.35">
      <c r="A11" s="6"/>
      <c r="B11" s="21" t="s">
        <v>346</v>
      </c>
      <c r="C11" s="111"/>
      <c r="D11" s="111"/>
      <c r="E11" s="111"/>
      <c r="F11" s="256"/>
      <c r="G11" s="256"/>
      <c r="H11" s="6"/>
    </row>
    <row r="12" spans="1:8" ht="19.5" customHeight="1" x14ac:dyDescent="0.35">
      <c r="A12" s="6"/>
      <c r="B12" s="21" t="s">
        <v>347</v>
      </c>
      <c r="C12" s="107"/>
      <c r="D12" s="107"/>
      <c r="E12" s="107"/>
      <c r="F12" s="254"/>
      <c r="G12" s="254"/>
      <c r="H12" s="6"/>
    </row>
    <row r="13" spans="1:8" ht="19.5" customHeight="1" x14ac:dyDescent="0.35">
      <c r="A13" s="6"/>
      <c r="B13" s="21" t="s">
        <v>348</v>
      </c>
      <c r="C13" s="112"/>
      <c r="D13" s="112"/>
      <c r="E13" s="112"/>
      <c r="F13" s="256"/>
      <c r="G13" s="256"/>
      <c r="H13" s="6"/>
    </row>
    <row r="14" spans="1:8" ht="18" customHeight="1" x14ac:dyDescent="0.35">
      <c r="A14" s="6"/>
      <c r="B14" s="257" t="s">
        <v>349</v>
      </c>
      <c r="C14" s="257"/>
      <c r="D14" s="257"/>
      <c r="E14" s="257"/>
      <c r="F14" s="257"/>
      <c r="G14" s="257"/>
      <c r="H14" s="6"/>
    </row>
    <row r="15" spans="1:8" ht="19.5" customHeight="1" x14ac:dyDescent="0.35">
      <c r="A15" s="6"/>
      <c r="B15" s="21" t="s">
        <v>350</v>
      </c>
      <c r="C15" s="235">
        <f>IFERROR(C6-D6,"")</f>
        <v>0</v>
      </c>
      <c r="D15" s="235"/>
      <c r="E15" s="104" t="str">
        <f>IFERROR((C6-D6)/D6,"")</f>
        <v/>
      </c>
      <c r="F15" s="258"/>
      <c r="G15" s="258"/>
      <c r="H15" s="6"/>
    </row>
    <row r="16" spans="1:8" ht="19.5" customHeight="1" x14ac:dyDescent="0.35">
      <c r="A16" s="6"/>
      <c r="B16" s="33" t="s">
        <v>351</v>
      </c>
      <c r="C16" s="235">
        <f>IFERROR(D6-E6,"")</f>
        <v>0</v>
      </c>
      <c r="D16" s="235"/>
      <c r="E16" s="104" t="str">
        <f>IFERROR((D6-E6)/E6,"")</f>
        <v/>
      </c>
      <c r="F16" s="258"/>
      <c r="G16" s="258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233" t="s">
        <v>352</v>
      </c>
      <c r="C18" s="233"/>
      <c r="D18" s="233"/>
      <c r="E18" s="233"/>
      <c r="F18" s="233"/>
      <c r="G18" s="233"/>
      <c r="H18" s="6"/>
    </row>
    <row r="19" spans="1:8" ht="27.75" customHeight="1" x14ac:dyDescent="0.35">
      <c r="A19" s="6"/>
      <c r="B19" s="101"/>
      <c r="C19" s="101" t="s">
        <v>353</v>
      </c>
      <c r="D19" s="101" t="s">
        <v>330</v>
      </c>
      <c r="E19" s="101" t="s">
        <v>331</v>
      </c>
      <c r="F19" s="228" t="s">
        <v>85</v>
      </c>
      <c r="G19" s="228"/>
      <c r="H19" s="6"/>
    </row>
    <row r="20" spans="1:8" ht="19.5" customHeight="1" x14ac:dyDescent="0.35">
      <c r="A20" s="6"/>
      <c r="B20" s="21" t="s">
        <v>333</v>
      </c>
      <c r="C20" s="108"/>
      <c r="D20" s="108"/>
      <c r="E20" s="108"/>
      <c r="F20" s="254"/>
      <c r="G20" s="254"/>
      <c r="H20" s="6"/>
    </row>
    <row r="21" spans="1:8" ht="19.5" customHeight="1" x14ac:dyDescent="0.35">
      <c r="A21" s="6"/>
      <c r="B21" s="21" t="s">
        <v>334</v>
      </c>
      <c r="C21" s="112"/>
      <c r="D21" s="112"/>
      <c r="E21" s="112"/>
      <c r="F21" s="256"/>
      <c r="G21" s="256"/>
      <c r="H21" s="6"/>
    </row>
    <row r="22" spans="1:8" ht="19.5" customHeight="1" x14ac:dyDescent="0.35">
      <c r="A22" s="6"/>
      <c r="B22" s="21" t="s">
        <v>335</v>
      </c>
      <c r="C22" s="107"/>
      <c r="D22" s="107"/>
      <c r="E22" s="107"/>
      <c r="F22" s="254"/>
      <c r="G22" s="254"/>
      <c r="H22" s="6"/>
    </row>
    <row r="23" spans="1:8" ht="19.5" customHeight="1" x14ac:dyDescent="0.35">
      <c r="A23" s="6"/>
      <c r="B23" s="21" t="s">
        <v>336</v>
      </c>
      <c r="C23" s="57"/>
      <c r="D23" s="57"/>
      <c r="E23" s="57"/>
      <c r="F23" s="256"/>
      <c r="G23" s="256"/>
      <c r="H23" s="6"/>
    </row>
    <row r="24" spans="1:8" ht="19.5" customHeight="1" x14ac:dyDescent="0.35">
      <c r="A24" s="6"/>
      <c r="B24" s="21" t="s">
        <v>354</v>
      </c>
      <c r="C24" s="107"/>
      <c r="D24" s="107"/>
      <c r="E24" s="107"/>
      <c r="F24" s="254"/>
      <c r="G24" s="254"/>
      <c r="H24" s="6"/>
    </row>
    <row r="25" spans="1:8" ht="19.5" customHeight="1" x14ac:dyDescent="0.35">
      <c r="A25" s="6"/>
      <c r="B25" s="21" t="s">
        <v>355</v>
      </c>
      <c r="C25" s="115"/>
      <c r="D25" s="115"/>
      <c r="E25" s="115"/>
      <c r="F25" s="256"/>
      <c r="G25" s="256"/>
      <c r="H25" s="6"/>
    </row>
    <row r="26" spans="1:8" ht="19.5" customHeight="1" x14ac:dyDescent="0.35">
      <c r="A26" s="6"/>
      <c r="B26" s="21" t="s">
        <v>356</v>
      </c>
      <c r="C26" s="58"/>
      <c r="D26" s="58"/>
      <c r="E26" s="58"/>
      <c r="F26" s="254"/>
      <c r="G26" s="254"/>
      <c r="H26" s="6"/>
    </row>
    <row r="27" spans="1:8" ht="19.5" customHeight="1" x14ac:dyDescent="0.35">
      <c r="A27" s="6"/>
      <c r="B27" s="21" t="s">
        <v>357</v>
      </c>
      <c r="C27" s="109"/>
      <c r="D27" s="109"/>
      <c r="E27" s="109"/>
      <c r="F27" s="256"/>
      <c r="G27" s="256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257" t="s">
        <v>358</v>
      </c>
      <c r="C29" s="257"/>
      <c r="D29" s="257"/>
      <c r="E29" s="257"/>
      <c r="F29" s="257"/>
      <c r="G29" s="257"/>
      <c r="H29" s="6"/>
    </row>
    <row r="30" spans="1:8" ht="19.5" customHeight="1" x14ac:dyDescent="0.35">
      <c r="A30" s="6"/>
      <c r="B30" s="21" t="s">
        <v>359</v>
      </c>
      <c r="C30" s="235">
        <f>IFERROR(C21-D21,"")</f>
        <v>0</v>
      </c>
      <c r="D30" s="235"/>
      <c r="E30" s="104" t="str">
        <f>IFERROR((C21-D21)/D21,"")</f>
        <v/>
      </c>
      <c r="F30" s="258"/>
      <c r="G30" s="258"/>
      <c r="H30" s="6"/>
    </row>
    <row r="31" spans="1:8" ht="19.5" customHeight="1" x14ac:dyDescent="0.35">
      <c r="A31" s="6"/>
      <c r="B31" s="116" t="s">
        <v>360</v>
      </c>
      <c r="C31" s="235">
        <f>IFERROR(D21-E21,"")</f>
        <v>0</v>
      </c>
      <c r="D31" s="235"/>
      <c r="E31" s="104" t="str">
        <f>IFERROR((D21-E21)/E21,"")</f>
        <v/>
      </c>
      <c r="F31" s="258"/>
      <c r="G31" s="258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233" t="s">
        <v>361</v>
      </c>
      <c r="C33" s="233"/>
      <c r="D33" s="233"/>
      <c r="E33" s="233"/>
      <c r="F33" s="233"/>
      <c r="G33" s="233"/>
      <c r="H33" s="6"/>
    </row>
    <row r="34" spans="1:8" ht="24" customHeight="1" x14ac:dyDescent="0.35">
      <c r="A34" s="6"/>
      <c r="B34" s="228" t="s">
        <v>362</v>
      </c>
      <c r="C34" s="228"/>
      <c r="D34" s="228" t="s">
        <v>363</v>
      </c>
      <c r="E34" s="228"/>
      <c r="F34" s="228"/>
      <c r="G34" s="101" t="s">
        <v>364</v>
      </c>
      <c r="H34" s="6"/>
    </row>
    <row r="35" spans="1:8" ht="19.5" customHeight="1" x14ac:dyDescent="0.35">
      <c r="A35" s="6"/>
      <c r="B35" s="234" t="s">
        <v>365</v>
      </c>
      <c r="C35" s="234"/>
      <c r="D35" s="259"/>
      <c r="E35" s="259"/>
      <c r="F35" s="259"/>
      <c r="G35" s="109"/>
      <c r="H35" s="6"/>
    </row>
    <row r="36" spans="1:8" ht="19.5" customHeight="1" x14ac:dyDescent="0.35">
      <c r="A36" s="6"/>
      <c r="B36" s="234" t="s">
        <v>366</v>
      </c>
      <c r="C36" s="234"/>
      <c r="D36" s="260"/>
      <c r="E36" s="260"/>
      <c r="F36" s="260"/>
      <c r="G36" s="107"/>
      <c r="H36" s="6"/>
    </row>
    <row r="37" spans="1:8" ht="19.5" customHeight="1" x14ac:dyDescent="0.35">
      <c r="A37" s="6"/>
      <c r="B37" s="234" t="s">
        <v>367</v>
      </c>
      <c r="C37" s="234"/>
      <c r="D37" s="261"/>
      <c r="E37" s="261"/>
      <c r="F37" s="261"/>
      <c r="G37" s="57"/>
      <c r="H37" s="6"/>
    </row>
    <row r="38" spans="1:8" ht="19.5" customHeight="1" x14ac:dyDescent="0.35">
      <c r="A38" s="6"/>
      <c r="B38" s="234" t="s">
        <v>368</v>
      </c>
      <c r="C38" s="234"/>
      <c r="D38" s="262"/>
      <c r="E38" s="262"/>
      <c r="F38" s="262"/>
      <c r="G38" s="117"/>
      <c r="H38" s="6"/>
    </row>
    <row r="39" spans="1:8" ht="19.5" customHeight="1" x14ac:dyDescent="0.35">
      <c r="A39" s="6"/>
      <c r="B39" s="234" t="s">
        <v>369</v>
      </c>
      <c r="C39" s="234"/>
      <c r="D39" s="259"/>
      <c r="E39" s="259"/>
      <c r="F39" s="259"/>
      <c r="G39" s="109"/>
      <c r="H39" s="6"/>
    </row>
    <row r="40" spans="1:8" ht="19.5" customHeight="1" x14ac:dyDescent="0.35">
      <c r="A40" s="6"/>
      <c r="B40" s="234" t="s">
        <v>370</v>
      </c>
      <c r="C40" s="234"/>
      <c r="D40" s="263"/>
      <c r="E40" s="263"/>
      <c r="F40" s="263"/>
      <c r="G40" s="58"/>
      <c r="H40" s="6"/>
    </row>
    <row r="41" spans="1:8" ht="19.5" customHeight="1" x14ac:dyDescent="0.35">
      <c r="A41" s="6"/>
      <c r="B41" s="234" t="s">
        <v>371</v>
      </c>
      <c r="C41" s="234"/>
      <c r="D41" s="236" t="str">
        <f>IFERROR(D36/Valuations!C6,"")</f>
        <v/>
      </c>
      <c r="E41" s="236"/>
      <c r="F41" s="236"/>
      <c r="G41" s="118"/>
      <c r="H41" s="6"/>
    </row>
    <row r="42" spans="1:8" ht="19.5" customHeight="1" x14ac:dyDescent="0.35">
      <c r="A42" s="6"/>
      <c r="B42" s="234" t="s">
        <v>372</v>
      </c>
      <c r="C42" s="234"/>
      <c r="D42" s="265"/>
      <c r="E42" s="265"/>
      <c r="F42" s="265"/>
      <c r="G42" s="119"/>
      <c r="H42" s="6"/>
    </row>
    <row r="43" spans="1:8" ht="19.5" customHeight="1" x14ac:dyDescent="0.35">
      <c r="A43" s="6"/>
      <c r="B43" s="234" t="s">
        <v>373</v>
      </c>
      <c r="C43" s="234"/>
      <c r="D43" s="259"/>
      <c r="E43" s="259"/>
      <c r="F43" s="259"/>
      <c r="G43" s="109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264" t="s">
        <v>374</v>
      </c>
      <c r="C45" s="264"/>
      <c r="D45" s="264"/>
      <c r="E45" s="264"/>
      <c r="F45" s="264"/>
      <c r="G45" s="264"/>
      <c r="H45" s="6"/>
    </row>
  </sheetData>
  <mergeCells count="54">
    <mergeCell ref="B45:G45"/>
    <mergeCell ref="B41:C41"/>
    <mergeCell ref="D41:F41"/>
    <mergeCell ref="B42:C42"/>
    <mergeCell ref="D42:F42"/>
    <mergeCell ref="B43:C43"/>
    <mergeCell ref="D43:F43"/>
    <mergeCell ref="B38:C38"/>
    <mergeCell ref="D38:F38"/>
    <mergeCell ref="B39:C39"/>
    <mergeCell ref="D39:F39"/>
    <mergeCell ref="B40:C40"/>
    <mergeCell ref="D40:F40"/>
    <mergeCell ref="B35:C35"/>
    <mergeCell ref="D35:F35"/>
    <mergeCell ref="B36:C36"/>
    <mergeCell ref="D36:F36"/>
    <mergeCell ref="B37:C37"/>
    <mergeCell ref="D37:F37"/>
    <mergeCell ref="C31:D31"/>
    <mergeCell ref="F31:G31"/>
    <mergeCell ref="B33:G33"/>
    <mergeCell ref="B34:C34"/>
    <mergeCell ref="D34:F34"/>
    <mergeCell ref="F26:G26"/>
    <mergeCell ref="F27:G27"/>
    <mergeCell ref="B29:G29"/>
    <mergeCell ref="C30:D30"/>
    <mergeCell ref="F30:G30"/>
    <mergeCell ref="F21:G21"/>
    <mergeCell ref="F22:G22"/>
    <mergeCell ref="F23:G23"/>
    <mergeCell ref="F24:G24"/>
    <mergeCell ref="F25:G25"/>
    <mergeCell ref="C16:D16"/>
    <mergeCell ref="F16:G16"/>
    <mergeCell ref="B18:G18"/>
    <mergeCell ref="F19:G19"/>
    <mergeCell ref="F20:G20"/>
    <mergeCell ref="F12:G12"/>
    <mergeCell ref="F13:G13"/>
    <mergeCell ref="B14:G14"/>
    <mergeCell ref="C15:D15"/>
    <mergeCell ref="F15:G15"/>
    <mergeCell ref="F7:G7"/>
    <mergeCell ref="F8:G8"/>
    <mergeCell ref="F9:G9"/>
    <mergeCell ref="F10:G10"/>
    <mergeCell ref="F11:G11"/>
    <mergeCell ref="A1:H1"/>
    <mergeCell ref="A2:H2"/>
    <mergeCell ref="B4:G4"/>
    <mergeCell ref="F5:G5"/>
    <mergeCell ref="F6:G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66" t="s">
        <v>375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</row>
    <row r="2" spans="1:13" ht="15.75" customHeight="1" x14ac:dyDescent="0.35">
      <c r="A2" s="267" t="s">
        <v>376</v>
      </c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</row>
    <row r="3" spans="1:13" ht="36" customHeight="1" x14ac:dyDescent="0.35">
      <c r="A3" s="6"/>
      <c r="B3" s="101" t="s">
        <v>267</v>
      </c>
      <c r="C3" s="101" t="s">
        <v>377</v>
      </c>
      <c r="D3" s="101" t="s">
        <v>378</v>
      </c>
      <c r="E3" s="101" t="s">
        <v>379</v>
      </c>
      <c r="F3" s="101" t="s">
        <v>380</v>
      </c>
      <c r="G3" s="101" t="s">
        <v>272</v>
      </c>
      <c r="H3" s="101" t="s">
        <v>273</v>
      </c>
      <c r="I3" s="101" t="s">
        <v>381</v>
      </c>
      <c r="J3" s="101" t="s">
        <v>382</v>
      </c>
      <c r="K3" s="101" t="s">
        <v>383</v>
      </c>
      <c r="L3" s="101" t="s">
        <v>384</v>
      </c>
      <c r="M3" s="101" t="s">
        <v>383</v>
      </c>
    </row>
    <row r="4" spans="1:13" ht="18" customHeight="1" x14ac:dyDescent="0.35">
      <c r="A4" s="6"/>
      <c r="B4" s="120" t="s">
        <v>92</v>
      </c>
      <c r="C4" s="121">
        <f>IFERROR(INDEX('Input Data'!F:F,MATCH(B4,'Input Data'!$C:$C,0)),"")</f>
        <v>107.7</v>
      </c>
      <c r="D4" s="21" t="str">
        <f>IFERROR(INDEX('Input Data'!D:D,MATCH(B4,'Input Data'!$C:$C,0)),"")</f>
        <v>Sydney Smiletree Pty Ltd</v>
      </c>
      <c r="E4" s="122">
        <f>IFERROR(INDEX('Input Data'!J:J,MATCH(B4,'Input Data'!$C:$C,0)),"")</f>
        <v>1342.25</v>
      </c>
      <c r="F4" s="123">
        <v>950</v>
      </c>
      <c r="G4" s="122">
        <f t="shared" ref="G4:G25" si="0">IFERROR(E4-F4,"")</f>
        <v>392.25</v>
      </c>
      <c r="H4" s="124">
        <f t="shared" ref="H4:H25" si="1">IFERROR((E4-F4)/F4,"")</f>
        <v>0.41289473684210526</v>
      </c>
      <c r="I4" s="125" t="s">
        <v>385</v>
      </c>
      <c r="J4" s="125" t="s">
        <v>386</v>
      </c>
      <c r="K4" s="125" t="s">
        <v>387</v>
      </c>
      <c r="L4" s="125" t="s">
        <v>388</v>
      </c>
      <c r="M4" s="125" t="s">
        <v>389</v>
      </c>
    </row>
    <row r="5" spans="1:13" ht="18" customHeight="1" x14ac:dyDescent="0.35">
      <c r="A5" s="6"/>
      <c r="B5" s="126" t="s">
        <v>101</v>
      </c>
      <c r="C5" s="127">
        <f>IFERROR(INDEX('Input Data'!F:F,MATCH(B5,'Input Data'!$C:$C,0)),"")</f>
        <v>795.5</v>
      </c>
      <c r="D5" s="116" t="str">
        <f>IFERROR(INDEX('Input Data'!D:D,MATCH(B5,'Input Data'!$C:$C,0)),"")</f>
        <v>Fitness First Australia Pty Limited</v>
      </c>
      <c r="E5" s="128">
        <f>IFERROR(INDEX('Input Data'!J:J,MATCH(B5,'Input Data'!$C:$C,0)),"")</f>
        <v>855.7</v>
      </c>
      <c r="F5" s="129">
        <v>870</v>
      </c>
      <c r="G5" s="128">
        <f t="shared" si="0"/>
        <v>-14.299999999999955</v>
      </c>
      <c r="H5" s="130">
        <f t="shared" si="1"/>
        <v>-1.6436781609195351E-2</v>
      </c>
      <c r="I5" s="131" t="s">
        <v>385</v>
      </c>
      <c r="J5" s="131" t="s">
        <v>386</v>
      </c>
      <c r="K5" s="131" t="s">
        <v>387</v>
      </c>
      <c r="L5" s="131" t="s">
        <v>388</v>
      </c>
      <c r="M5" s="131" t="s">
        <v>389</v>
      </c>
    </row>
    <row r="6" spans="1:13" ht="18" customHeight="1" x14ac:dyDescent="0.35">
      <c r="A6" s="6"/>
      <c r="B6" s="120" t="s">
        <v>109</v>
      </c>
      <c r="C6" s="121">
        <f>IFERROR(INDEX('Input Data'!F:F,MATCH(B6,'Input Data'!$C:$C,0)),"")</f>
        <v>1047</v>
      </c>
      <c r="D6" s="21" t="str">
        <f>IFERROR(INDEX('Input Data'!D:D,MATCH(B6,'Input Data'!$C:$C,0)),"")</f>
        <v>Fitness First Australia Pty Limited</v>
      </c>
      <c r="E6" s="122">
        <f>IFERROR(INDEX('Input Data'!J:J,MATCH(B6,'Input Data'!$C:$C,0)),"")</f>
        <v>855.7</v>
      </c>
      <c r="F6" s="123">
        <v>870</v>
      </c>
      <c r="G6" s="122">
        <f t="shared" si="0"/>
        <v>-14.299999999999955</v>
      </c>
      <c r="H6" s="124">
        <f t="shared" si="1"/>
        <v>-1.6436781609195351E-2</v>
      </c>
      <c r="I6" s="125" t="s">
        <v>385</v>
      </c>
      <c r="J6" s="125" t="s">
        <v>386</v>
      </c>
      <c r="K6" s="125" t="s">
        <v>387</v>
      </c>
      <c r="L6" s="125" t="s">
        <v>388</v>
      </c>
      <c r="M6" s="125" t="s">
        <v>389</v>
      </c>
    </row>
    <row r="7" spans="1:13" ht="18" customHeight="1" x14ac:dyDescent="0.35">
      <c r="A7" s="6"/>
      <c r="B7" s="126" t="s">
        <v>114</v>
      </c>
      <c r="C7" s="127">
        <f>IFERROR(INDEX('Input Data'!F:F,MATCH(B7,'Input Data'!$C:$C,0)),"")</f>
        <v>437.1</v>
      </c>
      <c r="D7" s="116" t="str">
        <f>IFERROR(INDEX('Input Data'!D:D,MATCH(B7,'Input Data'!$C:$C,0)),"")</f>
        <v>Fitness First Australia Pty Limited</v>
      </c>
      <c r="E7" s="128">
        <f>IFERROR(INDEX('Input Data'!J:J,MATCH(B7,'Input Data'!$C:$C,0)),"")</f>
        <v>855.7</v>
      </c>
      <c r="F7" s="129">
        <v>870</v>
      </c>
      <c r="G7" s="128">
        <f t="shared" si="0"/>
        <v>-14.299999999999955</v>
      </c>
      <c r="H7" s="130">
        <f t="shared" si="1"/>
        <v>-1.6436781609195351E-2</v>
      </c>
      <c r="I7" s="131" t="s">
        <v>385</v>
      </c>
      <c r="J7" s="131" t="s">
        <v>386</v>
      </c>
      <c r="K7" s="131" t="s">
        <v>387</v>
      </c>
      <c r="L7" s="131" t="s">
        <v>388</v>
      </c>
      <c r="M7" s="131" t="s">
        <v>389</v>
      </c>
    </row>
    <row r="8" spans="1:13" ht="18" customHeight="1" x14ac:dyDescent="0.35">
      <c r="A8" s="6"/>
      <c r="B8" s="120" t="s">
        <v>119</v>
      </c>
      <c r="C8" s="121">
        <f>IFERROR(INDEX('Input Data'!F:F,MATCH(B8,'Input Data'!$C:$C,0)),"")</f>
        <v>229.8</v>
      </c>
      <c r="D8" s="21" t="str">
        <f>IFERROR(INDEX('Input Data'!D:D,MATCH(B8,'Input Data'!$C:$C,0)),"")</f>
        <v>Asterx Pty Ltd</v>
      </c>
      <c r="E8" s="122">
        <f>IFERROR(INDEX('Input Data'!J:J,MATCH(B8,'Input Data'!$C:$C,0)),"")</f>
        <v>877.01</v>
      </c>
      <c r="F8" s="123">
        <v>1005</v>
      </c>
      <c r="G8" s="122">
        <f t="shared" si="0"/>
        <v>-127.99000000000001</v>
      </c>
      <c r="H8" s="124">
        <f t="shared" si="1"/>
        <v>-0.12735323383084579</v>
      </c>
      <c r="I8" s="125" t="s">
        <v>385</v>
      </c>
      <c r="J8" s="125" t="s">
        <v>386</v>
      </c>
      <c r="K8" s="125" t="s">
        <v>387</v>
      </c>
      <c r="L8" s="125" t="s">
        <v>388</v>
      </c>
      <c r="M8" s="125" t="s">
        <v>389</v>
      </c>
    </row>
    <row r="9" spans="1:13" ht="18" customHeight="1" x14ac:dyDescent="0.35">
      <c r="A9" s="6"/>
      <c r="B9" s="126" t="s">
        <v>128</v>
      </c>
      <c r="C9" s="127">
        <f>IFERROR(INDEX('Input Data'!F:F,MATCH(B9,'Input Data'!$C:$C,0)),"")</f>
        <v>413.5</v>
      </c>
      <c r="D9" s="116" t="str">
        <f>IFERROR(INDEX('Input Data'!D:D,MATCH(B9,'Input Data'!$C:$C,0)),"")</f>
        <v>Auctionsplus Pty Ltd</v>
      </c>
      <c r="E9" s="128">
        <f>IFERROR(INDEX('Input Data'!J:J,MATCH(B9,'Input Data'!$C:$C,0)),"")</f>
        <v>1005.89</v>
      </c>
      <c r="F9" s="129">
        <v>1000</v>
      </c>
      <c r="G9" s="128">
        <f t="shared" si="0"/>
        <v>5.8899999999999864</v>
      </c>
      <c r="H9" s="130">
        <f t="shared" si="1"/>
        <v>5.8899999999999864E-3</v>
      </c>
      <c r="I9" s="131" t="s">
        <v>385</v>
      </c>
      <c r="J9" s="131" t="s">
        <v>386</v>
      </c>
      <c r="K9" s="131" t="s">
        <v>387</v>
      </c>
      <c r="L9" s="131" t="s">
        <v>388</v>
      </c>
      <c r="M9" s="131" t="s">
        <v>389</v>
      </c>
    </row>
    <row r="10" spans="1:13" ht="18" customHeight="1" x14ac:dyDescent="0.35">
      <c r="A10" s="6"/>
      <c r="B10" s="120" t="s">
        <v>206</v>
      </c>
      <c r="C10" s="121">
        <f>IFERROR(INDEX('Input Data'!F:F,MATCH(B10,'Input Data'!$C:$C,0)),"")</f>
        <v>186.4</v>
      </c>
      <c r="D10" s="21" t="str">
        <f>IFERROR(INDEX('Input Data'!D:D,MATCH(B10,'Input Data'!$C:$C,0)),"")</f>
        <v>Caladas Constructions</v>
      </c>
      <c r="E10" s="122">
        <f>IFERROR(INDEX('Input Data'!J:J,MATCH(B10,'Input Data'!$C:$C,0)),"")</f>
        <v>920</v>
      </c>
      <c r="F10" s="123">
        <v>1010</v>
      </c>
      <c r="G10" s="122">
        <f t="shared" si="0"/>
        <v>-90</v>
      </c>
      <c r="H10" s="124">
        <f t="shared" si="1"/>
        <v>-8.9108910891089105E-2</v>
      </c>
      <c r="I10" s="125" t="s">
        <v>385</v>
      </c>
      <c r="J10" s="125" t="s">
        <v>386</v>
      </c>
      <c r="K10" s="125" t="s">
        <v>387</v>
      </c>
      <c r="L10" s="125" t="s">
        <v>388</v>
      </c>
      <c r="M10" s="125" t="s">
        <v>389</v>
      </c>
    </row>
    <row r="11" spans="1:13" ht="18" customHeight="1" x14ac:dyDescent="0.35">
      <c r="A11" s="6"/>
      <c r="B11" s="126" t="s">
        <v>135</v>
      </c>
      <c r="C11" s="127">
        <f>IFERROR(INDEX('Input Data'!F:F,MATCH(B11,'Input Data'!$C:$C,0)),"")</f>
        <v>451.7</v>
      </c>
      <c r="D11" s="116" t="str">
        <f>IFERROR(INDEX('Input Data'!D:D,MATCH(B11,'Input Data'!$C:$C,0)),"")</f>
        <v>Sungrow Australia Group</v>
      </c>
      <c r="E11" s="128">
        <f>IFERROR(INDEX('Input Data'!J:J,MATCH(B11,'Input Data'!$C:$C,0)),"")</f>
        <v>954.5</v>
      </c>
      <c r="F11" s="129">
        <v>1005</v>
      </c>
      <c r="G11" s="128">
        <f t="shared" si="0"/>
        <v>-50.5</v>
      </c>
      <c r="H11" s="130">
        <f t="shared" si="1"/>
        <v>-5.0248756218905476E-2</v>
      </c>
      <c r="I11" s="131" t="s">
        <v>385</v>
      </c>
      <c r="J11" s="131" t="s">
        <v>386</v>
      </c>
      <c r="K11" s="131" t="s">
        <v>387</v>
      </c>
      <c r="L11" s="131" t="s">
        <v>388</v>
      </c>
      <c r="M11" s="131" t="s">
        <v>389</v>
      </c>
    </row>
    <row r="12" spans="1:13" ht="18" customHeight="1" x14ac:dyDescent="0.35">
      <c r="A12" s="6"/>
      <c r="B12" s="120" t="s">
        <v>143</v>
      </c>
      <c r="C12" s="121">
        <f>IFERROR(INDEX('Input Data'!F:F,MATCH(B12,'Input Data'!$C:$C,0)),"")</f>
        <v>189.4</v>
      </c>
      <c r="D12" s="21" t="str">
        <f>IFERROR(INDEX('Input Data'!D:D,MATCH(B12,'Input Data'!$C:$C,0)),"")</f>
        <v>Keeping Company Pty Ltd</v>
      </c>
      <c r="E12" s="122">
        <f>IFERROR(INDEX('Input Data'!J:J,MATCH(B12,'Input Data'!$C:$C,0)),"")</f>
        <v>1020.02</v>
      </c>
      <c r="F12" s="123">
        <v>1010</v>
      </c>
      <c r="G12" s="122">
        <f t="shared" si="0"/>
        <v>10.019999999999982</v>
      </c>
      <c r="H12" s="124">
        <f t="shared" si="1"/>
        <v>9.9207920792079036E-3</v>
      </c>
      <c r="I12" s="125" t="s">
        <v>385</v>
      </c>
      <c r="J12" s="125" t="s">
        <v>386</v>
      </c>
      <c r="K12" s="125" t="s">
        <v>387</v>
      </c>
      <c r="L12" s="125" t="s">
        <v>388</v>
      </c>
      <c r="M12" s="125" t="s">
        <v>389</v>
      </c>
    </row>
    <row r="13" spans="1:13" ht="18" customHeight="1" x14ac:dyDescent="0.35">
      <c r="A13" s="6"/>
      <c r="B13" s="126" t="s">
        <v>149</v>
      </c>
      <c r="C13" s="127">
        <f>IFERROR(INDEX('Input Data'!F:F,MATCH(B13,'Input Data'!$C:$C,0)),"")</f>
        <v>267.89999999999998</v>
      </c>
      <c r="D13" s="116" t="str">
        <f>IFERROR(INDEX('Input Data'!D:D,MATCH(B13,'Input Data'!$C:$C,0)),"")</f>
        <v>Elekta Pty Limited</v>
      </c>
      <c r="E13" s="128">
        <f>IFERROR(INDEX('Input Data'!J:J,MATCH(B13,'Input Data'!$C:$C,0)),"")</f>
        <v>920</v>
      </c>
      <c r="F13" s="129">
        <v>1005</v>
      </c>
      <c r="G13" s="128">
        <f t="shared" si="0"/>
        <v>-85</v>
      </c>
      <c r="H13" s="130">
        <f t="shared" si="1"/>
        <v>-8.45771144278607E-2</v>
      </c>
      <c r="I13" s="131" t="s">
        <v>385</v>
      </c>
      <c r="J13" s="131" t="s">
        <v>386</v>
      </c>
      <c r="K13" s="131" t="s">
        <v>387</v>
      </c>
      <c r="L13" s="131" t="s">
        <v>388</v>
      </c>
      <c r="M13" s="131" t="s">
        <v>389</v>
      </c>
    </row>
    <row r="14" spans="1:13" ht="18" customHeight="1" x14ac:dyDescent="0.35">
      <c r="A14" s="6"/>
      <c r="B14" s="120" t="s">
        <v>157</v>
      </c>
      <c r="C14" s="121">
        <f>IFERROR(INDEX('Input Data'!F:F,MATCH(B14,'Input Data'!$C:$C,0)),"")</f>
        <v>484.1</v>
      </c>
      <c r="D14" s="21" t="str">
        <f>IFERROR(INDEX('Input Data'!D:D,MATCH(B14,'Input Data'!$C:$C,0)),"")</f>
        <v>Sungrow Australia Group</v>
      </c>
      <c r="E14" s="122">
        <f>IFERROR(INDEX('Input Data'!J:J,MATCH(B14,'Input Data'!$C:$C,0)),"")</f>
        <v>1049.77</v>
      </c>
      <c r="F14" s="123">
        <v>1015</v>
      </c>
      <c r="G14" s="122">
        <f t="shared" si="0"/>
        <v>34.769999999999982</v>
      </c>
      <c r="H14" s="124">
        <f t="shared" si="1"/>
        <v>3.4256157635467965E-2</v>
      </c>
      <c r="I14" s="125" t="s">
        <v>385</v>
      </c>
      <c r="J14" s="125" t="s">
        <v>386</v>
      </c>
      <c r="K14" s="125" t="s">
        <v>387</v>
      </c>
      <c r="L14" s="125" t="s">
        <v>388</v>
      </c>
      <c r="M14" s="125" t="s">
        <v>389</v>
      </c>
    </row>
    <row r="15" spans="1:13" ht="18" customHeight="1" x14ac:dyDescent="0.35">
      <c r="A15" s="6"/>
      <c r="B15" s="126" t="s">
        <v>162</v>
      </c>
      <c r="C15" s="127">
        <f>IFERROR(INDEX('Input Data'!F:F,MATCH(B15,'Input Data'!$C:$C,0)),"")</f>
        <v>365.5</v>
      </c>
      <c r="D15" s="116" t="str">
        <f>IFERROR(INDEX('Input Data'!D:D,MATCH(B15,'Input Data'!$C:$C,0)),"")</f>
        <v>Sungrow Australia Group</v>
      </c>
      <c r="E15" s="128">
        <f>IFERROR(INDEX('Input Data'!J:J,MATCH(B15,'Input Data'!$C:$C,0)),"")</f>
        <v>0</v>
      </c>
      <c r="F15" s="129">
        <v>1015</v>
      </c>
      <c r="G15" s="128">
        <f t="shared" si="0"/>
        <v>-1015</v>
      </c>
      <c r="H15" s="130">
        <f t="shared" si="1"/>
        <v>-1</v>
      </c>
      <c r="I15" s="131" t="s">
        <v>385</v>
      </c>
      <c r="J15" s="131" t="s">
        <v>386</v>
      </c>
      <c r="K15" s="131" t="s">
        <v>387</v>
      </c>
      <c r="L15" s="131" t="s">
        <v>388</v>
      </c>
      <c r="M15" s="131" t="s">
        <v>389</v>
      </c>
    </row>
    <row r="16" spans="1:13" ht="18" customHeight="1" x14ac:dyDescent="0.35">
      <c r="A16" s="6"/>
      <c r="B16" s="120" t="s">
        <v>169</v>
      </c>
      <c r="C16" s="121">
        <f>IFERROR(INDEX('Input Data'!F:F,MATCH(B16,'Input Data'!$C:$C,0)),"")</f>
        <v>686.7</v>
      </c>
      <c r="D16" s="21" t="str">
        <f>IFERROR(INDEX('Input Data'!D:D,MATCH(B16,'Input Data'!$C:$C,0)),"")</f>
        <v>Vanderlande Industries Australia Pty Ltd</v>
      </c>
      <c r="E16" s="122">
        <f>IFERROR(INDEX('Input Data'!J:J,MATCH(B16,'Input Data'!$C:$C,0)),"")</f>
        <v>989.66</v>
      </c>
      <c r="F16" s="123">
        <v>1015</v>
      </c>
      <c r="G16" s="122">
        <f t="shared" si="0"/>
        <v>-25.340000000000032</v>
      </c>
      <c r="H16" s="124">
        <f t="shared" si="1"/>
        <v>-2.4965517241379343E-2</v>
      </c>
      <c r="I16" s="125" t="s">
        <v>385</v>
      </c>
      <c r="J16" s="125" t="s">
        <v>386</v>
      </c>
      <c r="K16" s="125" t="s">
        <v>387</v>
      </c>
      <c r="L16" s="125" t="s">
        <v>388</v>
      </c>
      <c r="M16" s="125" t="s">
        <v>389</v>
      </c>
    </row>
    <row r="17" spans="1:13" ht="18" customHeight="1" x14ac:dyDescent="0.35">
      <c r="A17" s="6"/>
      <c r="B17" s="126" t="s">
        <v>175</v>
      </c>
      <c r="C17" s="127">
        <f>IFERROR(INDEX('Input Data'!F:F,MATCH(B17,'Input Data'!$C:$C,0)),"")</f>
        <v>116.3</v>
      </c>
      <c r="D17" s="116" t="str">
        <f>IFERROR(INDEX('Input Data'!D:D,MATCH(B17,'Input Data'!$C:$C,0)),"")</f>
        <v>Can Too Foundation Limited</v>
      </c>
      <c r="E17" s="128">
        <f>IFERROR(INDEX('Input Data'!J:J,MATCH(B17,'Input Data'!$C:$C,0)),"")</f>
        <v>990</v>
      </c>
      <c r="F17" s="129">
        <v>1020</v>
      </c>
      <c r="G17" s="128">
        <f t="shared" si="0"/>
        <v>-30</v>
      </c>
      <c r="H17" s="130">
        <f t="shared" si="1"/>
        <v>-2.9411764705882353E-2</v>
      </c>
      <c r="I17" s="131" t="s">
        <v>385</v>
      </c>
      <c r="J17" s="131" t="s">
        <v>386</v>
      </c>
      <c r="K17" s="131" t="s">
        <v>387</v>
      </c>
      <c r="L17" s="131" t="s">
        <v>388</v>
      </c>
      <c r="M17" s="131" t="s">
        <v>389</v>
      </c>
    </row>
    <row r="18" spans="1:13" ht="18" customHeight="1" x14ac:dyDescent="0.35">
      <c r="A18" s="6"/>
      <c r="B18" s="120" t="s">
        <v>182</v>
      </c>
      <c r="C18" s="121">
        <f>IFERROR(INDEX('Input Data'!F:F,MATCH(B18,'Input Data'!$C:$C,0)),"")</f>
        <v>453.3</v>
      </c>
      <c r="D18" s="21" t="str">
        <f>IFERROR(INDEX('Input Data'!D:D,MATCH(B18,'Input Data'!$C:$C,0)),"")</f>
        <v>Pitt &amp; Sherry (Operations) Pty Ltd</v>
      </c>
      <c r="E18" s="122">
        <f>IFERROR(INDEX('Input Data'!J:J,MATCH(B18,'Input Data'!$C:$C,0)),"")</f>
        <v>1027.43</v>
      </c>
      <c r="F18" s="123">
        <v>1030</v>
      </c>
      <c r="G18" s="122">
        <f t="shared" si="0"/>
        <v>-2.5699999999999363</v>
      </c>
      <c r="H18" s="124">
        <f t="shared" si="1"/>
        <v>-2.4951456310678992E-3</v>
      </c>
      <c r="I18" s="125" t="s">
        <v>385</v>
      </c>
      <c r="J18" s="125" t="s">
        <v>386</v>
      </c>
      <c r="K18" s="125" t="s">
        <v>387</v>
      </c>
      <c r="L18" s="125" t="s">
        <v>388</v>
      </c>
      <c r="M18" s="125" t="s">
        <v>389</v>
      </c>
    </row>
    <row r="19" spans="1:13" ht="18" customHeight="1" x14ac:dyDescent="0.35">
      <c r="A19" s="6"/>
      <c r="B19" s="126" t="s">
        <v>194</v>
      </c>
      <c r="C19" s="127">
        <f>IFERROR(INDEX('Input Data'!F:F,MATCH(B19,'Input Data'!$C:$C,0)),"")</f>
        <v>251</v>
      </c>
      <c r="D19" s="116" t="str">
        <f>IFERROR(INDEX('Input Data'!D:D,MATCH(B19,'Input Data'!$C:$C,0)),"")</f>
        <v>Smile Partners Australia</v>
      </c>
      <c r="E19" s="128">
        <f>IFERROR(INDEX('Input Data'!J:J,MATCH(B19,'Input Data'!$C:$C,0)),"")</f>
        <v>985</v>
      </c>
      <c r="F19" s="129">
        <v>1030</v>
      </c>
      <c r="G19" s="128">
        <f t="shared" si="0"/>
        <v>-45</v>
      </c>
      <c r="H19" s="130">
        <f t="shared" si="1"/>
        <v>-4.3689320388349516E-2</v>
      </c>
      <c r="I19" s="131" t="s">
        <v>385</v>
      </c>
      <c r="J19" s="131" t="s">
        <v>386</v>
      </c>
      <c r="K19" s="131" t="s">
        <v>387</v>
      </c>
      <c r="L19" s="131" t="s">
        <v>388</v>
      </c>
      <c r="M19" s="131" t="s">
        <v>389</v>
      </c>
    </row>
    <row r="20" spans="1:13" ht="18" customHeight="1" x14ac:dyDescent="0.35">
      <c r="A20" s="6"/>
      <c r="B20" s="132">
        <v>10.01</v>
      </c>
      <c r="C20" s="133">
        <v>349</v>
      </c>
      <c r="D20" s="33" t="str">
        <f>IFERROR(INDEX('Input Data'!D:D,MATCH(B20,'Input Data'!$C:$C,0)),"")</f>
        <v/>
      </c>
      <c r="E20" s="134" t="str">
        <f>IFERROR(INDEX('Input Data'!J:J,MATCH(B20,'Input Data'!$C:$C,0)),"")</f>
        <v/>
      </c>
      <c r="F20" s="123">
        <v>1040</v>
      </c>
      <c r="G20" s="134" t="str">
        <f t="shared" si="0"/>
        <v/>
      </c>
      <c r="H20" s="135" t="str">
        <f t="shared" si="1"/>
        <v/>
      </c>
      <c r="I20" s="125" t="s">
        <v>385</v>
      </c>
      <c r="J20" s="125" t="s">
        <v>386</v>
      </c>
      <c r="K20" s="125" t="s">
        <v>387</v>
      </c>
      <c r="L20" s="125" t="s">
        <v>388</v>
      </c>
      <c r="M20" s="125" t="s">
        <v>389</v>
      </c>
    </row>
    <row r="21" spans="1:13" ht="18" customHeight="1" x14ac:dyDescent="0.35">
      <c r="A21" s="6"/>
      <c r="B21" s="126">
        <v>10.02</v>
      </c>
      <c r="C21" s="127">
        <v>438</v>
      </c>
      <c r="D21" s="116" t="str">
        <f>IFERROR(INDEX('Input Data'!D:D,MATCH(B21,'Input Data'!$C:$C,0)),"")</f>
        <v/>
      </c>
      <c r="E21" s="128" t="str">
        <f>IFERROR(INDEX('Input Data'!J:J,MATCH(B21,'Input Data'!$C:$C,0)),"")</f>
        <v/>
      </c>
      <c r="F21" s="129">
        <v>1040</v>
      </c>
      <c r="G21" s="128" t="str">
        <f t="shared" si="0"/>
        <v/>
      </c>
      <c r="H21" s="130" t="str">
        <f t="shared" si="1"/>
        <v/>
      </c>
      <c r="I21" s="131" t="s">
        <v>385</v>
      </c>
      <c r="J21" s="131" t="s">
        <v>386</v>
      </c>
      <c r="K21" s="131" t="s">
        <v>387</v>
      </c>
      <c r="L21" s="131" t="s">
        <v>388</v>
      </c>
      <c r="M21" s="131" t="s">
        <v>389</v>
      </c>
    </row>
    <row r="22" spans="1:13" ht="18" customHeight="1" x14ac:dyDescent="0.35">
      <c r="A22" s="6"/>
      <c r="B22" s="132">
        <v>11.01</v>
      </c>
      <c r="C22" s="133">
        <v>236</v>
      </c>
      <c r="D22" s="33" t="str">
        <f>IFERROR(INDEX('Input Data'!D:D,MATCH(B22,'Input Data'!$C:$C,0)),"")</f>
        <v/>
      </c>
      <c r="E22" s="134" t="str">
        <f>IFERROR(INDEX('Input Data'!J:J,MATCH(B22,'Input Data'!$C:$C,0)),"")</f>
        <v/>
      </c>
      <c r="F22" s="123">
        <v>1045</v>
      </c>
      <c r="G22" s="134" t="str">
        <f t="shared" si="0"/>
        <v/>
      </c>
      <c r="H22" s="135" t="str">
        <f t="shared" si="1"/>
        <v/>
      </c>
      <c r="I22" s="125" t="s">
        <v>385</v>
      </c>
      <c r="J22" s="125" t="s">
        <v>386</v>
      </c>
      <c r="K22" s="125" t="s">
        <v>387</v>
      </c>
      <c r="L22" s="125" t="s">
        <v>388</v>
      </c>
      <c r="M22" s="125" t="s">
        <v>389</v>
      </c>
    </row>
    <row r="23" spans="1:13" ht="18" customHeight="1" x14ac:dyDescent="0.35">
      <c r="A23" s="6"/>
      <c r="B23" s="126">
        <v>11.02</v>
      </c>
      <c r="C23" s="127">
        <v>536</v>
      </c>
      <c r="D23" s="116" t="str">
        <f>IFERROR(INDEX('Input Data'!D:D,MATCH(B23,'Input Data'!$C:$C,0)),"")</f>
        <v/>
      </c>
      <c r="E23" s="128" t="str">
        <f>IFERROR(INDEX('Input Data'!J:J,MATCH(B23,'Input Data'!$C:$C,0)),"")</f>
        <v/>
      </c>
      <c r="F23" s="129">
        <v>1040</v>
      </c>
      <c r="G23" s="128" t="str">
        <f t="shared" si="0"/>
        <v/>
      </c>
      <c r="H23" s="130" t="str">
        <f t="shared" si="1"/>
        <v/>
      </c>
      <c r="I23" s="131" t="s">
        <v>385</v>
      </c>
      <c r="J23" s="131" t="s">
        <v>386</v>
      </c>
      <c r="K23" s="131" t="s">
        <v>387</v>
      </c>
      <c r="L23" s="131" t="s">
        <v>388</v>
      </c>
      <c r="M23" s="131" t="s">
        <v>389</v>
      </c>
    </row>
    <row r="24" spans="1:13" ht="18" customHeight="1" x14ac:dyDescent="0.35">
      <c r="A24" s="6"/>
      <c r="B24" s="120" t="s">
        <v>189</v>
      </c>
      <c r="C24" s="121">
        <f>IFERROR(INDEX('Input Data'!F:F,MATCH(B24,'Input Data'!$C:$C,0)),"")</f>
        <v>344.5</v>
      </c>
      <c r="D24" s="21" t="str">
        <f>IFERROR(INDEX('Input Data'!D:D,MATCH(B24,'Input Data'!$C:$C,0)),"")</f>
        <v>Hulsbosch Design Pty Ltd</v>
      </c>
      <c r="E24" s="122">
        <f>IFERROR(INDEX('Input Data'!J:J,MATCH(B24,'Input Data'!$C:$C,0)),"")</f>
        <v>990.29</v>
      </c>
      <c r="F24" s="123">
        <v>1045</v>
      </c>
      <c r="G24" s="122">
        <f t="shared" si="0"/>
        <v>-54.710000000000036</v>
      </c>
      <c r="H24" s="124">
        <f t="shared" si="1"/>
        <v>-5.2354066985645965E-2</v>
      </c>
      <c r="I24" s="125">
        <v>0.24</v>
      </c>
      <c r="J24" s="125">
        <v>0.27</v>
      </c>
      <c r="K24" s="125">
        <v>0.3</v>
      </c>
      <c r="L24" s="125">
        <v>0.22</v>
      </c>
      <c r="M24" s="125">
        <v>0.27</v>
      </c>
    </row>
    <row r="25" spans="1:13" ht="18" customHeight="1" x14ac:dyDescent="0.35">
      <c r="A25" s="6"/>
      <c r="B25" s="126" t="s">
        <v>199</v>
      </c>
      <c r="C25" s="127">
        <f>IFERROR(INDEX('Input Data'!F:F,MATCH(B25,'Input Data'!$C:$C,0)),"")</f>
        <v>536</v>
      </c>
      <c r="D25" s="116" t="str">
        <f>IFERROR(INDEX('Input Data'!D:D,MATCH(B25,'Input Data'!$C:$C,0)),"")</f>
        <v>Aei Insurance Group Pty Ltd</v>
      </c>
      <c r="E25" s="128">
        <f>IFERROR(INDEX('Input Data'!J:J,MATCH(B25,'Input Data'!$C:$C,0)),"")</f>
        <v>988</v>
      </c>
      <c r="F25" s="129">
        <v>1050</v>
      </c>
      <c r="G25" s="128">
        <f t="shared" si="0"/>
        <v>-62</v>
      </c>
      <c r="H25" s="130">
        <f t="shared" si="1"/>
        <v>-5.904761904761905E-2</v>
      </c>
      <c r="I25" s="131">
        <v>0.24</v>
      </c>
      <c r="J25" s="131">
        <v>0.27</v>
      </c>
      <c r="K25" s="131">
        <v>0.3</v>
      </c>
      <c r="L25" s="131">
        <v>0.22</v>
      </c>
      <c r="M25" s="131">
        <v>0.27</v>
      </c>
    </row>
    <row r="26" spans="1:13" ht="19.5" customHeight="1" x14ac:dyDescent="0.35">
      <c r="A26" s="6"/>
      <c r="B26" s="113" t="s">
        <v>390</v>
      </c>
      <c r="C26" s="68"/>
      <c r="D26" s="68"/>
      <c r="E26" s="136">
        <f>IFERROR(SUMPRODUCT(C4:C25,E4:E25)/SUM(C4:C25),"")</f>
        <v>744.37415930691293</v>
      </c>
      <c r="F26" s="137">
        <f>IFERROR(SUMPRODUCT(C4:C25,F4:F25)/SUM(C4:C25),"")</f>
        <v>984.20985385098163</v>
      </c>
      <c r="G26" s="68"/>
      <c r="H26" s="68"/>
      <c r="I26" s="68"/>
      <c r="J26" s="68"/>
      <c r="K26" s="68"/>
      <c r="L26" s="68"/>
      <c r="M26" s="68"/>
    </row>
    <row r="27" spans="1:13" ht="9.75" customHeight="1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8" customHeight="1" x14ac:dyDescent="0.35">
      <c r="A28" s="6"/>
      <c r="B28" s="243" t="s">
        <v>391</v>
      </c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6"/>
    </row>
  </sheetData>
  <mergeCells count="3">
    <mergeCell ref="A1:M1"/>
    <mergeCell ref="A2:M2"/>
    <mergeCell ref="B28:L2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66" t="s">
        <v>392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</row>
    <row r="2" spans="1:14" ht="24" customHeight="1" x14ac:dyDescent="0.35">
      <c r="A2" s="6"/>
      <c r="B2" s="2" t="s">
        <v>59</v>
      </c>
      <c r="C2" s="2" t="s">
        <v>393</v>
      </c>
      <c r="D2" s="2" t="s">
        <v>63</v>
      </c>
      <c r="E2" s="2" t="s">
        <v>64</v>
      </c>
      <c r="F2" s="2" t="s">
        <v>65</v>
      </c>
      <c r="G2" s="2" t="s">
        <v>66</v>
      </c>
      <c r="H2" s="2" t="s">
        <v>394</v>
      </c>
      <c r="I2" s="2" t="s">
        <v>67</v>
      </c>
      <c r="J2" s="2" t="s">
        <v>312</v>
      </c>
      <c r="K2" s="2" t="s">
        <v>253</v>
      </c>
      <c r="L2" s="2" t="s">
        <v>395</v>
      </c>
      <c r="M2" s="2" t="s">
        <v>76</v>
      </c>
      <c r="N2" s="2" t="s">
        <v>82</v>
      </c>
    </row>
    <row r="3" spans="1:14" ht="18" customHeight="1" x14ac:dyDescent="0.35">
      <c r="A3" s="6"/>
      <c r="B3" s="208" t="s">
        <v>396</v>
      </c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</row>
    <row r="4" spans="1:14" ht="15.75" customHeight="1" x14ac:dyDescent="0.35">
      <c r="A4" s="6"/>
      <c r="B4" s="41" t="str">
        <f>'Input Data'!B10</f>
        <v>L06</v>
      </c>
      <c r="C4" s="42" t="str">
        <f>IFERROR('Input Data'!D10&amp;" ("&amp;'Input Data'!C10&amp;")","—")</f>
        <v>Keeping Company Pty Ltd (6.03)</v>
      </c>
      <c r="D4" s="43">
        <f>'Input Data'!F10</f>
        <v>189.4</v>
      </c>
      <c r="E4" s="11">
        <f>IFERROR('Input Data'!G10,"")</f>
        <v>44713</v>
      </c>
      <c r="F4" s="11">
        <f>IFERROR('Input Data'!H10,"")</f>
        <v>46538</v>
      </c>
      <c r="G4" s="44">
        <f>'Input Data'!I10</f>
        <v>5</v>
      </c>
      <c r="H4" s="47">
        <f ca="1">'Input Data'!V10</f>
        <v>0.91718001368925395</v>
      </c>
      <c r="I4" s="45">
        <f>'Input Data'!J10</f>
        <v>1020.02</v>
      </c>
      <c r="J4" s="45">
        <f>'Input Data'!Q10</f>
        <v>206138.92800000001</v>
      </c>
      <c r="K4" s="41">
        <f>IFERROR(YEAR('Input Data'!H10),"VACANT")</f>
        <v>2027</v>
      </c>
      <c r="L4" s="41">
        <f>'Input Data'!R10</f>
        <v>2</v>
      </c>
      <c r="M4" s="46" t="str">
        <f>'Input Data'!S10</f>
        <v>FIXED 3.5%</v>
      </c>
      <c r="N4" s="45">
        <f>'Input Data'!Y10</f>
        <v>30.019999999999982</v>
      </c>
    </row>
    <row r="5" spans="1:14" ht="15.75" customHeight="1" x14ac:dyDescent="0.35">
      <c r="A5" s="6"/>
      <c r="B5" s="41" t="str">
        <f>'Input Data'!B16</f>
        <v>L09</v>
      </c>
      <c r="C5" s="42" t="str">
        <f>IFERROR('Input Data'!D16&amp;" ("&amp;'Input Data'!C16&amp;")","—")</f>
        <v>Pitt &amp; Sherry (Operations) Pty Ltd (9.01)</v>
      </c>
      <c r="D5" s="43">
        <f>'Input Data'!F16</f>
        <v>453.3</v>
      </c>
      <c r="E5" s="11">
        <f>IFERROR('Input Data'!G16,"")</f>
        <v>44746</v>
      </c>
      <c r="F5" s="11">
        <f>IFERROR('Input Data'!H16,"")</f>
        <v>46571</v>
      </c>
      <c r="G5" s="44">
        <f>'Input Data'!I16</f>
        <v>5</v>
      </c>
      <c r="H5" s="47">
        <f ca="1">'Input Data'!V16</f>
        <v>1.0075290896646132</v>
      </c>
      <c r="I5" s="45">
        <f>'Input Data'!J16</f>
        <v>1027.43</v>
      </c>
      <c r="J5" s="45">
        <f>'Input Data'!Q16</f>
        <v>379154.78899999999</v>
      </c>
      <c r="K5" s="41">
        <f>IFERROR(YEAR('Input Data'!H16),"VACANT")</f>
        <v>2027</v>
      </c>
      <c r="L5" s="41">
        <f>'Input Data'!R16</f>
        <v>1</v>
      </c>
      <c r="M5" s="46" t="str">
        <f>'Input Data'!S16</f>
        <v>FIXED 3.75%</v>
      </c>
      <c r="N5" s="45">
        <f>'Input Data'!Y16</f>
        <v>-12.569999999999936</v>
      </c>
    </row>
    <row r="6" spans="1:14" ht="18" customHeight="1" x14ac:dyDescent="0.35">
      <c r="A6" s="6"/>
      <c r="B6" s="250" t="s">
        <v>397</v>
      </c>
      <c r="C6" s="250"/>
      <c r="D6" s="250"/>
      <c r="E6" s="250"/>
      <c r="F6" s="250"/>
      <c r="G6" s="250"/>
      <c r="H6" s="250"/>
      <c r="I6" s="250"/>
      <c r="J6" s="250"/>
      <c r="K6" s="250"/>
      <c r="L6" s="250"/>
      <c r="M6" s="250"/>
      <c r="N6" s="250"/>
    </row>
    <row r="7" spans="1:14" ht="15.75" customHeight="1" x14ac:dyDescent="0.35">
      <c r="A7" s="6"/>
      <c r="B7" s="88" t="str">
        <f>'Input Data'!B14</f>
        <v>L08</v>
      </c>
      <c r="C7" s="138" t="str">
        <f>IFERROR('Input Data'!D14&amp;" ("&amp;'Input Data'!C14&amp;")","—")</f>
        <v>Vanderlande Industries Australia Pty Ltd (8.01)</v>
      </c>
      <c r="D7" s="90">
        <f>'Input Data'!F14</f>
        <v>686.7</v>
      </c>
      <c r="E7" s="139">
        <f>IFERROR('Input Data'!G14,"")</f>
        <v>43282</v>
      </c>
      <c r="F7" s="139">
        <f>IFERROR('Input Data'!H14,"")</f>
        <v>46934</v>
      </c>
      <c r="G7" s="140">
        <f>'Input Data'!I14</f>
        <v>10</v>
      </c>
      <c r="H7" s="141">
        <f ca="1">'Input Data'!V14</f>
        <v>2.001368925393566</v>
      </c>
      <c r="I7" s="91">
        <f>'Input Data'!J14</f>
        <v>989.66</v>
      </c>
      <c r="J7" s="91">
        <f>'Input Data'!Q14</f>
        <v>536202.82200000004</v>
      </c>
      <c r="K7" s="88">
        <f>IFERROR(YEAR('Input Data'!H14),"VACANT")</f>
        <v>2028</v>
      </c>
      <c r="L7" s="88">
        <f>'Input Data'!R14</f>
        <v>0</v>
      </c>
      <c r="M7" s="89" t="str">
        <f>'Input Data'!S14</f>
        <v>FIXED 4%</v>
      </c>
      <c r="N7" s="91">
        <f>'Input Data'!Y14</f>
        <v>-0.34000000000003183</v>
      </c>
    </row>
    <row r="8" spans="1:14" ht="15.75" customHeight="1" x14ac:dyDescent="0.35">
      <c r="A8" s="6"/>
      <c r="B8" s="88" t="str">
        <f>'Input Data'!B3</f>
        <v>L03</v>
      </c>
      <c r="C8" s="138" t="str">
        <f>IFERROR('Input Data'!D3&amp;" ("&amp;'Input Data'!C3&amp;")","—")</f>
        <v>Sydney Smiletree Pty Ltd (3.01)</v>
      </c>
      <c r="D8" s="90">
        <f>'Input Data'!F3</f>
        <v>107.7</v>
      </c>
      <c r="E8" s="139">
        <f>IFERROR('Input Data'!G3,"")</f>
        <v>44013</v>
      </c>
      <c r="F8" s="139">
        <f>IFERROR('Input Data'!H3,"")</f>
        <v>47118</v>
      </c>
      <c r="G8" s="140">
        <f>'Input Data'!I3</f>
        <v>8.5</v>
      </c>
      <c r="H8" s="141">
        <f ca="1">'Input Data'!V3</f>
        <v>2.5051334702258727</v>
      </c>
      <c r="I8" s="91">
        <f>'Input Data'!J3</f>
        <v>1342.25</v>
      </c>
      <c r="J8" s="91">
        <f>'Input Data'!Q3</f>
        <v>163519.465</v>
      </c>
      <c r="K8" s="88">
        <f>IFERROR(YEAR('Input Data'!H3),"VACANT")</f>
        <v>2028</v>
      </c>
      <c r="L8" s="88">
        <f>'Input Data'!R3</f>
        <v>1</v>
      </c>
      <c r="M8" s="89" t="str">
        <f>'Input Data'!S3</f>
        <v>FIXED 4%</v>
      </c>
      <c r="N8" s="91">
        <f>'Input Data'!Y3</f>
        <v>392.25</v>
      </c>
    </row>
    <row r="9" spans="1:14" ht="18" customHeight="1" x14ac:dyDescent="0.35">
      <c r="A9" s="6"/>
      <c r="B9" s="208" t="s">
        <v>398</v>
      </c>
      <c r="C9" s="208"/>
      <c r="D9" s="208"/>
      <c r="E9" s="208"/>
      <c r="F9" s="208"/>
      <c r="G9" s="208"/>
      <c r="H9" s="208"/>
      <c r="I9" s="208"/>
      <c r="J9" s="208"/>
      <c r="K9" s="208"/>
      <c r="L9" s="208"/>
      <c r="M9" s="208"/>
      <c r="N9" s="208"/>
    </row>
    <row r="10" spans="1:14" ht="15.75" customHeight="1" x14ac:dyDescent="0.35">
      <c r="A10" s="6"/>
      <c r="B10" s="13" t="str">
        <f>'Input Data'!B8</f>
        <v>L05</v>
      </c>
      <c r="C10" s="21" t="str">
        <f>IFERROR('Input Data'!D8&amp;" ("&amp;'Input Data'!C8&amp;")","—")</f>
        <v>Auctionsplus Pty Ltd (5.04)</v>
      </c>
      <c r="D10" s="22">
        <f>'Input Data'!F8</f>
        <v>413.5</v>
      </c>
      <c r="E10" s="23">
        <f>IFERROR('Input Data'!G8,"")</f>
        <v>45352</v>
      </c>
      <c r="F10" s="23">
        <f>IFERROR('Input Data'!H8,"")</f>
        <v>47177</v>
      </c>
      <c r="G10" s="24">
        <f>'Input Data'!I8</f>
        <v>5</v>
      </c>
      <c r="H10" s="26">
        <f ca="1">'Input Data'!V8</f>
        <v>2.6666666666666665</v>
      </c>
      <c r="I10" s="25">
        <f>'Input Data'!J8</f>
        <v>1005.89</v>
      </c>
      <c r="J10" s="25">
        <f>'Input Data'!Q8</f>
        <v>358546.30499999999</v>
      </c>
      <c r="K10" s="13">
        <f>IFERROR(YEAR('Input Data'!H8),"VACANT")</f>
        <v>2029</v>
      </c>
      <c r="L10" s="13">
        <f>'Input Data'!R8</f>
        <v>1</v>
      </c>
      <c r="M10" s="14" t="str">
        <f>'Input Data'!S8</f>
        <v>FIXED 4%</v>
      </c>
      <c r="N10" s="25">
        <f>'Input Data'!Y8</f>
        <v>15.889999999999986</v>
      </c>
    </row>
    <row r="11" spans="1:14" ht="15.75" customHeight="1" x14ac:dyDescent="0.35">
      <c r="A11" s="6"/>
      <c r="B11" s="13" t="str">
        <f>'Input Data'!B7</f>
        <v>L05</v>
      </c>
      <c r="C11" s="21" t="str">
        <f>IFERROR('Input Data'!D7&amp;" ("&amp;'Input Data'!C7&amp;")","—")</f>
        <v>Asterx Pty Ltd (5.03)</v>
      </c>
      <c r="D11" s="22">
        <f>'Input Data'!F7</f>
        <v>229.8</v>
      </c>
      <c r="E11" s="23">
        <f>IFERROR('Input Data'!G7,"")</f>
        <v>45444</v>
      </c>
      <c r="F11" s="23">
        <f>IFERROR('Input Data'!H7,"")</f>
        <v>47269</v>
      </c>
      <c r="G11" s="24">
        <f>'Input Data'!I7</f>
        <v>5</v>
      </c>
      <c r="H11" s="26">
        <f ca="1">'Input Data'!V7</f>
        <v>2.9185489390828199</v>
      </c>
      <c r="I11" s="25">
        <f>'Input Data'!J7</f>
        <v>877.01</v>
      </c>
      <c r="J11" s="25">
        <f>'Input Data'!Q7</f>
        <v>223316.27800000002</v>
      </c>
      <c r="K11" s="13">
        <f>IFERROR(YEAR('Input Data'!H7),"VACANT")</f>
        <v>2029</v>
      </c>
      <c r="L11" s="13">
        <f>'Input Data'!R7</f>
        <v>1</v>
      </c>
      <c r="M11" s="14" t="str">
        <f>'Input Data'!S7</f>
        <v>FIXED 3.5%</v>
      </c>
      <c r="N11" s="25">
        <f>'Input Data'!Y7</f>
        <v>-72.990000000000009</v>
      </c>
    </row>
    <row r="12" spans="1:14" ht="15.75" customHeight="1" x14ac:dyDescent="0.35">
      <c r="A12" s="6"/>
      <c r="B12" s="13" t="str">
        <f>'Input Data'!B9</f>
        <v>L06</v>
      </c>
      <c r="C12" s="21" t="str">
        <f>IFERROR('Input Data'!D9&amp;" ("&amp;'Input Data'!C9&amp;")","—")</f>
        <v>Sungrow Australia Group (6.02)</v>
      </c>
      <c r="D12" s="22">
        <f>'Input Data'!F9</f>
        <v>451.7</v>
      </c>
      <c r="E12" s="23">
        <f>IFERROR('Input Data'!G9,"")</f>
        <v>45762</v>
      </c>
      <c r="F12" s="23">
        <f>IFERROR('Input Data'!H9,"")</f>
        <v>47375</v>
      </c>
      <c r="G12" s="24">
        <f>'Input Data'!I9</f>
        <v>4.4000000000000004</v>
      </c>
      <c r="H12" s="26">
        <f ca="1">'Input Data'!V9</f>
        <v>3.2087611225188226</v>
      </c>
      <c r="I12" s="25">
        <f>'Input Data'!J9</f>
        <v>954.5</v>
      </c>
      <c r="J12" s="25">
        <f>'Input Data'!Q9</f>
        <v>276808.98</v>
      </c>
      <c r="K12" s="13">
        <f>IFERROR(YEAR('Input Data'!H9),"VACANT")</f>
        <v>2029</v>
      </c>
      <c r="L12" s="13">
        <f>'Input Data'!R9</f>
        <v>1</v>
      </c>
      <c r="M12" s="14" t="str">
        <f>'Input Data'!S9</f>
        <v>FIXED 3.75%</v>
      </c>
      <c r="N12" s="25">
        <f>'Input Data'!Y9</f>
        <v>-0.5</v>
      </c>
    </row>
    <row r="13" spans="1:14" ht="15.75" customHeight="1" x14ac:dyDescent="0.35">
      <c r="A13" s="6"/>
      <c r="B13" s="13" t="str">
        <f>'Input Data'!B12</f>
        <v>L07</v>
      </c>
      <c r="C13" s="21" t="str">
        <f>IFERROR('Input Data'!D12&amp;" ("&amp;'Input Data'!C12&amp;")","—")</f>
        <v>Sungrow Australia Group (7.01)</v>
      </c>
      <c r="D13" s="22">
        <f>'Input Data'!F12</f>
        <v>484.1</v>
      </c>
      <c r="E13" s="23">
        <f>IFERROR('Input Data'!G12,"")</f>
        <v>45184</v>
      </c>
      <c r="F13" s="23">
        <f>IFERROR('Input Data'!H12,"")</f>
        <v>47375</v>
      </c>
      <c r="G13" s="24">
        <f>'Input Data'!I12</f>
        <v>6</v>
      </c>
      <c r="H13" s="26">
        <f ca="1">'Input Data'!V12</f>
        <v>3.2087611225188226</v>
      </c>
      <c r="I13" s="25">
        <f>'Input Data'!J12</f>
        <v>1049.77</v>
      </c>
      <c r="J13" s="25">
        <f>'Input Data'!Q12</f>
        <v>399443.10699999996</v>
      </c>
      <c r="K13" s="13">
        <f>IFERROR(YEAR('Input Data'!H12),"VACANT")</f>
        <v>2029</v>
      </c>
      <c r="L13" s="13">
        <f>'Input Data'!R12</f>
        <v>2</v>
      </c>
      <c r="M13" s="14" t="str">
        <f>'Input Data'!S12</f>
        <v>FIXED 3.75%</v>
      </c>
      <c r="N13" s="25">
        <f>'Input Data'!Y12</f>
        <v>29.769999999999982</v>
      </c>
    </row>
    <row r="14" spans="1:14" ht="15.75" customHeight="1" x14ac:dyDescent="0.35">
      <c r="A14" s="6"/>
      <c r="B14" s="13" t="str">
        <f>'Input Data'!B13</f>
        <v>L07</v>
      </c>
      <c r="C14" s="21" t="str">
        <f>IFERROR('Input Data'!D13&amp;" ("&amp;'Input Data'!C13&amp;")","—")</f>
        <v>Sungrow Australia Group (7.02)</v>
      </c>
      <c r="D14" s="22">
        <f>'Input Data'!F13</f>
        <v>365.5</v>
      </c>
      <c r="E14" s="23">
        <f>IFERROR('Input Data'!G13,"")</f>
        <v>45184</v>
      </c>
      <c r="F14" s="23">
        <f>IFERROR('Input Data'!H13,"")</f>
        <v>47375</v>
      </c>
      <c r="G14" s="24">
        <f>'Input Data'!I13</f>
        <v>6</v>
      </c>
      <c r="H14" s="26">
        <f ca="1">'Input Data'!V13</f>
        <v>3.2087611225188226</v>
      </c>
      <c r="I14" s="25">
        <f>'Input Data'!J13</f>
        <v>0</v>
      </c>
      <c r="J14" s="25">
        <f>'Input Data'!Q13</f>
        <v>0</v>
      </c>
      <c r="K14" s="13">
        <f>IFERROR(YEAR('Input Data'!H13),"VACANT")</f>
        <v>2029</v>
      </c>
      <c r="L14" s="13">
        <f>'Input Data'!R13</f>
        <v>0</v>
      </c>
      <c r="M14" s="14" t="str">
        <f>'Input Data'!S13</f>
        <v>FIXED 3.75%</v>
      </c>
      <c r="N14" s="25">
        <f>'Input Data'!Y13</f>
        <v>0</v>
      </c>
    </row>
    <row r="15" spans="1:14" ht="15.75" customHeight="1" x14ac:dyDescent="0.35">
      <c r="A15" s="6"/>
      <c r="B15" s="13" t="str">
        <f>'Input Data'!B17</f>
        <v>L12</v>
      </c>
      <c r="C15" s="21" t="str">
        <f>IFERROR('Input Data'!D17&amp;" ("&amp;'Input Data'!C17&amp;")","—")</f>
        <v>Hulsbosch Design Pty Ltd (12.01)</v>
      </c>
      <c r="D15" s="22">
        <f>'Input Data'!F17</f>
        <v>344.5</v>
      </c>
      <c r="E15" s="23">
        <f>IFERROR('Input Data'!G17,"")</f>
        <v>45992</v>
      </c>
      <c r="F15" s="23">
        <f>IFERROR('Input Data'!H17,"")</f>
        <v>47483</v>
      </c>
      <c r="G15" s="24">
        <f>'Input Data'!I17</f>
        <v>4.0999999999999996</v>
      </c>
      <c r="H15" s="26">
        <f ca="1">'Input Data'!V17</f>
        <v>3.5044490075290895</v>
      </c>
      <c r="I15" s="25">
        <f>'Input Data'!J17</f>
        <v>990.29</v>
      </c>
      <c r="J15" s="25">
        <f>'Input Data'!Q17</f>
        <v>222616.13499999998</v>
      </c>
      <c r="K15" s="13">
        <f>IFERROR(YEAR('Input Data'!H17),"VACANT")</f>
        <v>2029</v>
      </c>
      <c r="L15" s="13">
        <f>'Input Data'!R17</f>
        <v>2</v>
      </c>
      <c r="M15" s="14" t="str">
        <f>'Input Data'!S17</f>
        <v>FIXED 3.5%</v>
      </c>
      <c r="N15" s="25">
        <f>'Input Data'!Y17</f>
        <v>-49.710000000000036</v>
      </c>
    </row>
    <row r="16" spans="1:14" ht="18" customHeight="1" x14ac:dyDescent="0.35">
      <c r="A16" s="6"/>
      <c r="B16" s="250" t="s">
        <v>399</v>
      </c>
      <c r="C16" s="250"/>
      <c r="D16" s="250"/>
      <c r="E16" s="250"/>
      <c r="F16" s="250"/>
      <c r="G16" s="250"/>
      <c r="H16" s="250"/>
      <c r="I16" s="250"/>
      <c r="J16" s="250"/>
      <c r="K16" s="250"/>
      <c r="L16" s="250"/>
      <c r="M16" s="250"/>
      <c r="N16" s="250"/>
    </row>
    <row r="17" spans="1:14" ht="15.75" customHeight="1" x14ac:dyDescent="0.35">
      <c r="A17" s="6"/>
      <c r="B17" s="13" t="str">
        <f>'Input Data'!B15</f>
        <v>L08</v>
      </c>
      <c r="C17" s="21" t="str">
        <f>IFERROR('Input Data'!D15&amp;" ("&amp;'Input Data'!C15&amp;")","—")</f>
        <v>Can Too Foundation Limited (8.03)</v>
      </c>
      <c r="D17" s="22">
        <f>'Input Data'!F15</f>
        <v>116.3</v>
      </c>
      <c r="E17" s="23">
        <f>IFERROR('Input Data'!G15,"")</f>
        <v>45809</v>
      </c>
      <c r="F17" s="23">
        <f>IFERROR('Input Data'!H15,"")</f>
        <v>47787</v>
      </c>
      <c r="G17" s="24">
        <f>'Input Data'!I15</f>
        <v>5.4</v>
      </c>
      <c r="H17" s="26">
        <f ca="1">'Input Data'!V15</f>
        <v>4.3367556468172488</v>
      </c>
      <c r="I17" s="25">
        <f>'Input Data'!J15</f>
        <v>990</v>
      </c>
      <c r="J17" s="25">
        <f>'Input Data'!Q15</f>
        <v>71210.489999999991</v>
      </c>
      <c r="K17" s="13">
        <f>IFERROR(YEAR('Input Data'!H15),"VACANT")</f>
        <v>2030</v>
      </c>
      <c r="L17" s="13">
        <f>'Input Data'!R15</f>
        <v>0</v>
      </c>
      <c r="M17" s="14" t="str">
        <f>'Input Data'!S15</f>
        <v>FIXED 3.75%</v>
      </c>
      <c r="N17" s="25">
        <f>'Input Data'!Y15</f>
        <v>0</v>
      </c>
    </row>
    <row r="18" spans="1:14" ht="15.75" customHeight="1" x14ac:dyDescent="0.35">
      <c r="A18" s="6"/>
      <c r="B18" s="13" t="str">
        <f>'Input Data'!B18</f>
        <v>L09</v>
      </c>
      <c r="C18" s="21" t="str">
        <f>IFERROR('Input Data'!D18&amp;" ("&amp;'Input Data'!C18&amp;")","—")</f>
        <v>Smile Partners Australia (9.02)</v>
      </c>
      <c r="D18" s="22">
        <f>'Input Data'!F18</f>
        <v>251</v>
      </c>
      <c r="E18" s="23">
        <f>IFERROR('Input Data'!G18,"")</f>
        <v>45962</v>
      </c>
      <c r="F18" s="23">
        <f>IFERROR('Input Data'!H18,"")</f>
        <v>47787</v>
      </c>
      <c r="G18" s="24">
        <f>'Input Data'!I18</f>
        <v>5</v>
      </c>
      <c r="H18" s="26">
        <f ca="1">'Input Data'!V18</f>
        <v>4.3367556468172488</v>
      </c>
      <c r="I18" s="25">
        <f>'Input Data'!J18</f>
        <v>985</v>
      </c>
      <c r="J18" s="25">
        <f>'Input Data'!Q18</f>
        <v>190062.22</v>
      </c>
      <c r="K18" s="13">
        <f>IFERROR(YEAR('Input Data'!H18),"VACANT")</f>
        <v>2030</v>
      </c>
      <c r="L18" s="13">
        <f>'Input Data'!R18</f>
        <v>0</v>
      </c>
      <c r="M18" s="14" t="str">
        <f>'Input Data'!S18</f>
        <v>FIXED 3.5%</v>
      </c>
      <c r="N18" s="25">
        <f>'Input Data'!Y18</f>
        <v>-5</v>
      </c>
    </row>
    <row r="19" spans="1:14" ht="15.75" customHeight="1" x14ac:dyDescent="0.35">
      <c r="A19" s="6"/>
      <c r="B19" s="13" t="str">
        <f>'Input Data'!B19</f>
        <v>L12</v>
      </c>
      <c r="C19" s="21" t="str">
        <f>IFERROR('Input Data'!D19&amp;" ("&amp;'Input Data'!C19&amp;")","—")</f>
        <v>Aei Insurance Group Pty Ltd (12.02)</v>
      </c>
      <c r="D19" s="22">
        <f>'Input Data'!F19</f>
        <v>536</v>
      </c>
      <c r="E19" s="23">
        <f>IFERROR('Input Data'!G19,"")</f>
        <v>45642</v>
      </c>
      <c r="F19" s="23">
        <f>IFERROR('Input Data'!H19,"")</f>
        <v>47832</v>
      </c>
      <c r="G19" s="24">
        <f>'Input Data'!I19</f>
        <v>6</v>
      </c>
      <c r="H19" s="26">
        <f ca="1">'Input Data'!V19</f>
        <v>4.4599589322381927</v>
      </c>
      <c r="I19" s="25">
        <f>'Input Data'!J19</f>
        <v>988</v>
      </c>
      <c r="J19" s="25">
        <f>'Input Data'!Q19</f>
        <v>675902.76</v>
      </c>
      <c r="K19" s="13">
        <f>IFERROR(YEAR('Input Data'!H19),"VACANT")</f>
        <v>2030</v>
      </c>
      <c r="L19" s="13">
        <f>'Input Data'!R19</f>
        <v>10</v>
      </c>
      <c r="M19" s="14" t="str">
        <f>'Input Data'!S19</f>
        <v>FIXED 4%</v>
      </c>
      <c r="N19" s="25">
        <f>'Input Data'!Y19</f>
        <v>-22</v>
      </c>
    </row>
    <row r="20" spans="1:14" ht="18" customHeight="1" x14ac:dyDescent="0.35">
      <c r="A20" s="6"/>
      <c r="B20" s="250" t="s">
        <v>400</v>
      </c>
      <c r="C20" s="250"/>
      <c r="D20" s="250"/>
      <c r="E20" s="250"/>
      <c r="F20" s="250"/>
      <c r="G20" s="250"/>
      <c r="H20" s="250"/>
      <c r="I20" s="250"/>
      <c r="J20" s="250"/>
      <c r="K20" s="250"/>
      <c r="L20" s="250"/>
      <c r="M20" s="250"/>
      <c r="N20" s="250"/>
    </row>
    <row r="21" spans="1:14" ht="15.75" customHeight="1" x14ac:dyDescent="0.35">
      <c r="A21" s="6"/>
      <c r="B21" s="13" t="str">
        <f>'Input Data'!B4</f>
        <v>L03</v>
      </c>
      <c r="C21" s="21" t="str">
        <f>IFERROR('Input Data'!D4&amp;" ("&amp;'Input Data'!C4&amp;")","—")</f>
        <v>Fitness First Australia Pty Limited (3.02)</v>
      </c>
      <c r="D21" s="22">
        <f>'Input Data'!F4</f>
        <v>795.5</v>
      </c>
      <c r="E21" s="23">
        <f>IFERROR('Input Data'!G4,"")</f>
        <v>44378</v>
      </c>
      <c r="F21" s="23">
        <f>IFERROR('Input Data'!H4,"")</f>
        <v>48029</v>
      </c>
      <c r="G21" s="24">
        <f>'Input Data'!I4</f>
        <v>10</v>
      </c>
      <c r="H21" s="26">
        <f ca="1">'Input Data'!V4</f>
        <v>4.9993155373032172</v>
      </c>
      <c r="I21" s="25">
        <f>'Input Data'!J4</f>
        <v>855.7</v>
      </c>
      <c r="J21" s="25">
        <f>'Input Data'!Q4</f>
        <v>680709.35000000009</v>
      </c>
      <c r="K21" s="13">
        <f>IFERROR(YEAR('Input Data'!H4),"VACANT")</f>
        <v>2031</v>
      </c>
      <c r="L21" s="13">
        <f>'Input Data'!R4</f>
        <v>0</v>
      </c>
      <c r="M21" s="14" t="str">
        <f>'Input Data'!S4</f>
        <v>FIXED 4%</v>
      </c>
      <c r="N21" s="25">
        <f>'Input Data'!Y4</f>
        <v>-14.299999999999955</v>
      </c>
    </row>
    <row r="22" spans="1:14" ht="15.75" customHeight="1" x14ac:dyDescent="0.35">
      <c r="A22" s="6"/>
      <c r="B22" s="13" t="str">
        <f>'Input Data'!B5</f>
        <v>L04</v>
      </c>
      <c r="C22" s="21" t="str">
        <f>IFERROR('Input Data'!D5&amp;" ("&amp;'Input Data'!C5&amp;")","—")</f>
        <v>Fitness First Australia Pty Limited (4.01)</v>
      </c>
      <c r="D22" s="22">
        <f>'Input Data'!F5</f>
        <v>1047</v>
      </c>
      <c r="E22" s="23">
        <f>IFERROR('Input Data'!G5,"")</f>
        <v>44378</v>
      </c>
      <c r="F22" s="23">
        <f>IFERROR('Input Data'!H5,"")</f>
        <v>48029</v>
      </c>
      <c r="G22" s="24">
        <f>'Input Data'!I5</f>
        <v>10</v>
      </c>
      <c r="H22" s="26">
        <f ca="1">'Input Data'!V5</f>
        <v>4.9993155373032172</v>
      </c>
      <c r="I22" s="25">
        <f>'Input Data'!J5</f>
        <v>855.7</v>
      </c>
      <c r="J22" s="25">
        <f>'Input Data'!Q5</f>
        <v>906078.3</v>
      </c>
      <c r="K22" s="13">
        <f>IFERROR(YEAR('Input Data'!H5),"VACANT")</f>
        <v>2031</v>
      </c>
      <c r="L22" s="13">
        <f>'Input Data'!R5</f>
        <v>1</v>
      </c>
      <c r="M22" s="14" t="str">
        <f>'Input Data'!S5</f>
        <v>FIXED 4%</v>
      </c>
      <c r="N22" s="25">
        <f>'Input Data'!Y5</f>
        <v>-14.299999999999955</v>
      </c>
    </row>
    <row r="23" spans="1:14" ht="15.75" customHeight="1" x14ac:dyDescent="0.35">
      <c r="A23" s="6"/>
      <c r="B23" s="13" t="str">
        <f>'Input Data'!B6</f>
        <v>L05</v>
      </c>
      <c r="C23" s="21" t="str">
        <f>IFERROR('Input Data'!D6&amp;" ("&amp;'Input Data'!C6&amp;")","—")</f>
        <v>Fitness First Australia Pty Limited (5.01)</v>
      </c>
      <c r="D23" s="22">
        <f>'Input Data'!F6</f>
        <v>437.1</v>
      </c>
      <c r="E23" s="23">
        <f>IFERROR('Input Data'!G6,"")</f>
        <v>44378</v>
      </c>
      <c r="F23" s="23">
        <f>IFERROR('Input Data'!H6,"")</f>
        <v>48029</v>
      </c>
      <c r="G23" s="24">
        <f>'Input Data'!I6</f>
        <v>10</v>
      </c>
      <c r="H23" s="26">
        <f ca="1">'Input Data'!V6</f>
        <v>4.9993155373032172</v>
      </c>
      <c r="I23" s="25">
        <f>'Input Data'!J6</f>
        <v>855.7</v>
      </c>
      <c r="J23" s="25">
        <f>'Input Data'!Q6</f>
        <v>377056.47000000003</v>
      </c>
      <c r="K23" s="13">
        <f>IFERROR(YEAR('Input Data'!H6),"VACANT")</f>
        <v>2031</v>
      </c>
      <c r="L23" s="13">
        <f>'Input Data'!R6</f>
        <v>0</v>
      </c>
      <c r="M23" s="14" t="str">
        <f>'Input Data'!S6</f>
        <v>FIXED 4%</v>
      </c>
      <c r="N23" s="25">
        <f>'Input Data'!Y6</f>
        <v>-14.299999999999955</v>
      </c>
    </row>
    <row r="24" spans="1:14" ht="15.75" customHeight="1" x14ac:dyDescent="0.35">
      <c r="A24" s="6"/>
      <c r="B24" s="13" t="str">
        <f>'Input Data'!B11</f>
        <v>L06</v>
      </c>
      <c r="C24" s="21" t="str">
        <f>IFERROR('Input Data'!D11&amp;" ("&amp;'Input Data'!C11&amp;")","—")</f>
        <v>Elekta Pty Limited (6.04)</v>
      </c>
      <c r="D24" s="22">
        <f>'Input Data'!F11</f>
        <v>267.89999999999998</v>
      </c>
      <c r="E24" s="23">
        <f>IFERROR('Input Data'!G11,"")</f>
        <v>45870</v>
      </c>
      <c r="F24" s="23">
        <f>IFERROR('Input Data'!H11,"")</f>
        <v>48426</v>
      </c>
      <c r="G24" s="24">
        <f>'Input Data'!I11</f>
        <v>7</v>
      </c>
      <c r="H24" s="26">
        <f ca="1">'Input Data'!V11</f>
        <v>6.0862422997946615</v>
      </c>
      <c r="I24" s="25">
        <f>'Input Data'!J11</f>
        <v>920</v>
      </c>
      <c r="J24" s="25">
        <f>'Input Data'!Q11</f>
        <v>165500.57999999999</v>
      </c>
      <c r="K24" s="13">
        <f>IFERROR(YEAR('Input Data'!H11),"VACANT")</f>
        <v>2032</v>
      </c>
      <c r="L24" s="13">
        <f>'Input Data'!R11</f>
        <v>1</v>
      </c>
      <c r="M24" s="14" t="str">
        <f>'Input Data'!S11</f>
        <v>FIXED (3.75%)</v>
      </c>
      <c r="N24" s="25">
        <f>'Input Data'!Y11</f>
        <v>-35</v>
      </c>
    </row>
    <row r="25" spans="1:14" ht="18" customHeight="1" x14ac:dyDescent="0.35">
      <c r="A25" s="6"/>
      <c r="B25" s="142" t="str">
        <f>'Input Data'!B24</f>
        <v>L11</v>
      </c>
      <c r="C25" s="142" t="str">
        <f>IFERROR('Input Data'!D24&amp;" ("&amp;'Input Data'!C24&amp;")","—")</f>
        <v>Haskoning Australia Pty Ltd (11.02)</v>
      </c>
      <c r="D25" s="142">
        <f>'Input Data'!F24</f>
        <v>536</v>
      </c>
      <c r="E25" s="143">
        <f>IFERROR('Input Data'!G24,"")</f>
        <v>46203</v>
      </c>
      <c r="F25" s="143">
        <f>IFERROR('Input Data'!H24,"")</f>
        <v>49582</v>
      </c>
      <c r="G25" s="142">
        <f>'Input Data'!I24</f>
        <v>6</v>
      </c>
      <c r="H25" s="142">
        <f ca="1">'Input Data'!V24</f>
        <v>9.2511978097193701</v>
      </c>
      <c r="I25" s="142">
        <f>'Input Data'!J24</f>
        <v>1040</v>
      </c>
      <c r="J25" s="142">
        <f>'Input Data'!Q24</f>
        <v>-113632</v>
      </c>
      <c r="K25" s="142">
        <f>IFERROR(YEAR('Input Data'!H24),"VACANT")</f>
        <v>2035</v>
      </c>
      <c r="L25" s="142">
        <f>'Input Data'!R24</f>
        <v>0</v>
      </c>
      <c r="M25" s="142" t="str">
        <f>'Input Data'!S24</f>
        <v>FIXED 3.5%</v>
      </c>
      <c r="N25" s="142">
        <f>'Input Data'!Y24</f>
        <v>0</v>
      </c>
    </row>
    <row r="26" spans="1:14" ht="15.75" customHeight="1" x14ac:dyDescent="0.35">
      <c r="A26" s="6"/>
      <c r="B26" s="144" t="s">
        <v>401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5.75" customHeight="1" x14ac:dyDescent="0.35">
      <c r="A27" s="6"/>
      <c r="B27" s="49" t="str">
        <f>'Input Data'!B20</f>
        <v>L06</v>
      </c>
      <c r="C27" s="50" t="str">
        <f>"VACANT — Suite "&amp;'Input Data'!C20</f>
        <v>VACANT — Suite 6.01</v>
      </c>
      <c r="D27" s="51">
        <f>'Input Data'!F20</f>
        <v>186.4</v>
      </c>
      <c r="E27" s="69"/>
      <c r="F27" s="69"/>
      <c r="G27" s="69"/>
      <c r="H27" s="69"/>
      <c r="I27" s="69"/>
      <c r="J27" s="69"/>
      <c r="K27" s="49" t="s">
        <v>212</v>
      </c>
      <c r="L27" s="69"/>
      <c r="M27" s="69"/>
      <c r="N27" s="52">
        <f>'Input Data'!X20</f>
        <v>0</v>
      </c>
    </row>
    <row r="28" spans="1:14" ht="15.75" customHeight="1" x14ac:dyDescent="0.35">
      <c r="A28" s="6"/>
      <c r="B28" s="49" t="str">
        <f>'Input Data'!B21</f>
        <v>L10</v>
      </c>
      <c r="C28" s="50" t="str">
        <f>"VACANT — Suite "&amp;'Input Data'!C21</f>
        <v>VACANT — Suite 10.01</v>
      </c>
      <c r="D28" s="51">
        <f>'Input Data'!F21</f>
        <v>438</v>
      </c>
      <c r="E28" s="69"/>
      <c r="F28" s="69"/>
      <c r="G28" s="69"/>
      <c r="H28" s="69"/>
      <c r="I28" s="69"/>
      <c r="J28" s="69"/>
      <c r="K28" s="49" t="s">
        <v>212</v>
      </c>
      <c r="L28" s="69"/>
      <c r="M28" s="69"/>
      <c r="N28" s="52">
        <f>'Input Data'!X21</f>
        <v>0</v>
      </c>
    </row>
    <row r="29" spans="1:14" ht="15.75" customHeight="1" x14ac:dyDescent="0.35">
      <c r="A29" s="6"/>
      <c r="B29" s="49" t="str">
        <f>'Input Data'!B22</f>
        <v>L10</v>
      </c>
      <c r="C29" s="50" t="str">
        <f>"VACANT — Suite "&amp;'Input Data'!C22</f>
        <v>VACANT — Suite 10.02</v>
      </c>
      <c r="D29" s="51">
        <f>'Input Data'!F22</f>
        <v>349</v>
      </c>
      <c r="E29" s="69"/>
      <c r="F29" s="69"/>
      <c r="G29" s="69"/>
      <c r="H29" s="69"/>
      <c r="I29" s="69"/>
      <c r="J29" s="69"/>
      <c r="K29" s="49" t="s">
        <v>212</v>
      </c>
      <c r="L29" s="69"/>
      <c r="M29" s="69"/>
      <c r="N29" s="52">
        <f>'Input Data'!X22</f>
        <v>0</v>
      </c>
    </row>
    <row r="30" spans="1:14" x14ac:dyDescent="0.35">
      <c r="A30" s="6"/>
      <c r="B30" s="49" t="str">
        <f>'Input Data'!B23</f>
        <v>L11</v>
      </c>
      <c r="C30" s="50" t="str">
        <f>"VACANT — Suite "&amp;'Input Data'!C23</f>
        <v>VACANT — Suite 11.01</v>
      </c>
      <c r="D30" s="51">
        <f>'Input Data'!F23</f>
        <v>236</v>
      </c>
      <c r="E30" s="69"/>
      <c r="F30" s="69"/>
      <c r="G30" s="69"/>
      <c r="H30" s="69"/>
      <c r="I30" s="69"/>
      <c r="J30" s="69"/>
      <c r="K30" s="49" t="s">
        <v>212</v>
      </c>
      <c r="L30" s="69"/>
      <c r="M30" s="69"/>
      <c r="N30" s="52">
        <f>'Input Data'!X23</f>
        <v>0</v>
      </c>
    </row>
    <row r="31" spans="1:14" ht="19.5" customHeight="1" x14ac:dyDescent="0.35">
      <c r="A31" s="6"/>
      <c r="B31" s="268"/>
      <c r="C31" s="268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35">
      <c r="A32" s="6"/>
      <c r="B32" s="61" t="s">
        <v>402</v>
      </c>
      <c r="C32" s="6"/>
      <c r="D32" s="102">
        <f>SUM('Input Data'!F3:F24)</f>
        <v>8922.4000000000015</v>
      </c>
      <c r="E32" s="68"/>
      <c r="F32" s="68"/>
      <c r="G32" s="68"/>
      <c r="H32" s="68"/>
      <c r="I32" s="145">
        <f>SUMPRODUCT(('Input Data'!H3:H24&lt;&gt;"")*'Input Data'!J3:J24*'Input Data'!F3:F24)/SUMPRODUCT(('Input Data'!H3:H24&lt;&gt;"")*'Input Data'!F3:F24)</f>
        <v>911.34060802086242</v>
      </c>
      <c r="J32" s="63">
        <f>SUM('Input Data'!Q3:Q24)</f>
        <v>5377867.9789999994</v>
      </c>
      <c r="K32" s="68"/>
      <c r="L32" s="68"/>
      <c r="M32" s="68"/>
      <c r="N32" s="68"/>
    </row>
  </sheetData>
  <mergeCells count="7">
    <mergeCell ref="B20:N20"/>
    <mergeCell ref="B31:C31"/>
    <mergeCell ref="A1:N1"/>
    <mergeCell ref="B3:N3"/>
    <mergeCell ref="B6:N6"/>
    <mergeCell ref="B9:N9"/>
    <mergeCell ref="B16:N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66" t="s">
        <v>403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</row>
    <row r="2" spans="1:24" ht="31.5" customHeight="1" x14ac:dyDescent="0.35">
      <c r="A2" s="2" t="s">
        <v>59</v>
      </c>
      <c r="B2" s="2" t="s">
        <v>60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66</v>
      </c>
      <c r="I2" s="2" t="s">
        <v>394</v>
      </c>
      <c r="J2" s="2" t="s">
        <v>67</v>
      </c>
      <c r="K2" s="2" t="s">
        <v>404</v>
      </c>
      <c r="L2" s="2" t="s">
        <v>312</v>
      </c>
      <c r="M2" s="2" t="s">
        <v>69</v>
      </c>
      <c r="N2" s="2" t="s">
        <v>70</v>
      </c>
      <c r="O2" s="2" t="s">
        <v>71</v>
      </c>
      <c r="P2" s="2" t="s">
        <v>405</v>
      </c>
      <c r="Q2" s="2" t="s">
        <v>395</v>
      </c>
      <c r="R2" s="2" t="s">
        <v>76</v>
      </c>
      <c r="S2" s="2" t="s">
        <v>77</v>
      </c>
      <c r="T2" s="2" t="s">
        <v>78</v>
      </c>
      <c r="U2" s="2" t="s">
        <v>272</v>
      </c>
      <c r="V2" s="2" t="s">
        <v>273</v>
      </c>
      <c r="W2" s="2" t="s">
        <v>406</v>
      </c>
      <c r="X2" s="2" t="s">
        <v>85</v>
      </c>
    </row>
    <row r="3" spans="1:24" ht="18" customHeight="1" x14ac:dyDescent="0.35">
      <c r="A3" s="208" t="s">
        <v>396</v>
      </c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</row>
    <row r="4" spans="1:24" ht="15.75" customHeight="1" x14ac:dyDescent="0.35">
      <c r="A4" s="41" t="str">
        <f>'Input Data'!B10</f>
        <v>L06</v>
      </c>
      <c r="B4" s="41" t="str">
        <f>'Input Data'!C10</f>
        <v>6.03</v>
      </c>
      <c r="C4" s="42" t="str">
        <f>'Input Data'!D10</f>
        <v>Keeping Company Pty Ltd</v>
      </c>
      <c r="D4" s="42" t="str">
        <f>'Input Data'!E10</f>
        <v>Keeping Company Pty Ltd</v>
      </c>
      <c r="E4" s="43">
        <f>'Input Data'!F10</f>
        <v>189.4</v>
      </c>
      <c r="F4" s="11">
        <f>'Input Data'!G10</f>
        <v>44713</v>
      </c>
      <c r="G4" s="11">
        <f>'Input Data'!H10</f>
        <v>46538</v>
      </c>
      <c r="H4" s="44">
        <f>'Input Data'!I10</f>
        <v>5</v>
      </c>
      <c r="I4" s="47">
        <f ca="1">'Input Data'!V10</f>
        <v>0.91718001368925395</v>
      </c>
      <c r="J4" s="45">
        <f>'Input Data'!J10</f>
        <v>1020.02</v>
      </c>
      <c r="K4" s="45">
        <f>'Input Data'!X10</f>
        <v>990</v>
      </c>
      <c r="L4" s="45">
        <f>'Input Data'!Q10</f>
        <v>206138.92800000001</v>
      </c>
      <c r="M4" s="45">
        <f>'Input Data'!L10</f>
        <v>-23525.37</v>
      </c>
      <c r="N4" s="45">
        <f>'Input Data'!M10</f>
        <v>16708.87</v>
      </c>
      <c r="O4" s="45">
        <f>'Input Data'!N10</f>
        <v>0</v>
      </c>
      <c r="P4" s="45">
        <f>'Input Data'!O10+'Input Data'!P10</f>
        <v>19763.64</v>
      </c>
      <c r="Q4" s="41">
        <f>'Input Data'!R10</f>
        <v>2</v>
      </c>
      <c r="R4" s="46" t="str">
        <f>'Input Data'!S10</f>
        <v>FIXED 3.5%</v>
      </c>
      <c r="S4" s="11">
        <f>IFERROR('Input Data'!T10,"")</f>
        <v>46174</v>
      </c>
      <c r="T4" s="46" t="str">
        <f>'Input Data'!U10</f>
        <v>Semi-Gross</v>
      </c>
      <c r="U4" s="45">
        <f>'Input Data'!Y10</f>
        <v>30.019999999999982</v>
      </c>
      <c r="V4" s="48">
        <f>'Input Data'!Z10</f>
        <v>3.0323232323232304E-2</v>
      </c>
      <c r="W4" s="43">
        <f ca="1">'Input Data'!W10</f>
        <v>173.71389459274471</v>
      </c>
      <c r="X4" s="46" t="str">
        <f>'Input Data'!AB10</f>
        <v>2 car spaces. BG: $110,739. Incentive: fitout $177,810 + abatement. Base year FY2021.</v>
      </c>
    </row>
    <row r="5" spans="1:24" ht="15.75" customHeight="1" x14ac:dyDescent="0.35">
      <c r="A5" s="41" t="str">
        <f>'Input Data'!B16</f>
        <v>L09</v>
      </c>
      <c r="B5" s="41" t="str">
        <f>'Input Data'!C16</f>
        <v>9.01</v>
      </c>
      <c r="C5" s="42" t="str">
        <f>'Input Data'!D16</f>
        <v>Pitt &amp; Sherry (Operations) Pty Ltd</v>
      </c>
      <c r="D5" s="42" t="str">
        <f>'Input Data'!E16</f>
        <v>Pitt &amp; Sherry (Operations) Pty Ltd</v>
      </c>
      <c r="E5" s="43">
        <f>'Input Data'!F16</f>
        <v>453.3</v>
      </c>
      <c r="F5" s="11">
        <f>'Input Data'!G16</f>
        <v>44746</v>
      </c>
      <c r="G5" s="11">
        <f>'Input Data'!H16</f>
        <v>46571</v>
      </c>
      <c r="H5" s="44">
        <f>'Input Data'!I16</f>
        <v>5</v>
      </c>
      <c r="I5" s="47">
        <f ca="1">'Input Data'!V16</f>
        <v>1.0075290896646132</v>
      </c>
      <c r="J5" s="45">
        <f>'Input Data'!J16</f>
        <v>1027.43</v>
      </c>
      <c r="K5" s="45">
        <f>'Input Data'!X16</f>
        <v>1040</v>
      </c>
      <c r="L5" s="45">
        <f>'Input Data'!Q16</f>
        <v>379154.78899999999</v>
      </c>
      <c r="M5" s="45">
        <f>'Input Data'!L16</f>
        <v>-145962.6</v>
      </c>
      <c r="N5" s="45">
        <f>'Input Data'!M16</f>
        <v>39971.99</v>
      </c>
      <c r="O5" s="45">
        <f>'Input Data'!N16</f>
        <v>6799.5</v>
      </c>
      <c r="P5" s="45">
        <f>'Input Data'!O16+'Input Data'!P16</f>
        <v>12611.88</v>
      </c>
      <c r="Q5" s="41">
        <f>'Input Data'!R16</f>
        <v>1</v>
      </c>
      <c r="R5" s="46" t="str">
        <f>'Input Data'!S16</f>
        <v>FIXED 3.75%</v>
      </c>
      <c r="S5" s="11">
        <f>IFERROR('Input Data'!T16,"")</f>
        <v>46207</v>
      </c>
      <c r="T5" s="46" t="str">
        <f>'Input Data'!U16</f>
        <v>Semi-Gross</v>
      </c>
      <c r="U5" s="45">
        <f>'Input Data'!Y16</f>
        <v>-12.569999999999936</v>
      </c>
      <c r="V5" s="48">
        <f>'Input Data'!Z16</f>
        <v>-1.20865384615384E-2</v>
      </c>
      <c r="W5" s="43">
        <f ca="1">'Input Data'!W16</f>
        <v>456.71293634496919</v>
      </c>
      <c r="X5" s="46" t="str">
        <f>'Input Data'!AB16</f>
        <v>Option: 5 yrs (04/07/27-03/07/32). BG: $281,758. Base year FY2021 5%.</v>
      </c>
    </row>
    <row r="6" spans="1:24" ht="18" customHeight="1" x14ac:dyDescent="0.35">
      <c r="A6" s="250" t="s">
        <v>397</v>
      </c>
      <c r="B6" s="250"/>
      <c r="C6" s="250"/>
      <c r="D6" s="250"/>
      <c r="E6" s="250"/>
      <c r="F6" s="250"/>
      <c r="G6" s="250"/>
      <c r="H6" s="250"/>
      <c r="I6" s="250"/>
      <c r="J6" s="250"/>
      <c r="K6" s="250"/>
      <c r="L6" s="250"/>
      <c r="M6" s="250"/>
      <c r="N6" s="250"/>
      <c r="O6" s="250"/>
      <c r="P6" s="250"/>
      <c r="Q6" s="250"/>
      <c r="R6" s="250"/>
      <c r="S6" s="250"/>
      <c r="T6" s="250"/>
      <c r="U6" s="250"/>
      <c r="V6" s="250"/>
      <c r="W6" s="250"/>
      <c r="X6" s="250"/>
    </row>
    <row r="7" spans="1:24" ht="15.75" customHeight="1" x14ac:dyDescent="0.35">
      <c r="A7" s="88" t="str">
        <f>'Input Data'!B14</f>
        <v>L08</v>
      </c>
      <c r="B7" s="88" t="str">
        <f>'Input Data'!C14</f>
        <v>8.01</v>
      </c>
      <c r="C7" s="138" t="str">
        <f>'Input Data'!D14</f>
        <v>Vanderlande Industries Australia Pty Ltd</v>
      </c>
      <c r="D7" s="138" t="str">
        <f>'Input Data'!E14</f>
        <v>Vanderlande Industries Australia Pty Ltd</v>
      </c>
      <c r="E7" s="90">
        <f>'Input Data'!F14</f>
        <v>686.7</v>
      </c>
      <c r="F7" s="139">
        <f>'Input Data'!G14</f>
        <v>43282</v>
      </c>
      <c r="G7" s="139">
        <f>'Input Data'!H14</f>
        <v>46934</v>
      </c>
      <c r="H7" s="140">
        <f>'Input Data'!I14</f>
        <v>10</v>
      </c>
      <c r="I7" s="141">
        <f ca="1">'Input Data'!V14</f>
        <v>2.001368925393566</v>
      </c>
      <c r="J7" s="91">
        <f>'Input Data'!J14</f>
        <v>989.66</v>
      </c>
      <c r="K7" s="91">
        <f>'Input Data'!X14</f>
        <v>990</v>
      </c>
      <c r="L7" s="91">
        <f>'Input Data'!Q14</f>
        <v>536202.82200000004</v>
      </c>
      <c r="M7" s="91">
        <f>'Input Data'!L14</f>
        <v>-219915.68</v>
      </c>
      <c r="N7" s="91">
        <f>'Input Data'!M14</f>
        <v>66218.48</v>
      </c>
      <c r="O7" s="91">
        <f>'Input Data'!N14</f>
        <v>10300.5</v>
      </c>
      <c r="P7" s="91">
        <f>'Input Data'!O14+'Input Data'!P14</f>
        <v>0</v>
      </c>
      <c r="Q7" s="88">
        <f>'Input Data'!R14</f>
        <v>0</v>
      </c>
      <c r="R7" s="89" t="str">
        <f>'Input Data'!S14</f>
        <v>FIXED 4%</v>
      </c>
      <c r="S7" s="139">
        <f>IFERROR('Input Data'!T14,"")</f>
        <v>46204</v>
      </c>
      <c r="T7" s="89" t="str">
        <f>'Input Data'!U14</f>
        <v>Semi-Gross</v>
      </c>
      <c r="U7" s="91">
        <f>'Input Data'!Y14</f>
        <v>-0.34000000000003183</v>
      </c>
      <c r="V7" s="92">
        <f>'Input Data'!Z14</f>
        <v>-3.434343434343756E-4</v>
      </c>
      <c r="W7" s="90">
        <f ca="1">'Input Data'!W14</f>
        <v>1374.3400410677618</v>
      </c>
      <c r="X7" s="89" t="str">
        <f>'Input Data'!AB14</f>
        <v>Base year FY2015 7.57%. BG: $288,500. Make good: full open plan. Cleaning $15 psm.</v>
      </c>
    </row>
    <row r="8" spans="1:24" ht="15.75" customHeight="1" x14ac:dyDescent="0.35">
      <c r="A8" s="88" t="str">
        <f>'Input Data'!B3</f>
        <v>L03</v>
      </c>
      <c r="B8" s="88" t="str">
        <f>'Input Data'!C3</f>
        <v>3.01</v>
      </c>
      <c r="C8" s="138" t="str">
        <f>'Input Data'!D3</f>
        <v>Sydney Smiletree Pty Ltd</v>
      </c>
      <c r="D8" s="138" t="str">
        <f>'Input Data'!E3</f>
        <v>The Trustee for Sydney Smiletree Unit Trust</v>
      </c>
      <c r="E8" s="90">
        <f>'Input Data'!F3</f>
        <v>107.7</v>
      </c>
      <c r="F8" s="139">
        <f>'Input Data'!G3</f>
        <v>44013</v>
      </c>
      <c r="G8" s="139">
        <f>'Input Data'!H3</f>
        <v>47118</v>
      </c>
      <c r="H8" s="140">
        <f>'Input Data'!I3</f>
        <v>8.5</v>
      </c>
      <c r="I8" s="141">
        <f ca="1">'Input Data'!V3</f>
        <v>2.5051334702258727</v>
      </c>
      <c r="J8" s="91">
        <f>'Input Data'!J3</f>
        <v>1342.25</v>
      </c>
      <c r="K8" s="91">
        <f>'Input Data'!X3</f>
        <v>950</v>
      </c>
      <c r="L8" s="91">
        <f>'Input Data'!Q3</f>
        <v>163519.465</v>
      </c>
      <c r="M8" s="91">
        <f>'Input Data'!L3</f>
        <v>0</v>
      </c>
      <c r="N8" s="91">
        <f>'Input Data'!M3</f>
        <v>7243.9</v>
      </c>
      <c r="O8" s="91">
        <f>'Input Data'!N3</f>
        <v>0</v>
      </c>
      <c r="P8" s="91">
        <f>'Input Data'!O3+'Input Data'!P3</f>
        <v>11715.24</v>
      </c>
      <c r="Q8" s="88">
        <f>'Input Data'!R3</f>
        <v>1</v>
      </c>
      <c r="R8" s="89" t="str">
        <f>'Input Data'!S3</f>
        <v>FIXED 4%</v>
      </c>
      <c r="S8" s="139">
        <f>IFERROR('Input Data'!T3,"")</f>
        <v>46204</v>
      </c>
      <c r="T8" s="89" t="str">
        <f>'Input Data'!U3</f>
        <v>Net</v>
      </c>
      <c r="U8" s="91">
        <f>'Input Data'!Y3</f>
        <v>392.25</v>
      </c>
      <c r="V8" s="92">
        <f>'Input Data'!Z3</f>
        <v>0.41289473684210526</v>
      </c>
      <c r="W8" s="90">
        <f ca="1">'Input Data'!W3</f>
        <v>269.80287474332653</v>
      </c>
      <c r="X8" s="89" t="str">
        <f>'Input Data'!AB3</f>
        <v>Option: 5 yrs. BG: $86,814. Car Space 16.</v>
      </c>
    </row>
    <row r="9" spans="1:24" ht="18" customHeight="1" x14ac:dyDescent="0.35">
      <c r="A9" s="208" t="s">
        <v>398</v>
      </c>
      <c r="B9" s="208"/>
      <c r="C9" s="208"/>
      <c r="D9" s="208"/>
      <c r="E9" s="208"/>
      <c r="F9" s="208"/>
      <c r="G9" s="208"/>
      <c r="H9" s="208"/>
      <c r="I9" s="208"/>
      <c r="J9" s="208"/>
      <c r="K9" s="208"/>
      <c r="L9" s="208"/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</row>
    <row r="10" spans="1:24" ht="15.75" customHeight="1" x14ac:dyDescent="0.35">
      <c r="A10" s="13" t="str">
        <f>'Input Data'!B8</f>
        <v>L05</v>
      </c>
      <c r="B10" s="13" t="str">
        <f>'Input Data'!C8</f>
        <v>5.04</v>
      </c>
      <c r="C10" s="21" t="str">
        <f>'Input Data'!D8</f>
        <v>Auctionsplus Pty Ltd</v>
      </c>
      <c r="D10" s="21" t="str">
        <f>'Input Data'!E8</f>
        <v>Auctionsplus Pty Ltd</v>
      </c>
      <c r="E10" s="22">
        <f>'Input Data'!F8</f>
        <v>413.5</v>
      </c>
      <c r="F10" s="23">
        <f>'Input Data'!G8</f>
        <v>45352</v>
      </c>
      <c r="G10" s="23">
        <f>'Input Data'!H8</f>
        <v>47177</v>
      </c>
      <c r="H10" s="24">
        <f>'Input Data'!I8</f>
        <v>5</v>
      </c>
      <c r="I10" s="26">
        <f ca="1">'Input Data'!V8</f>
        <v>2.6666666666666665</v>
      </c>
      <c r="J10" s="25">
        <f>'Input Data'!J8</f>
        <v>1005.89</v>
      </c>
      <c r="K10" s="25">
        <f>'Input Data'!X8</f>
        <v>990</v>
      </c>
      <c r="L10" s="25">
        <f>'Input Data'!Q8</f>
        <v>358546.30499999999</v>
      </c>
      <c r="M10" s="25">
        <f>'Input Data'!L8</f>
        <v>-104594.82</v>
      </c>
      <c r="N10" s="25">
        <f>'Input Data'!M8</f>
        <v>32592.07</v>
      </c>
      <c r="O10" s="25">
        <f>'Input Data'!N8</f>
        <v>6202.5</v>
      </c>
      <c r="P10" s="25">
        <f>'Input Data'!O8+'Input Data'!P8</f>
        <v>8411.0400000000009</v>
      </c>
      <c r="Q10" s="13">
        <f>'Input Data'!R8</f>
        <v>1</v>
      </c>
      <c r="R10" s="14" t="str">
        <f>'Input Data'!S8</f>
        <v>FIXED 4%</v>
      </c>
      <c r="S10" s="23">
        <f>IFERROR('Input Data'!T8,"")</f>
        <v>46447</v>
      </c>
      <c r="T10" s="14" t="str">
        <f>'Input Data'!U8</f>
        <v>Semi-Gross</v>
      </c>
      <c r="U10" s="25">
        <f>'Input Data'!Y8</f>
        <v>15.889999999999986</v>
      </c>
      <c r="V10" s="27">
        <f>'Input Data'!Z8</f>
        <v>1.6050505050505037E-2</v>
      </c>
      <c r="W10" s="22">
        <f ca="1">'Input Data'!W8</f>
        <v>1102.6666666666665</v>
      </c>
      <c r="X10" s="14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13" t="str">
        <f>'Input Data'!B7</f>
        <v>L05</v>
      </c>
      <c r="B11" s="13" t="str">
        <f>'Input Data'!C7</f>
        <v>5.03</v>
      </c>
      <c r="C11" s="21" t="str">
        <f>'Input Data'!D7</f>
        <v>Asterx Pty Ltd</v>
      </c>
      <c r="D11" s="21" t="str">
        <f>'Input Data'!E7</f>
        <v>Asterx Pty Ltd (MediRecords)</v>
      </c>
      <c r="E11" s="22">
        <f>'Input Data'!F7</f>
        <v>229.8</v>
      </c>
      <c r="F11" s="23">
        <f>'Input Data'!G7</f>
        <v>45444</v>
      </c>
      <c r="G11" s="23">
        <f>'Input Data'!H7</f>
        <v>47269</v>
      </c>
      <c r="H11" s="24">
        <f>'Input Data'!I7</f>
        <v>5</v>
      </c>
      <c r="I11" s="26">
        <f ca="1">'Input Data'!V7</f>
        <v>2.9185489390828199</v>
      </c>
      <c r="J11" s="25">
        <f>'Input Data'!J7</f>
        <v>877.01</v>
      </c>
      <c r="K11" s="25">
        <f>'Input Data'!X7</f>
        <v>950</v>
      </c>
      <c r="L11" s="25">
        <f>'Input Data'!Q7</f>
        <v>223316.27800000002</v>
      </c>
      <c r="M11" s="25">
        <f>'Input Data'!L7</f>
        <v>0</v>
      </c>
      <c r="N11" s="25">
        <f>'Input Data'!M7</f>
        <v>15474.73</v>
      </c>
      <c r="O11" s="25">
        <f>'Input Data'!N7</f>
        <v>3274.65</v>
      </c>
      <c r="P11" s="25">
        <f>'Input Data'!O7+'Input Data'!P7</f>
        <v>3030</v>
      </c>
      <c r="Q11" s="13">
        <f>'Input Data'!R7</f>
        <v>1</v>
      </c>
      <c r="R11" s="14" t="str">
        <f>'Input Data'!S7</f>
        <v>FIXED 3.5%</v>
      </c>
      <c r="S11" s="23">
        <f>IFERROR('Input Data'!T7,"")</f>
        <v>45809</v>
      </c>
      <c r="T11" s="14" t="str">
        <f>'Input Data'!U7</f>
        <v>Semi-Gross</v>
      </c>
      <c r="U11" s="25">
        <f>'Input Data'!Y7</f>
        <v>-72.990000000000009</v>
      </c>
      <c r="V11" s="27">
        <f>'Input Data'!Z7</f>
        <v>-7.6831578947368431E-2</v>
      </c>
      <c r="W11" s="22">
        <f ca="1">'Input Data'!W7</f>
        <v>670.68254620123207</v>
      </c>
      <c r="X11" s="14" t="str">
        <f>'Input Data'!AB7</f>
        <v>Semi-gross base year FY24. BG: $135,234. 1 car space.</v>
      </c>
    </row>
    <row r="12" spans="1:24" ht="15.75" customHeight="1" x14ac:dyDescent="0.35">
      <c r="A12" s="13" t="str">
        <f>'Input Data'!B9</f>
        <v>L06</v>
      </c>
      <c r="B12" s="13" t="str">
        <f>'Input Data'!C9</f>
        <v>6.02</v>
      </c>
      <c r="C12" s="21" t="str">
        <f>'Input Data'!D9</f>
        <v>Sungrow Australia Group</v>
      </c>
      <c r="D12" s="21" t="str">
        <f>'Input Data'!E9</f>
        <v>Sungrow Australia Group Pty Ltd</v>
      </c>
      <c r="E12" s="22">
        <f>'Input Data'!F9</f>
        <v>451.7</v>
      </c>
      <c r="F12" s="23">
        <f>'Input Data'!G9</f>
        <v>45762</v>
      </c>
      <c r="G12" s="23">
        <f>'Input Data'!H9</f>
        <v>47375</v>
      </c>
      <c r="H12" s="24">
        <f>'Input Data'!I9</f>
        <v>4.4000000000000004</v>
      </c>
      <c r="I12" s="26">
        <f ca="1">'Input Data'!V9</f>
        <v>3.2087611225188226</v>
      </c>
      <c r="J12" s="25">
        <f>'Input Data'!J9</f>
        <v>954.5</v>
      </c>
      <c r="K12" s="25">
        <f>'Input Data'!X9</f>
        <v>955</v>
      </c>
      <c r="L12" s="25">
        <f>'Input Data'!Q9</f>
        <v>276808.98</v>
      </c>
      <c r="M12" s="25">
        <f>'Input Data'!L9</f>
        <v>-211720.82</v>
      </c>
      <c r="N12" s="25">
        <f>'Input Data'!M9</f>
        <v>39812.839999999997</v>
      </c>
      <c r="O12" s="25">
        <f>'Input Data'!N9</f>
        <v>7123.31</v>
      </c>
      <c r="P12" s="25">
        <f>'Input Data'!O9+'Input Data'!P9</f>
        <v>10446</v>
      </c>
      <c r="Q12" s="13">
        <f>'Input Data'!R9</f>
        <v>1</v>
      </c>
      <c r="R12" s="14" t="str">
        <f>'Input Data'!S9</f>
        <v>FIXED 3.75%</v>
      </c>
      <c r="S12" s="23">
        <f>IFERROR('Input Data'!T9,"")</f>
        <v>46492</v>
      </c>
      <c r="T12" s="14" t="str">
        <f>'Input Data'!U9</f>
        <v>Semi-Gross</v>
      </c>
      <c r="U12" s="25">
        <f>'Input Data'!Y9</f>
        <v>-0.5</v>
      </c>
      <c r="V12" s="27">
        <f>'Input Data'!Z9</f>
        <v>-5.2356020942408382E-4</v>
      </c>
      <c r="W12" s="22">
        <f ca="1">'Input Data'!W9</f>
        <v>1449.3973990417521</v>
      </c>
      <c r="X12" s="14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13" t="str">
        <f>'Input Data'!B12</f>
        <v>L07</v>
      </c>
      <c r="B13" s="13" t="str">
        <f>'Input Data'!C12</f>
        <v>7.01</v>
      </c>
      <c r="C13" s="21" t="str">
        <f>'Input Data'!D12</f>
        <v>Sungrow Australia Group</v>
      </c>
      <c r="D13" s="21" t="str">
        <f>'Input Data'!E12</f>
        <v>Sungrow Australia Group Pty Ltd</v>
      </c>
      <c r="E13" s="22">
        <f>'Input Data'!F12</f>
        <v>484.1</v>
      </c>
      <c r="F13" s="23">
        <f>'Input Data'!G12</f>
        <v>45184</v>
      </c>
      <c r="G13" s="23">
        <f>'Input Data'!H12</f>
        <v>47375</v>
      </c>
      <c r="H13" s="24">
        <f>'Input Data'!I12</f>
        <v>6</v>
      </c>
      <c r="I13" s="26">
        <f ca="1">'Input Data'!V12</f>
        <v>3.2087611225188226</v>
      </c>
      <c r="J13" s="25">
        <f>'Input Data'!J12</f>
        <v>1049.77</v>
      </c>
      <c r="K13" s="25">
        <f>'Input Data'!X12</f>
        <v>1020</v>
      </c>
      <c r="L13" s="25">
        <f>'Input Data'!Q12</f>
        <v>399443.10699999996</v>
      </c>
      <c r="M13" s="25">
        <f>'Input Data'!L12</f>
        <v>-181765.03</v>
      </c>
      <c r="N13" s="25">
        <f>'Input Data'!M12</f>
        <v>42634.69</v>
      </c>
      <c r="O13" s="25">
        <f>'Input Data'!N12</f>
        <v>6898.43</v>
      </c>
      <c r="P13" s="25">
        <f>'Input Data'!O12+'Input Data'!P12</f>
        <v>23481.360000000001</v>
      </c>
      <c r="Q13" s="13">
        <f>'Input Data'!R12</f>
        <v>2</v>
      </c>
      <c r="R13" s="14" t="str">
        <f>'Input Data'!S12</f>
        <v>FIXED 3.75%</v>
      </c>
      <c r="S13" s="23">
        <f>IFERROR('Input Data'!T12,"")</f>
        <v>46280</v>
      </c>
      <c r="T13" s="14" t="str">
        <f>'Input Data'!U12</f>
        <v>Semi-Gross</v>
      </c>
      <c r="U13" s="25">
        <f>'Input Data'!Y12</f>
        <v>29.769999999999982</v>
      </c>
      <c r="V13" s="27">
        <f>'Input Data'!Z12</f>
        <v>2.9186274509803902E-2</v>
      </c>
      <c r="W13" s="22">
        <f ca="1">'Input Data'!W12</f>
        <v>1553.3612594113622</v>
      </c>
      <c r="X13" s="14" t="str">
        <f>'Input Data'!AB12</f>
        <v>Tandem bays x2. BG: $536,314. Cleaning $14.25 psm. Base year FY2021 9.41%.</v>
      </c>
    </row>
    <row r="14" spans="1:24" ht="15.75" customHeight="1" x14ac:dyDescent="0.35">
      <c r="A14" s="13" t="str">
        <f>'Input Data'!B13</f>
        <v>L07</v>
      </c>
      <c r="B14" s="13" t="str">
        <f>'Input Data'!C13</f>
        <v>7.02</v>
      </c>
      <c r="C14" s="21" t="str">
        <f>'Input Data'!D13</f>
        <v>Sungrow Australia Group</v>
      </c>
      <c r="D14" s="21" t="str">
        <f>'Input Data'!E13</f>
        <v>Additional Space (Sungrow)</v>
      </c>
      <c r="E14" s="22">
        <f>'Input Data'!F13</f>
        <v>365.5</v>
      </c>
      <c r="F14" s="23">
        <f>'Input Data'!G13</f>
        <v>45184</v>
      </c>
      <c r="G14" s="23">
        <f>'Input Data'!H13</f>
        <v>47375</v>
      </c>
      <c r="H14" s="24">
        <f>'Input Data'!I13</f>
        <v>6</v>
      </c>
      <c r="I14" s="26">
        <f ca="1">'Input Data'!V13</f>
        <v>3.2087611225188226</v>
      </c>
      <c r="J14" s="25">
        <f>'Input Data'!J13</f>
        <v>0</v>
      </c>
      <c r="K14" s="25">
        <f>'Input Data'!X13</f>
        <v>1020</v>
      </c>
      <c r="L14" s="25">
        <f>'Input Data'!Q13</f>
        <v>0</v>
      </c>
      <c r="M14" s="25">
        <f>'Input Data'!L13</f>
        <v>0</v>
      </c>
      <c r="N14" s="25">
        <f>'Input Data'!M13</f>
        <v>0</v>
      </c>
      <c r="O14" s="25">
        <f>'Input Data'!N13</f>
        <v>0</v>
      </c>
      <c r="P14" s="25">
        <f>'Input Data'!O13+'Input Data'!P13</f>
        <v>0</v>
      </c>
      <c r="Q14" s="13">
        <f>'Input Data'!R13</f>
        <v>0</v>
      </c>
      <c r="R14" s="14" t="str">
        <f>'Input Data'!S13</f>
        <v>FIXED 3.75%</v>
      </c>
      <c r="S14" s="23">
        <f>IFERROR('Input Data'!T13,"")</f>
        <v>46280</v>
      </c>
      <c r="T14" s="14" t="str">
        <f>'Input Data'!U13</f>
        <v>Semi-Gross</v>
      </c>
      <c r="U14" s="25">
        <f>'Input Data'!Y13</f>
        <v>0</v>
      </c>
      <c r="V14" s="27">
        <f>'Input Data'!Z13</f>
        <v>0</v>
      </c>
      <c r="W14" s="22">
        <f ca="1">'Input Data'!W13</f>
        <v>1172.8021902806297</v>
      </c>
      <c r="X14" s="14" t="str">
        <f>'Input Data'!AB13</f>
        <v>Additional space included in Suite 7.01 totals. Same lease.</v>
      </c>
    </row>
    <row r="15" spans="1:24" ht="15.75" customHeight="1" x14ac:dyDescent="0.35">
      <c r="A15" s="13" t="str">
        <f>'Input Data'!B17</f>
        <v>L12</v>
      </c>
      <c r="B15" s="13" t="str">
        <f>'Input Data'!C17</f>
        <v>12.01</v>
      </c>
      <c r="C15" s="21" t="str">
        <f>'Input Data'!D17</f>
        <v>Hulsbosch Design Pty Ltd</v>
      </c>
      <c r="D15" s="21" t="str">
        <f>'Input Data'!E17</f>
        <v>Hulsbosch Design Pty Ltd</v>
      </c>
      <c r="E15" s="22">
        <f>'Input Data'!F17</f>
        <v>344.5</v>
      </c>
      <c r="F15" s="23">
        <f>'Input Data'!G17</f>
        <v>45992</v>
      </c>
      <c r="G15" s="23">
        <f>'Input Data'!H17</f>
        <v>47483</v>
      </c>
      <c r="H15" s="24">
        <f>'Input Data'!I17</f>
        <v>4.0999999999999996</v>
      </c>
      <c r="I15" s="26">
        <f ca="1">'Input Data'!V17</f>
        <v>3.5044490075290895</v>
      </c>
      <c r="J15" s="25">
        <f>'Input Data'!J17</f>
        <v>990.29</v>
      </c>
      <c r="K15" s="25">
        <f>'Input Data'!X17</f>
        <v>1040</v>
      </c>
      <c r="L15" s="25">
        <f>'Input Data'!Q17</f>
        <v>222616.13499999998</v>
      </c>
      <c r="M15" s="25">
        <f>'Input Data'!L17</f>
        <v>-137803.45000000001</v>
      </c>
      <c r="N15" s="25">
        <f>'Input Data'!M17</f>
        <v>7771.92</v>
      </c>
      <c r="O15" s="25">
        <f>'Input Data'!N17</f>
        <v>5432.76</v>
      </c>
      <c r="P15" s="25">
        <f>'Input Data'!O17+'Input Data'!P17</f>
        <v>6060</v>
      </c>
      <c r="Q15" s="13">
        <f>'Input Data'!R17</f>
        <v>2</v>
      </c>
      <c r="R15" s="14" t="str">
        <f>'Input Data'!S17</f>
        <v>FIXED 3.5%</v>
      </c>
      <c r="S15" s="23">
        <f>IFERROR('Input Data'!T17,"")</f>
        <v>46357</v>
      </c>
      <c r="T15" s="14" t="str">
        <f>'Input Data'!U17</f>
        <v>Semi-Gross</v>
      </c>
      <c r="U15" s="25">
        <f>'Input Data'!Y17</f>
        <v>-49.710000000000036</v>
      </c>
      <c r="V15" s="27">
        <f>'Input Data'!Z17</f>
        <v>-4.7798076923076957E-2</v>
      </c>
      <c r="W15" s="22">
        <f ca="1">'Input Data'!W17</f>
        <v>1207.2826830937713</v>
      </c>
      <c r="X15" s="14" t="str">
        <f>'Input Data'!AB17</f>
        <v>Base year FY25 3.8%. 2 car spaces.</v>
      </c>
    </row>
    <row r="16" spans="1:24" ht="18" customHeight="1" x14ac:dyDescent="0.35">
      <c r="A16" s="250" t="s">
        <v>399</v>
      </c>
      <c r="B16" s="250"/>
      <c r="C16" s="250"/>
      <c r="D16" s="250"/>
      <c r="E16" s="250"/>
      <c r="F16" s="250"/>
      <c r="G16" s="250"/>
      <c r="H16" s="250"/>
      <c r="I16" s="250"/>
      <c r="J16" s="250"/>
      <c r="K16" s="250"/>
      <c r="L16" s="250"/>
      <c r="M16" s="250"/>
      <c r="N16" s="250"/>
      <c r="O16" s="250"/>
      <c r="P16" s="250"/>
      <c r="Q16" s="250"/>
      <c r="R16" s="250"/>
      <c r="S16" s="250"/>
      <c r="T16" s="250"/>
      <c r="U16" s="250"/>
      <c r="V16" s="250"/>
      <c r="W16" s="250"/>
      <c r="X16" s="250"/>
    </row>
    <row r="17" spans="1:24" ht="15.75" customHeight="1" x14ac:dyDescent="0.35">
      <c r="A17" s="13" t="str">
        <f>'Input Data'!B15</f>
        <v>L08</v>
      </c>
      <c r="B17" s="13" t="str">
        <f>'Input Data'!C15</f>
        <v>8.03</v>
      </c>
      <c r="C17" s="21" t="str">
        <f>'Input Data'!D15</f>
        <v>Can Too Foundation Limited</v>
      </c>
      <c r="D17" s="21" t="str">
        <f>'Input Data'!E15</f>
        <v>Can Too Foundation Limited</v>
      </c>
      <c r="E17" s="22">
        <f>'Input Data'!F15</f>
        <v>116.3</v>
      </c>
      <c r="F17" s="23">
        <f>'Input Data'!G15</f>
        <v>45809</v>
      </c>
      <c r="G17" s="23">
        <f>'Input Data'!H15</f>
        <v>47787</v>
      </c>
      <c r="H17" s="24">
        <f>'Input Data'!I15</f>
        <v>5.4</v>
      </c>
      <c r="I17" s="26">
        <f ca="1">'Input Data'!V15</f>
        <v>4.3367556468172488</v>
      </c>
      <c r="J17" s="25">
        <f>'Input Data'!J15</f>
        <v>990</v>
      </c>
      <c r="K17" s="25">
        <f>'Input Data'!X15</f>
        <v>990</v>
      </c>
      <c r="L17" s="25">
        <f>'Input Data'!Q15</f>
        <v>71210.489999999991</v>
      </c>
      <c r="M17" s="25">
        <f>'Input Data'!L15</f>
        <v>-48357.54</v>
      </c>
      <c r="N17" s="25">
        <f>'Input Data'!M15</f>
        <v>2596.98</v>
      </c>
      <c r="O17" s="25">
        <f>'Input Data'!N15</f>
        <v>1834.05</v>
      </c>
      <c r="P17" s="25">
        <f>'Input Data'!O15+'Input Data'!P15</f>
        <v>0</v>
      </c>
      <c r="Q17" s="13">
        <f>'Input Data'!R15</f>
        <v>0</v>
      </c>
      <c r="R17" s="14" t="str">
        <f>'Input Data'!S15</f>
        <v>FIXED 3.75%</v>
      </c>
      <c r="S17" s="23">
        <f>IFERROR('Input Data'!T15,"")</f>
        <v>46174</v>
      </c>
      <c r="T17" s="14" t="str">
        <f>'Input Data'!U15</f>
        <v>Semi-Gross</v>
      </c>
      <c r="U17" s="25">
        <f>'Input Data'!Y15</f>
        <v>0</v>
      </c>
      <c r="V17" s="27">
        <f>'Input Data'!Z15</f>
        <v>0</v>
      </c>
      <c r="W17" s="22">
        <f ca="1">'Input Data'!W15</f>
        <v>504.36468172484604</v>
      </c>
      <c r="X17" s="14" t="str">
        <f>'Input Data'!AB15</f>
        <v>BG: $74,934. Base year 2025 1.29%. Cleaning $15.77 psm.</v>
      </c>
    </row>
    <row r="18" spans="1:24" ht="15.75" customHeight="1" x14ac:dyDescent="0.35">
      <c r="A18" s="13" t="str">
        <f>'Input Data'!B18</f>
        <v>L09</v>
      </c>
      <c r="B18" s="13" t="str">
        <f>'Input Data'!C18</f>
        <v>9.02</v>
      </c>
      <c r="C18" s="21" t="str">
        <f>'Input Data'!D18</f>
        <v>Smile Partners Australia</v>
      </c>
      <c r="D18" s="21" t="str">
        <f>'Input Data'!E18</f>
        <v>Smile Partners Australia Pty Ltd</v>
      </c>
      <c r="E18" s="22">
        <f>'Input Data'!F18</f>
        <v>251</v>
      </c>
      <c r="F18" s="23">
        <f>'Input Data'!G18</f>
        <v>45962</v>
      </c>
      <c r="G18" s="23">
        <f>'Input Data'!H18</f>
        <v>47787</v>
      </c>
      <c r="H18" s="24">
        <f>'Input Data'!I18</f>
        <v>5</v>
      </c>
      <c r="I18" s="26">
        <f ca="1">'Input Data'!V18</f>
        <v>4.3367556468172488</v>
      </c>
      <c r="J18" s="25">
        <f>'Input Data'!J18</f>
        <v>985</v>
      </c>
      <c r="K18" s="25">
        <f>'Input Data'!X18</f>
        <v>990</v>
      </c>
      <c r="L18" s="25">
        <f>'Input Data'!Q18</f>
        <v>190062.22</v>
      </c>
      <c r="M18" s="25">
        <f>'Input Data'!L18</f>
        <v>-66750.94</v>
      </c>
      <c r="N18" s="25">
        <f>'Input Data'!M18</f>
        <v>5619.89</v>
      </c>
      <c r="O18" s="25">
        <f>'Input Data'!N18</f>
        <v>3958.27</v>
      </c>
      <c r="P18" s="25">
        <f>'Input Data'!O18+'Input Data'!P18</f>
        <v>0</v>
      </c>
      <c r="Q18" s="13">
        <f>'Input Data'!R18</f>
        <v>0</v>
      </c>
      <c r="R18" s="14" t="str">
        <f>'Input Data'!S18</f>
        <v>FIXED 3.5%</v>
      </c>
      <c r="S18" s="23">
        <f>IFERROR('Input Data'!T18,"")</f>
        <v>46327</v>
      </c>
      <c r="T18" s="14" t="str">
        <f>'Input Data'!U18</f>
        <v>Semi-Gross</v>
      </c>
      <c r="U18" s="25">
        <f>'Input Data'!Y18</f>
        <v>-5</v>
      </c>
      <c r="V18" s="27">
        <f>'Input Data'!Z18</f>
        <v>-5.0505050505050509E-3</v>
      </c>
      <c r="W18" s="22">
        <f ca="1">'Input Data'!W18</f>
        <v>1088.5256673511294</v>
      </c>
      <c r="X18" s="14" t="str">
        <f>'Input Data'!AB18</f>
        <v>New lease 01/11/25. Outgoings base FY2025.</v>
      </c>
    </row>
    <row r="19" spans="1:24" ht="15.75" customHeight="1" x14ac:dyDescent="0.35">
      <c r="A19" s="13" t="str">
        <f>'Input Data'!B19</f>
        <v>L12</v>
      </c>
      <c r="B19" s="13" t="str">
        <f>'Input Data'!C19</f>
        <v>12.02</v>
      </c>
      <c r="C19" s="21" t="str">
        <f>'Input Data'!D19</f>
        <v>Aei Insurance Group Pty Ltd</v>
      </c>
      <c r="D19" s="21" t="str">
        <f>'Input Data'!E19</f>
        <v>AEI Insurance Group Pty Ltd</v>
      </c>
      <c r="E19" s="22">
        <f>'Input Data'!F19</f>
        <v>536</v>
      </c>
      <c r="F19" s="23">
        <f>'Input Data'!G19</f>
        <v>45642</v>
      </c>
      <c r="G19" s="23">
        <f>'Input Data'!H19</f>
        <v>47832</v>
      </c>
      <c r="H19" s="24">
        <f>'Input Data'!I19</f>
        <v>6</v>
      </c>
      <c r="I19" s="26">
        <f ca="1">'Input Data'!V19</f>
        <v>4.4599589322381927</v>
      </c>
      <c r="J19" s="25">
        <f>'Input Data'!J19</f>
        <v>988</v>
      </c>
      <c r="K19" s="25">
        <f>'Input Data'!X19</f>
        <v>1010</v>
      </c>
      <c r="L19" s="25">
        <f>'Input Data'!Q19</f>
        <v>675902.76</v>
      </c>
      <c r="M19" s="25">
        <f>'Input Data'!L19</f>
        <v>-51198.720000000001</v>
      </c>
      <c r="N19" s="25">
        <f>'Input Data'!M19</f>
        <v>62133.120000000003</v>
      </c>
      <c r="O19" s="25">
        <f>'Input Data'!N19</f>
        <v>8452.7199999999993</v>
      </c>
      <c r="P19" s="25">
        <f>'Input Data'!O19+'Input Data'!P19</f>
        <v>126947.64</v>
      </c>
      <c r="Q19" s="13">
        <f>'Input Data'!R19</f>
        <v>10</v>
      </c>
      <c r="R19" s="14" t="str">
        <f>'Input Data'!S19</f>
        <v>FIXED 4%</v>
      </c>
      <c r="S19" s="23">
        <f>IFERROR('Input Data'!T19,"")</f>
        <v>46372</v>
      </c>
      <c r="T19" s="14" t="str">
        <f>'Input Data'!U19</f>
        <v>Semi-Gross</v>
      </c>
      <c r="U19" s="25">
        <f>'Input Data'!Y19</f>
        <v>-22</v>
      </c>
      <c r="V19" s="27">
        <f>'Input Data'!Z19</f>
        <v>-2.1782178217821781E-2</v>
      </c>
      <c r="W19" s="22">
        <f ca="1">'Input Data'!W19</f>
        <v>2390.5379876796715</v>
      </c>
      <c r="X19" s="14" t="str">
        <f>'Input Data'!AB19</f>
        <v>Option: 6 mths. BG: $440,704 (no expiry). 10 car spaces. Formerly Austbrokers.</v>
      </c>
    </row>
    <row r="20" spans="1:24" ht="18" customHeight="1" x14ac:dyDescent="0.35">
      <c r="A20" s="250" t="s">
        <v>400</v>
      </c>
      <c r="B20" s="250"/>
      <c r="C20" s="250"/>
      <c r="D20" s="250"/>
      <c r="E20" s="250"/>
      <c r="F20" s="250"/>
      <c r="G20" s="250"/>
      <c r="H20" s="250"/>
      <c r="I20" s="250"/>
      <c r="J20" s="250"/>
      <c r="K20" s="250"/>
      <c r="L20" s="250"/>
      <c r="M20" s="250"/>
      <c r="N20" s="250"/>
      <c r="O20" s="250"/>
      <c r="P20" s="250"/>
      <c r="Q20" s="250"/>
      <c r="R20" s="250"/>
      <c r="S20" s="250"/>
      <c r="T20" s="250"/>
      <c r="U20" s="250"/>
      <c r="V20" s="250"/>
      <c r="W20" s="250"/>
      <c r="X20" s="250"/>
    </row>
    <row r="21" spans="1:24" ht="15.75" customHeight="1" x14ac:dyDescent="0.35">
      <c r="A21" s="13" t="str">
        <f>'Input Data'!B4</f>
        <v>L03</v>
      </c>
      <c r="B21" s="13" t="str">
        <f>'Input Data'!C4</f>
        <v>3.02</v>
      </c>
      <c r="C21" s="21" t="str">
        <f>'Input Data'!D4</f>
        <v>Fitness First Australia Pty Limited</v>
      </c>
      <c r="D21" s="21" t="str">
        <f>'Input Data'!E4</f>
        <v>Fitness First Australia Pty Limited</v>
      </c>
      <c r="E21" s="22">
        <f>'Input Data'!F4</f>
        <v>795.5</v>
      </c>
      <c r="F21" s="23">
        <f>'Input Data'!G4</f>
        <v>44378</v>
      </c>
      <c r="G21" s="23">
        <f>'Input Data'!H4</f>
        <v>48029</v>
      </c>
      <c r="H21" s="24">
        <f>'Input Data'!I4</f>
        <v>10</v>
      </c>
      <c r="I21" s="26">
        <f ca="1">'Input Data'!V4</f>
        <v>4.9993155373032172</v>
      </c>
      <c r="J21" s="25">
        <f>'Input Data'!J4</f>
        <v>855.7</v>
      </c>
      <c r="K21" s="25">
        <f>'Input Data'!X4</f>
        <v>870</v>
      </c>
      <c r="L21" s="25">
        <f>'Input Data'!Q4</f>
        <v>680709.35000000009</v>
      </c>
      <c r="M21" s="25">
        <f>'Input Data'!L4</f>
        <v>0</v>
      </c>
      <c r="N21" s="25">
        <f>'Input Data'!M4</f>
        <v>0</v>
      </c>
      <c r="O21" s="25">
        <f>'Input Data'!N4</f>
        <v>0</v>
      </c>
      <c r="P21" s="25">
        <f>'Input Data'!O4+'Input Data'!P4</f>
        <v>0</v>
      </c>
      <c r="Q21" s="13">
        <f>'Input Data'!R4</f>
        <v>0</v>
      </c>
      <c r="R21" s="14" t="str">
        <f>'Input Data'!S4</f>
        <v>FIXED 4%</v>
      </c>
      <c r="S21" s="23">
        <f>IFERROR('Input Data'!T4,"")</f>
        <v>46204</v>
      </c>
      <c r="T21" s="14" t="str">
        <f>'Input Data'!U4</f>
        <v>Gross</v>
      </c>
      <c r="U21" s="25">
        <f>'Input Data'!Y4</f>
        <v>-14.299999999999955</v>
      </c>
      <c r="V21" s="27">
        <f>'Input Data'!Z4</f>
        <v>-1.6436781609195351E-2</v>
      </c>
      <c r="W21" s="22">
        <f ca="1">'Input Data'!W4</f>
        <v>3976.9555099247091</v>
      </c>
      <c r="X21" s="14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13" t="str">
        <f>'Input Data'!B5</f>
        <v>L04</v>
      </c>
      <c r="B22" s="13" t="str">
        <f>'Input Data'!C5</f>
        <v>4.01</v>
      </c>
      <c r="C22" s="21" t="str">
        <f>'Input Data'!D5</f>
        <v>Fitness First Australia Pty Limited</v>
      </c>
      <c r="D22" s="21" t="str">
        <f>'Input Data'!E5</f>
        <v>Fitness First Australia Pty Limited</v>
      </c>
      <c r="E22" s="22">
        <f>'Input Data'!F5</f>
        <v>1047</v>
      </c>
      <c r="F22" s="23">
        <f>'Input Data'!G5</f>
        <v>44378</v>
      </c>
      <c r="G22" s="23">
        <f>'Input Data'!H5</f>
        <v>48029</v>
      </c>
      <c r="H22" s="24">
        <f>'Input Data'!I5</f>
        <v>10</v>
      </c>
      <c r="I22" s="26">
        <f ca="1">'Input Data'!V5</f>
        <v>4.9993155373032172</v>
      </c>
      <c r="J22" s="25">
        <f>'Input Data'!J5</f>
        <v>855.7</v>
      </c>
      <c r="K22" s="25">
        <f>'Input Data'!X5</f>
        <v>870</v>
      </c>
      <c r="L22" s="25">
        <f>'Input Data'!Q5</f>
        <v>906078.3</v>
      </c>
      <c r="M22" s="25">
        <f>'Input Data'!L5</f>
        <v>0</v>
      </c>
      <c r="N22" s="25">
        <f>'Input Data'!M5</f>
        <v>0</v>
      </c>
      <c r="O22" s="25">
        <f>'Input Data'!N5</f>
        <v>0</v>
      </c>
      <c r="P22" s="25">
        <f>'Input Data'!O5+'Input Data'!P5</f>
        <v>10160.4</v>
      </c>
      <c r="Q22" s="13">
        <f>'Input Data'!R5</f>
        <v>1</v>
      </c>
      <c r="R22" s="14" t="str">
        <f>'Input Data'!S5</f>
        <v>FIXED 4%</v>
      </c>
      <c r="S22" s="23">
        <f>IFERROR('Input Data'!T5,"")</f>
        <v>46204</v>
      </c>
      <c r="T22" s="14" t="str">
        <f>'Input Data'!U5</f>
        <v>Gross</v>
      </c>
      <c r="U22" s="25">
        <f>'Input Data'!Y5</f>
        <v>-14.299999999999955</v>
      </c>
      <c r="V22" s="27">
        <f>'Input Data'!Z5</f>
        <v>-1.6436781609195351E-2</v>
      </c>
      <c r="W22" s="22">
        <f ca="1">'Input Data'!W5</f>
        <v>5234.283367556468</v>
      </c>
      <c r="X22" s="14" t="str">
        <f>'Input Data'!AB5</f>
        <v>Gross lease - Nil outgoings. 1 car space.</v>
      </c>
    </row>
    <row r="23" spans="1:24" ht="15.75" customHeight="1" x14ac:dyDescent="0.35">
      <c r="A23" s="13" t="str">
        <f>'Input Data'!B6</f>
        <v>L05</v>
      </c>
      <c r="B23" s="13" t="str">
        <f>'Input Data'!C6</f>
        <v>5.01</v>
      </c>
      <c r="C23" s="21" t="str">
        <f>'Input Data'!D6</f>
        <v>Fitness First Australia Pty Limited</v>
      </c>
      <c r="D23" s="21" t="str">
        <f>'Input Data'!E6</f>
        <v>Fitness First North Sydney</v>
      </c>
      <c r="E23" s="22">
        <f>'Input Data'!F6</f>
        <v>437.1</v>
      </c>
      <c r="F23" s="23">
        <f>'Input Data'!G6</f>
        <v>44378</v>
      </c>
      <c r="G23" s="23">
        <f>'Input Data'!H6</f>
        <v>48029</v>
      </c>
      <c r="H23" s="24">
        <f>'Input Data'!I6</f>
        <v>10</v>
      </c>
      <c r="I23" s="26">
        <f ca="1">'Input Data'!V6</f>
        <v>4.9993155373032172</v>
      </c>
      <c r="J23" s="25">
        <f>'Input Data'!J6</f>
        <v>855.7</v>
      </c>
      <c r="K23" s="25">
        <f>'Input Data'!X6</f>
        <v>870</v>
      </c>
      <c r="L23" s="25">
        <f>'Input Data'!Q6</f>
        <v>377056.47000000003</v>
      </c>
      <c r="M23" s="25">
        <f>'Input Data'!L6</f>
        <v>0</v>
      </c>
      <c r="N23" s="25">
        <f>'Input Data'!M6</f>
        <v>0</v>
      </c>
      <c r="O23" s="25">
        <f>'Input Data'!N6</f>
        <v>0</v>
      </c>
      <c r="P23" s="25">
        <f>'Input Data'!O6+'Input Data'!P6</f>
        <v>3030</v>
      </c>
      <c r="Q23" s="13">
        <f>'Input Data'!R6</f>
        <v>0</v>
      </c>
      <c r="R23" s="14" t="str">
        <f>'Input Data'!S6</f>
        <v>FIXED 4%</v>
      </c>
      <c r="S23" s="23">
        <f>IFERROR('Input Data'!T6,"")</f>
        <v>46204</v>
      </c>
      <c r="T23" s="14" t="str">
        <f>'Input Data'!U6</f>
        <v>Gross</v>
      </c>
      <c r="U23" s="25">
        <f>'Input Data'!Y6</f>
        <v>-14.299999999999955</v>
      </c>
      <c r="V23" s="27">
        <f>'Input Data'!Z6</f>
        <v>-1.6436781609195351E-2</v>
      </c>
      <c r="W23" s="22">
        <f ca="1">'Input Data'!W6</f>
        <v>2185.2008213552363</v>
      </c>
      <c r="X23" s="14" t="str">
        <f>'Input Data'!AB6</f>
        <v>Gross lease - Nil outgoings. Car park levy only.</v>
      </c>
    </row>
    <row r="24" spans="1:24" ht="15.75" customHeight="1" x14ac:dyDescent="0.35">
      <c r="A24" s="13" t="str">
        <f>'Input Data'!B11</f>
        <v>L06</v>
      </c>
      <c r="B24" s="13" t="str">
        <f>'Input Data'!C11</f>
        <v>6.04</v>
      </c>
      <c r="C24" s="21" t="str">
        <f>'Input Data'!D11</f>
        <v>Elekta Pty Limited</v>
      </c>
      <c r="D24" s="21" t="str">
        <f>'Input Data'!E11</f>
        <v>Elekta Pty Limited</v>
      </c>
      <c r="E24" s="22">
        <f>'Input Data'!F11</f>
        <v>267.89999999999998</v>
      </c>
      <c r="F24" s="23">
        <f>'Input Data'!G11</f>
        <v>45870</v>
      </c>
      <c r="G24" s="23">
        <f>'Input Data'!H11</f>
        <v>48426</v>
      </c>
      <c r="H24" s="24">
        <f>'Input Data'!I11</f>
        <v>7</v>
      </c>
      <c r="I24" s="26">
        <f ca="1">'Input Data'!V11</f>
        <v>6.0862422997946615</v>
      </c>
      <c r="J24" s="25">
        <f>'Input Data'!J11</f>
        <v>920</v>
      </c>
      <c r="K24" s="25">
        <f>'Input Data'!X11</f>
        <v>955</v>
      </c>
      <c r="L24" s="25">
        <f>'Input Data'!Q11</f>
        <v>165500.57999999999</v>
      </c>
      <c r="M24" s="25">
        <f>'Input Data'!L11</f>
        <v>-98587.199999999997</v>
      </c>
      <c r="N24" s="25">
        <f>'Input Data'!M11</f>
        <v>17619.78</v>
      </c>
      <c r="O24" s="25">
        <f>'Input Data'!N11</f>
        <v>0</v>
      </c>
      <c r="P24" s="25">
        <f>'Input Data'!O11+'Input Data'!P11</f>
        <v>0</v>
      </c>
      <c r="Q24" s="13">
        <f>'Input Data'!R11</f>
        <v>1</v>
      </c>
      <c r="R24" s="14" t="str">
        <f>'Input Data'!S11</f>
        <v>FIXED (3.75%)</v>
      </c>
      <c r="S24" s="23">
        <f>IFERROR('Input Data'!T11,"")</f>
        <v>46235</v>
      </c>
      <c r="T24" s="14" t="str">
        <f>'Input Data'!U11</f>
        <v>Semi-Gross</v>
      </c>
      <c r="U24" s="25">
        <f>'Input Data'!Y11</f>
        <v>-35</v>
      </c>
      <c r="V24" s="27">
        <f>'Input Data'!Z11</f>
        <v>-3.6649214659685861E-2</v>
      </c>
      <c r="W24" s="22">
        <f ca="1">'Input Data'!W11</f>
        <v>1630.5043121149897</v>
      </c>
      <c r="X24" s="14" t="str">
        <f>'Input Data'!AB11</f>
        <v>New lease 01/08/25. BG: $210,969. Abatement: $2,576 psm over term. Outgoings 2.95% base FY2025.</v>
      </c>
    </row>
    <row r="25" spans="1:24" ht="18" customHeight="1" x14ac:dyDescent="0.35">
      <c r="A25" s="142" t="str">
        <f>'Input Data'!B24</f>
        <v>L11</v>
      </c>
      <c r="B25" s="142" t="str">
        <f>'Input Data'!C24</f>
        <v>11.02</v>
      </c>
      <c r="C25" s="142" t="str">
        <f>'Input Data'!D24</f>
        <v>Haskoning Australia Pty Ltd</v>
      </c>
      <c r="D25" s="142" t="str">
        <f>'Input Data'!E24</f>
        <v>Haskoning Australia Pty Ltd</v>
      </c>
      <c r="E25" s="142">
        <f>'Input Data'!F24</f>
        <v>536</v>
      </c>
      <c r="F25" s="143">
        <f>'Input Data'!G24</f>
        <v>46203</v>
      </c>
      <c r="G25" s="143">
        <f>'Input Data'!H24</f>
        <v>49582</v>
      </c>
      <c r="H25" s="142">
        <f>'Input Data'!I24</f>
        <v>6</v>
      </c>
      <c r="I25" s="142">
        <f ca="1">'Input Data'!V24</f>
        <v>9.2511978097193701</v>
      </c>
      <c r="J25" s="142">
        <f>'Input Data'!J24</f>
        <v>1040</v>
      </c>
      <c r="K25" s="142">
        <f>'Input Data'!X24</f>
        <v>1040</v>
      </c>
      <c r="L25" s="142">
        <f>'Input Data'!Q24</f>
        <v>-113632</v>
      </c>
      <c r="M25" s="142">
        <f>'Input Data'!L24</f>
        <v>-671072</v>
      </c>
      <c r="N25" s="142">
        <f>'Input Data'!M24</f>
        <v>0</v>
      </c>
      <c r="O25" s="142">
        <f>'Input Data'!N24</f>
        <v>0</v>
      </c>
      <c r="P25" s="142">
        <f>'Input Data'!O24+'Input Data'!P24</f>
        <v>0</v>
      </c>
      <c r="Q25" s="142">
        <f>'Input Data'!R24</f>
        <v>0</v>
      </c>
      <c r="R25" s="142" t="str">
        <f>'Input Data'!S24</f>
        <v>FIXED 3.5%</v>
      </c>
      <c r="S25" s="143">
        <f>IFERROR('Input Data'!T24,"")</f>
        <v>46661</v>
      </c>
      <c r="T25" s="142">
        <f>'Input Data'!Y24</f>
        <v>0</v>
      </c>
      <c r="U25" s="142">
        <f>'Input Data'!Z24</f>
        <v>0</v>
      </c>
      <c r="V25" s="142">
        <f ca="1">'Input Data'!W24</f>
        <v>4958.642026009582</v>
      </c>
      <c r="W25" s="142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6"/>
    </row>
    <row r="26" spans="1:24" ht="15.75" customHeight="1" x14ac:dyDescent="0.35">
      <c r="A26" s="144" t="s">
        <v>407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 x14ac:dyDescent="0.35">
      <c r="A27" s="49" t="str">
        <f>'Input Data'!B20</f>
        <v>L06</v>
      </c>
      <c r="B27" s="49" t="str">
        <f>'Input Data'!C20</f>
        <v>6.01</v>
      </c>
      <c r="C27" s="50" t="str">
        <f>'Input Data'!D20</f>
        <v>Caladas Constructions</v>
      </c>
      <c r="D27" s="49" t="str">
        <f>'Input Data'!E20</f>
        <v>Caladas Constructions</v>
      </c>
      <c r="E27" s="51">
        <f>'Input Data'!F20</f>
        <v>186.4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146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49" t="str">
        <f>'Input Data'!B21</f>
        <v>L10</v>
      </c>
      <c r="B28" s="49" t="str">
        <f>'Input Data'!C21</f>
        <v>10.01</v>
      </c>
      <c r="C28" s="50" t="str">
        <f>'Input Data'!D21</f>
        <v>VACANT</v>
      </c>
      <c r="D28" s="49">
        <f>'Input Data'!E21</f>
        <v>0</v>
      </c>
      <c r="E28" s="51">
        <f>'Input Data'!F21</f>
        <v>438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146">
        <f>'Input Data'!AB21</f>
        <v>0</v>
      </c>
    </row>
    <row r="29" spans="1:24" ht="15.75" customHeight="1" x14ac:dyDescent="0.35">
      <c r="A29" s="49" t="str">
        <f>'Input Data'!B22</f>
        <v>L10</v>
      </c>
      <c r="B29" s="49" t="str">
        <f>'Input Data'!C22</f>
        <v>10.02</v>
      </c>
      <c r="C29" s="50" t="str">
        <f>'Input Data'!D22</f>
        <v>VACANT</v>
      </c>
      <c r="D29" s="49">
        <f>'Input Data'!E22</f>
        <v>0</v>
      </c>
      <c r="E29" s="51">
        <f>'Input Data'!F22</f>
        <v>349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146">
        <f>'Input Data'!AB22</f>
        <v>0</v>
      </c>
    </row>
    <row r="30" spans="1:24" ht="19.5" customHeight="1" x14ac:dyDescent="0.35">
      <c r="A30" s="269" t="str">
        <f>'Input Data'!B23</f>
        <v>L11</v>
      </c>
      <c r="B30" s="269"/>
      <c r="C30" s="269"/>
      <c r="D30" s="269"/>
      <c r="E30" s="51">
        <f>'Input Data'!F23</f>
        <v>236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46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61" t="s">
        <v>402</v>
      </c>
      <c r="B31" s="6"/>
      <c r="C31" s="6"/>
      <c r="D31" s="6"/>
      <c r="E31" s="62">
        <f>SUM('Input Data'!F3:F24)</f>
        <v>8922.4000000000015</v>
      </c>
      <c r="F31" s="68"/>
      <c r="G31" s="68"/>
      <c r="H31" s="68"/>
      <c r="I31" s="147">
        <f ca="1">IFERROR(SUMPRODUCT(('Input Data'!H3:H24&lt;&gt;"")*'Input Data'!F3:F24*MAX(('Input Data'!H3:H24-TODAY())/365.25,0))/SUMPRODUCT(('Input Data'!H3:H24&lt;&gt;"")*'Input Data'!F3:F24),0)</f>
        <v>9.2511978097193683</v>
      </c>
      <c r="J31" s="145">
        <f>SUMPRODUCT(('Input Data'!H3:H24&lt;&gt;"")*'Input Data'!J3:J24*'Input Data'!F3:F24)/SUMPRODUCT(('Input Data'!H3:H24&lt;&gt;"")*'Input Data'!F3:F24)</f>
        <v>911.34060802086242</v>
      </c>
      <c r="K31" s="68"/>
      <c r="L31" s="63">
        <f>SUM('Input Data'!Q3:Q24)</f>
        <v>5377867.9789999994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</row>
  </sheetData>
  <mergeCells count="7">
    <mergeCell ref="A20:X20"/>
    <mergeCell ref="A30:D30"/>
    <mergeCell ref="A1:X1"/>
    <mergeCell ref="A3:X3"/>
    <mergeCell ref="A6:X6"/>
    <mergeCell ref="A9:X9"/>
    <mergeCell ref="A16:X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270" t="s">
        <v>408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270"/>
      <c r="V1" s="270"/>
      <c r="W1" s="270"/>
      <c r="X1" s="270"/>
      <c r="Y1" s="270"/>
      <c r="Z1" s="270"/>
      <c r="AA1" s="270"/>
      <c r="AB1" s="270"/>
      <c r="AC1" s="270"/>
      <c r="AD1" s="270"/>
    </row>
    <row r="2" spans="1:30" ht="15" customHeight="1" x14ac:dyDescent="0.35">
      <c r="A2" s="267" t="s">
        <v>409</v>
      </c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  <c r="N2" s="267"/>
      <c r="O2" s="267"/>
      <c r="P2" s="267"/>
      <c r="Q2" s="267"/>
      <c r="R2" s="267"/>
      <c r="S2" s="267"/>
      <c r="T2" s="267"/>
      <c r="U2" s="267"/>
      <c r="V2" s="267"/>
      <c r="W2" s="267"/>
      <c r="X2" s="267"/>
      <c r="Y2" s="267"/>
      <c r="Z2" s="267"/>
      <c r="AA2" s="267"/>
      <c r="AB2" s="267"/>
      <c r="AC2" s="267"/>
      <c r="AD2" s="267"/>
    </row>
    <row r="3" spans="1:30" ht="21.75" customHeight="1" x14ac:dyDescent="0.35">
      <c r="A3" s="6"/>
      <c r="B3" s="2" t="s">
        <v>59</v>
      </c>
      <c r="C3" s="2" t="s">
        <v>410</v>
      </c>
      <c r="D3" s="205" t="s">
        <v>411</v>
      </c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6"/>
      <c r="AD3" s="6"/>
    </row>
    <row r="4" spans="1:30" ht="6.75" customHeight="1" x14ac:dyDescent="0.35">
      <c r="A4" s="6"/>
      <c r="B4" s="68"/>
      <c r="C4" s="68"/>
      <c r="D4" s="271"/>
      <c r="E4" s="271"/>
      <c r="F4" s="271"/>
      <c r="G4" s="271"/>
      <c r="H4" s="271"/>
      <c r="I4" s="271"/>
      <c r="J4" s="271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1"/>
      <c r="W4" s="271"/>
      <c r="X4" s="271"/>
      <c r="Y4" s="271"/>
      <c r="Z4" s="271"/>
      <c r="AA4" s="271"/>
      <c r="AB4" s="271"/>
      <c r="AC4" s="6"/>
      <c r="AD4" s="6"/>
    </row>
    <row r="5" spans="1:30" ht="18" customHeight="1" x14ac:dyDescent="0.35">
      <c r="A5" s="6"/>
      <c r="B5" s="272" t="s">
        <v>412</v>
      </c>
      <c r="C5" s="273">
        <v>787</v>
      </c>
      <c r="D5" s="274" t="str">
        <f>IFERROR(INDEX('Input Data'!D:D,MATCH("12.01",'Input Data'!C:C,0)),"—")</f>
        <v>Hulsbosch Design Pty Ltd</v>
      </c>
      <c r="E5" s="274"/>
      <c r="F5" s="274"/>
      <c r="G5" s="274"/>
      <c r="H5" s="274"/>
      <c r="I5" s="274"/>
      <c r="J5" s="274"/>
      <c r="K5" s="274"/>
      <c r="L5" s="275" t="str">
        <f>IFERROR(INDEX('Input Data'!D:D,MATCH("12.02",'Input Data'!C:C,0)),"—")</f>
        <v>Aei Insurance Group Pty Ltd</v>
      </c>
      <c r="M5" s="275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6"/>
      <c r="AD5" s="6"/>
    </row>
    <row r="6" spans="1:30" ht="13.5" customHeight="1" x14ac:dyDescent="0.35">
      <c r="A6" s="6"/>
      <c r="B6" s="272"/>
      <c r="C6" s="272"/>
      <c r="D6" s="276" t="str">
        <f>IFERROR("12.01 — "&amp;INDEX('Input Data'!B:B,MATCH("12.01",'Input Data'!C:C,0)),"—")</f>
        <v>12.01 — L12</v>
      </c>
      <c r="E6" s="276"/>
      <c r="F6" s="276"/>
      <c r="G6" s="276"/>
      <c r="H6" s="276"/>
      <c r="I6" s="276"/>
      <c r="J6" s="276"/>
      <c r="K6" s="276"/>
      <c r="L6" s="277" t="str">
        <f>IFERROR("12.02 — "&amp;INDEX('Input Data'!B:B,MATCH("12.02",'Input Data'!C:C,0)),"—")</f>
        <v>12.02 — L12</v>
      </c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7"/>
      <c r="AA6" s="277"/>
      <c r="AB6" s="277"/>
      <c r="AC6" s="6"/>
      <c r="AD6" s="6"/>
    </row>
    <row r="7" spans="1:30" ht="13.5" customHeight="1" x14ac:dyDescent="0.35">
      <c r="A7" s="6"/>
      <c r="B7" s="272"/>
      <c r="C7" s="272"/>
      <c r="D7" s="276" t="str">
        <f>IFERROR(TEXT(INDEX('Input Data'!F:F,MATCH("12.01",'Input Data'!C:C,0)),"#,##0.0")&amp;" sqm","—")</f>
        <v>344.5 sqm</v>
      </c>
      <c r="E7" s="276"/>
      <c r="F7" s="276"/>
      <c r="G7" s="276"/>
      <c r="H7" s="276"/>
      <c r="I7" s="276"/>
      <c r="J7" s="276"/>
      <c r="K7" s="276"/>
      <c r="L7" s="277" t="str">
        <f>IFERROR(TEXT(INDEX('Input Data'!F:F,MATCH("12.02",'Input Data'!C:C,0)),"#,##0.0")&amp;" sqm","—")</f>
        <v>536.0 sqm</v>
      </c>
      <c r="M7" s="277"/>
      <c r="N7" s="277"/>
      <c r="O7" s="277"/>
      <c r="P7" s="277"/>
      <c r="Q7" s="277"/>
      <c r="R7" s="277"/>
      <c r="S7" s="277"/>
      <c r="T7" s="277"/>
      <c r="U7" s="277"/>
      <c r="V7" s="277"/>
      <c r="W7" s="277"/>
      <c r="X7" s="277"/>
      <c r="Y7" s="277"/>
      <c r="Z7" s="277"/>
      <c r="AA7" s="277"/>
      <c r="AB7" s="277"/>
      <c r="AC7" s="6"/>
      <c r="AD7" s="6"/>
    </row>
    <row r="8" spans="1:30" ht="13.5" customHeight="1" x14ac:dyDescent="0.35">
      <c r="A8" s="6"/>
      <c r="B8" s="272"/>
      <c r="C8" s="272"/>
      <c r="D8" s="278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278"/>
      <c r="F8" s="278"/>
      <c r="G8" s="278"/>
      <c r="H8" s="278"/>
      <c r="I8" s="278"/>
      <c r="J8" s="278"/>
      <c r="K8" s="278"/>
      <c r="L8" s="279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279"/>
      <c r="N8" s="279"/>
      <c r="O8" s="279"/>
      <c r="P8" s="279"/>
      <c r="Q8" s="279"/>
      <c r="R8" s="279"/>
      <c r="S8" s="279"/>
      <c r="T8" s="279"/>
      <c r="U8" s="279"/>
      <c r="V8" s="279"/>
      <c r="W8" s="279"/>
      <c r="X8" s="279"/>
      <c r="Y8" s="279"/>
      <c r="Z8" s="279"/>
      <c r="AA8" s="279"/>
      <c r="AB8" s="279"/>
      <c r="AC8" s="6"/>
      <c r="AD8" s="6"/>
    </row>
    <row r="9" spans="1:30" ht="13.5" customHeight="1" x14ac:dyDescent="0.35">
      <c r="A9" s="6"/>
      <c r="B9" s="272"/>
      <c r="C9" s="272"/>
      <c r="D9" s="278" t="str">
        <f>IFERROR("Outg $"&amp;TEXT(INDEX('Input Data'!M:M,MATCH("12.01",'Input Data'!C:C,0)),"#,##0")&amp;" | Rev: "&amp;INDEX('Input Data'!S:S,MATCH("12.01",'Input Data'!C:C,0)),"—")</f>
        <v>Outg $7,772 | Rev: FIXED 3.5%</v>
      </c>
      <c r="E9" s="278"/>
      <c r="F9" s="278"/>
      <c r="G9" s="278"/>
      <c r="H9" s="278"/>
      <c r="I9" s="278"/>
      <c r="J9" s="278"/>
      <c r="K9" s="278"/>
      <c r="L9" s="279" t="str">
        <f>IFERROR("Outg $"&amp;TEXT(INDEX('Input Data'!M:M,MATCH("12.02",'Input Data'!C:C,0)),"#,##0")&amp;" | Rev: "&amp;INDEX('Input Data'!S:S,MATCH("12.02",'Input Data'!C:C,0)),"—")</f>
        <v>Outg $62,133 | Rev: FIXED 4%</v>
      </c>
      <c r="M9" s="279"/>
      <c r="N9" s="279"/>
      <c r="O9" s="279"/>
      <c r="P9" s="279"/>
      <c r="Q9" s="279"/>
      <c r="R9" s="279"/>
      <c r="S9" s="279"/>
      <c r="T9" s="279"/>
      <c r="U9" s="279"/>
      <c r="V9" s="279"/>
      <c r="W9" s="279"/>
      <c r="X9" s="279"/>
      <c r="Y9" s="279"/>
      <c r="Z9" s="279"/>
      <c r="AA9" s="279"/>
      <c r="AB9" s="279"/>
      <c r="AC9" s="6"/>
      <c r="AD9" s="6"/>
    </row>
    <row r="10" spans="1:30" ht="13.5" customHeight="1" x14ac:dyDescent="0.35">
      <c r="A10" s="6"/>
      <c r="B10" s="272"/>
      <c r="C10" s="272"/>
      <c r="D10" s="276" t="str">
        <f ca="1">IFERROR("Exp: "&amp;TEXT(INDEX('Input Data'!H:H,MATCH("12.01",'Input Data'!C:C,0)),"MMM-YY")&amp;" ("&amp;TEXT(INDEX('Input Data'!V:V,MATCH("12.01",'Input Data'!C:C,0)),"0.0")&amp;" yrs)","—")</f>
        <v>Exp: Dec-29 (3.5 yrs)</v>
      </c>
      <c r="E10" s="276"/>
      <c r="F10" s="276"/>
      <c r="G10" s="276"/>
      <c r="H10" s="276"/>
      <c r="I10" s="276"/>
      <c r="J10" s="276"/>
      <c r="K10" s="276"/>
      <c r="L10" s="277" t="str">
        <f ca="1">IFERROR("Exp: "&amp;TEXT(INDEX('Input Data'!H:H,MATCH("12.02",'Input Data'!C:C,0)),"MMM-YY")&amp;" ("&amp;TEXT(INDEX('Input Data'!V:V,MATCH("12.02",'Input Data'!C:C,0)),"0.0")&amp;" yrs)","—")</f>
        <v>Exp: Dec-30 (4.5 yrs)</v>
      </c>
      <c r="M10" s="277"/>
      <c r="N10" s="277"/>
      <c r="O10" s="277"/>
      <c r="P10" s="277"/>
      <c r="Q10" s="277"/>
      <c r="R10" s="277"/>
      <c r="S10" s="277"/>
      <c r="T10" s="277"/>
      <c r="U10" s="277"/>
      <c r="V10" s="277"/>
      <c r="W10" s="277"/>
      <c r="X10" s="277"/>
      <c r="Y10" s="277"/>
      <c r="Z10" s="277"/>
      <c r="AA10" s="277"/>
      <c r="AB10" s="277"/>
      <c r="AC10" s="6"/>
      <c r="AD10" s="6"/>
    </row>
    <row r="11" spans="1:30" ht="13.5" customHeight="1" x14ac:dyDescent="0.35">
      <c r="A11" s="6"/>
      <c r="B11" s="272"/>
      <c r="C11" s="272"/>
      <c r="D11" s="276" t="str">
        <f ca="1">IFERROR(TEXT(INDEX('Input Data'!V:V,MATCH("12.01",'Input Data'!C:C,0)),"0.0")&amp;" yrs remaining","—")</f>
        <v>3.5 yrs remaining</v>
      </c>
      <c r="E11" s="276"/>
      <c r="F11" s="276"/>
      <c r="G11" s="276"/>
      <c r="H11" s="276"/>
      <c r="I11" s="276"/>
      <c r="J11" s="276"/>
      <c r="K11" s="276"/>
      <c r="L11" s="277" t="str">
        <f ca="1">IFERROR(TEXT(INDEX('Input Data'!V:V,MATCH("12.02",'Input Data'!C:C,0)),"0.0")&amp;" yrs remaining","—")</f>
        <v>4.5 yrs remaining</v>
      </c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  <c r="AA11" s="277"/>
      <c r="AB11" s="277"/>
      <c r="AC11" s="6"/>
      <c r="AD11" s="6"/>
    </row>
    <row r="12" spans="1:30" ht="3.75" customHeight="1" x14ac:dyDescent="0.35">
      <c r="A12" s="6"/>
      <c r="B12" s="272"/>
      <c r="C12" s="272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  <c r="AA12" s="277"/>
      <c r="AB12" s="277"/>
      <c r="AC12" s="6"/>
      <c r="AD12" s="6"/>
    </row>
    <row r="13" spans="1:30" ht="3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8" customHeight="1" x14ac:dyDescent="0.35">
      <c r="A14" s="6"/>
      <c r="B14" s="272" t="s">
        <v>413</v>
      </c>
      <c r="C14" s="273">
        <v>772</v>
      </c>
      <c r="D14" s="280" t="str">
        <f>IFERROR(INDEX('Input Data'!D:D,MATCH("11.01",'Input Data'!C:C,0)),"—")</f>
        <v>VACANT</v>
      </c>
      <c r="E14" s="280"/>
      <c r="F14" s="280"/>
      <c r="G14" s="280"/>
      <c r="H14" s="280"/>
      <c r="I14" s="280"/>
      <c r="J14" s="280"/>
      <c r="K14" s="280"/>
      <c r="L14" s="281" t="str">
        <f>IFERROR(INDEX('Input Data'!D:D,MATCH("11.02",'Input Data'!C:C,0)),"—")</f>
        <v>Haskoning Australia Pty Ltd</v>
      </c>
      <c r="M14" s="281"/>
      <c r="N14" s="281"/>
      <c r="O14" s="281"/>
      <c r="P14" s="281"/>
      <c r="Q14" s="281"/>
      <c r="R14" s="281"/>
      <c r="S14" s="281"/>
      <c r="T14" s="281"/>
      <c r="U14" s="281"/>
      <c r="V14" s="281"/>
      <c r="W14" s="281"/>
      <c r="X14" s="281"/>
      <c r="Y14" s="281"/>
      <c r="Z14" s="281"/>
      <c r="AA14" s="281"/>
      <c r="AB14" s="281"/>
      <c r="AC14" s="6"/>
      <c r="AD14" s="6"/>
    </row>
    <row r="15" spans="1:30" ht="13.5" customHeight="1" x14ac:dyDescent="0.35">
      <c r="A15" s="6"/>
      <c r="B15" s="272"/>
      <c r="C15" s="272"/>
      <c r="D15" s="282" t="str">
        <f>IFERROR("11.01 — "&amp;INDEX('Input Data'!B:B,MATCH("11.01",'Input Data'!C:C,0)),"—")</f>
        <v>11.01 — L11</v>
      </c>
      <c r="E15" s="282"/>
      <c r="F15" s="282"/>
      <c r="G15" s="282"/>
      <c r="H15" s="282"/>
      <c r="I15" s="282"/>
      <c r="J15" s="282"/>
      <c r="K15" s="282"/>
      <c r="L15" s="283" t="str">
        <f>IFERROR("11.02 — "&amp;INDEX('Input Data'!B:B,MATCH("11.02",'Input Data'!C:C,0)),"—")</f>
        <v>11.02 — L11</v>
      </c>
      <c r="M15" s="283"/>
      <c r="N15" s="283"/>
      <c r="O15" s="283"/>
      <c r="P15" s="283"/>
      <c r="Q15" s="283"/>
      <c r="R15" s="283"/>
      <c r="S15" s="283"/>
      <c r="T15" s="283"/>
      <c r="U15" s="283"/>
      <c r="V15" s="283"/>
      <c r="W15" s="283"/>
      <c r="X15" s="283"/>
      <c r="Y15" s="283"/>
      <c r="Z15" s="283"/>
      <c r="AA15" s="283"/>
      <c r="AB15" s="283"/>
      <c r="AC15" s="6"/>
      <c r="AD15" s="6"/>
    </row>
    <row r="16" spans="1:30" ht="13.5" customHeight="1" x14ac:dyDescent="0.35">
      <c r="A16" s="6"/>
      <c r="B16" s="272"/>
      <c r="C16" s="272"/>
      <c r="D16" s="282" t="str">
        <f>IFERROR(TEXT(INDEX('Input Data'!F:F,MATCH("11.01",'Input Data'!C:C,0)),"#,##0.0")&amp;" sqm","—")</f>
        <v>236.0 sqm</v>
      </c>
      <c r="E16" s="282"/>
      <c r="F16" s="282"/>
      <c r="G16" s="282"/>
      <c r="H16" s="282"/>
      <c r="I16" s="282"/>
      <c r="J16" s="282"/>
      <c r="K16" s="282"/>
      <c r="L16" s="283" t="str">
        <f>IFERROR(TEXT(INDEX('Input Data'!F:F,MATCH("11.02",'Input Data'!C:C,0)),"#,##0.0")&amp;" sqm","—")</f>
        <v>536.0 sqm</v>
      </c>
      <c r="M16" s="283"/>
      <c r="N16" s="283"/>
      <c r="O16" s="283"/>
      <c r="P16" s="283"/>
      <c r="Q16" s="283"/>
      <c r="R16" s="283"/>
      <c r="S16" s="283"/>
      <c r="T16" s="283"/>
      <c r="U16" s="283"/>
      <c r="V16" s="283"/>
      <c r="W16" s="283"/>
      <c r="X16" s="283"/>
      <c r="Y16" s="283"/>
      <c r="Z16" s="283"/>
      <c r="AA16" s="283"/>
      <c r="AB16" s="283"/>
      <c r="AC16" s="6"/>
      <c r="AD16" s="6"/>
    </row>
    <row r="17" spans="1:30" ht="13.5" customHeight="1" x14ac:dyDescent="0.35">
      <c r="A17" s="6"/>
      <c r="B17" s="272"/>
      <c r="C17" s="272"/>
      <c r="D17" s="284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284"/>
      <c r="F17" s="284"/>
      <c r="G17" s="284"/>
      <c r="H17" s="284"/>
      <c r="I17" s="284"/>
      <c r="J17" s="284"/>
      <c r="K17" s="284"/>
      <c r="L17" s="285" t="str">
        <f>IFERROR("Face $"&amp;TEXT(INDEX('Input Data'!J:J,MATCH("11.02",'Input Data'!C:C,0)),"#,##0")&amp;" | Net $"&amp;TEXT(INDEX('Input Data'!Q:Q,MATCH("11.02",'Input Data'!C:C,0)),"#,##0 pa"),"—")</f>
        <v>Face $1,040 | Net $-113,632 pa</v>
      </c>
      <c r="M17" s="285"/>
      <c r="N17" s="285"/>
      <c r="O17" s="285"/>
      <c r="P17" s="285"/>
      <c r="Q17" s="285"/>
      <c r="R17" s="285"/>
      <c r="S17" s="285"/>
      <c r="T17" s="285"/>
      <c r="U17" s="285"/>
      <c r="V17" s="285"/>
      <c r="W17" s="285"/>
      <c r="X17" s="285"/>
      <c r="Y17" s="285"/>
      <c r="Z17" s="285"/>
      <c r="AA17" s="285"/>
      <c r="AB17" s="285"/>
      <c r="AC17" s="6"/>
      <c r="AD17" s="6"/>
    </row>
    <row r="18" spans="1:30" ht="13.5" customHeight="1" x14ac:dyDescent="0.35">
      <c r="A18" s="6"/>
      <c r="B18" s="272"/>
      <c r="C18" s="272"/>
      <c r="D18" s="284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284"/>
      <c r="F18" s="284"/>
      <c r="G18" s="284"/>
      <c r="H18" s="284"/>
      <c r="I18" s="284"/>
      <c r="J18" s="284"/>
      <c r="K18" s="284"/>
      <c r="L18" s="285" t="str">
        <f>IFERROR("Outg $"&amp;TEXT(INDEX('Input Data'!M:M,MATCH("11.02",'Input Data'!C:C,0)),"#,##0")&amp;" | Rev: "&amp;INDEX('Input Data'!S:S,MATCH("11.02",'Input Data'!C:C,0)),"—")</f>
        <v>Outg $0 | Rev: FIXED 3.5%</v>
      </c>
      <c r="M18" s="285"/>
      <c r="N18" s="285"/>
      <c r="O18" s="285"/>
      <c r="P18" s="285"/>
      <c r="Q18" s="285"/>
      <c r="R18" s="285"/>
      <c r="S18" s="285"/>
      <c r="T18" s="285"/>
      <c r="U18" s="285"/>
      <c r="V18" s="285"/>
      <c r="W18" s="285"/>
      <c r="X18" s="285"/>
      <c r="Y18" s="285"/>
      <c r="Z18" s="285"/>
      <c r="AA18" s="285"/>
      <c r="AB18" s="285"/>
      <c r="AC18" s="6"/>
      <c r="AD18" s="6"/>
    </row>
    <row r="19" spans="1:30" ht="13.5" customHeight="1" x14ac:dyDescent="0.35">
      <c r="A19" s="6"/>
      <c r="B19" s="272"/>
      <c r="C19" s="272"/>
      <c r="D19" s="282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282"/>
      <c r="F19" s="282"/>
      <c r="G19" s="282"/>
      <c r="H19" s="282"/>
      <c r="I19" s="282"/>
      <c r="J19" s="282"/>
      <c r="K19" s="282"/>
      <c r="L19" s="283" t="str">
        <f ca="1">IFERROR("Exp: "&amp;TEXT(INDEX('Input Data'!H:H,MATCH("11.02",'Input Data'!C:C,0)),"MMM-YY")&amp;" ("&amp;TEXT(INDEX('Input Data'!V:V,MATCH("11.02",'Input Data'!C:C,0)),"0.0")&amp;" yrs)","—")</f>
        <v>Exp: Sep-35 (9.3 yrs)</v>
      </c>
      <c r="M19" s="283"/>
      <c r="N19" s="283"/>
      <c r="O19" s="283"/>
      <c r="P19" s="283"/>
      <c r="Q19" s="283"/>
      <c r="R19" s="283"/>
      <c r="S19" s="283"/>
      <c r="T19" s="283"/>
      <c r="U19" s="283"/>
      <c r="V19" s="283"/>
      <c r="W19" s="283"/>
      <c r="X19" s="283"/>
      <c r="Y19" s="283"/>
      <c r="Z19" s="283"/>
      <c r="AA19" s="283"/>
      <c r="AB19" s="283"/>
      <c r="AC19" s="6"/>
      <c r="AD19" s="6"/>
    </row>
    <row r="20" spans="1:30" ht="13.5" customHeight="1" x14ac:dyDescent="0.35">
      <c r="A20" s="6"/>
      <c r="B20" s="272"/>
      <c r="C20" s="272"/>
      <c r="D20" s="286" t="str">
        <f>IFERROR(IF(INDEX('Input Data'!D:D,MATCH("11.01",'Input Data'!C:C,0))="VACANT","",TEXT(INDEX('Input Data'!V:V,MATCH("11.01",'Input Data'!C:C,0)),"0.0")&amp;" yrs remaining"),"—")</f>
        <v/>
      </c>
      <c r="E20" s="286"/>
      <c r="F20" s="286"/>
      <c r="G20" s="286"/>
      <c r="H20" s="286"/>
      <c r="I20" s="286"/>
      <c r="J20" s="286"/>
      <c r="K20" s="286"/>
      <c r="L20" s="283" t="str">
        <f ca="1">IFERROR(TEXT(INDEX('Input Data'!V:V,MATCH("11.02",'Input Data'!C:C,0)),"0.0")&amp;" yrs remaining","—")</f>
        <v>9.3 yrs remaining</v>
      </c>
      <c r="M20" s="283"/>
      <c r="N20" s="283"/>
      <c r="O20" s="283"/>
      <c r="P20" s="283"/>
      <c r="Q20" s="283"/>
      <c r="R20" s="283"/>
      <c r="S20" s="283"/>
      <c r="T20" s="283"/>
      <c r="U20" s="283"/>
      <c r="V20" s="283"/>
      <c r="W20" s="283"/>
      <c r="X20" s="283"/>
      <c r="Y20" s="283"/>
      <c r="Z20" s="283"/>
      <c r="AA20" s="283"/>
      <c r="AB20" s="283"/>
      <c r="AC20" s="6"/>
      <c r="AD20" s="6"/>
    </row>
    <row r="21" spans="1:30" ht="3.75" customHeight="1" x14ac:dyDescent="0.35">
      <c r="A21" s="6"/>
      <c r="B21" s="272"/>
      <c r="C21" s="272"/>
      <c r="D21" s="282"/>
      <c r="E21" s="282"/>
      <c r="F21" s="282"/>
      <c r="G21" s="282"/>
      <c r="H21" s="282"/>
      <c r="I21" s="282"/>
      <c r="J21" s="282"/>
      <c r="K21" s="282"/>
      <c r="L21" s="282"/>
      <c r="M21" s="282"/>
      <c r="N21" s="282"/>
      <c r="O21" s="282"/>
      <c r="P21" s="282"/>
      <c r="Q21" s="282"/>
      <c r="R21" s="282"/>
      <c r="S21" s="282"/>
      <c r="T21" s="282"/>
      <c r="U21" s="282"/>
      <c r="V21" s="282"/>
      <c r="W21" s="282"/>
      <c r="X21" s="282"/>
      <c r="Y21" s="282"/>
      <c r="Z21" s="282"/>
      <c r="AA21" s="282"/>
      <c r="AB21" s="282"/>
      <c r="AC21" s="6"/>
      <c r="AD21" s="6"/>
    </row>
    <row r="22" spans="1:30" ht="3" customHeigh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8" customHeight="1" x14ac:dyDescent="0.35">
      <c r="A23" s="6"/>
      <c r="B23" s="272" t="s">
        <v>414</v>
      </c>
      <c r="C23" s="273">
        <v>787</v>
      </c>
      <c r="D23" s="280" t="s">
        <v>212</v>
      </c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 t="s">
        <v>212</v>
      </c>
      <c r="S23" s="280"/>
      <c r="T23" s="280"/>
      <c r="U23" s="280"/>
      <c r="V23" s="280"/>
      <c r="W23" s="280"/>
      <c r="X23" s="280"/>
      <c r="Y23" s="280"/>
      <c r="Z23" s="280"/>
      <c r="AA23" s="280"/>
      <c r="AB23" s="280"/>
      <c r="AC23" s="6"/>
      <c r="AD23" s="6"/>
    </row>
    <row r="24" spans="1:30" ht="13.5" customHeight="1" x14ac:dyDescent="0.35">
      <c r="A24" s="6"/>
      <c r="B24" s="272"/>
      <c r="C24" s="272"/>
      <c r="D24" s="282" t="s">
        <v>415</v>
      </c>
      <c r="E24" s="282"/>
      <c r="F24" s="282"/>
      <c r="G24" s="282"/>
      <c r="H24" s="282"/>
      <c r="I24" s="282"/>
      <c r="J24" s="282"/>
      <c r="K24" s="282"/>
      <c r="L24" s="282"/>
      <c r="M24" s="282"/>
      <c r="N24" s="282"/>
      <c r="O24" s="282"/>
      <c r="P24" s="282"/>
      <c r="Q24" s="282"/>
      <c r="R24" s="282" t="s">
        <v>416</v>
      </c>
      <c r="S24" s="282"/>
      <c r="T24" s="282"/>
      <c r="U24" s="282"/>
      <c r="V24" s="282"/>
      <c r="W24" s="282"/>
      <c r="X24" s="282"/>
      <c r="Y24" s="282"/>
      <c r="Z24" s="282"/>
      <c r="AA24" s="282"/>
      <c r="AB24" s="282"/>
      <c r="AC24" s="6"/>
      <c r="AD24" s="6"/>
    </row>
    <row r="25" spans="1:30" ht="13.5" customHeight="1" x14ac:dyDescent="0.35">
      <c r="A25" s="6"/>
      <c r="B25" s="272"/>
      <c r="C25" s="272"/>
      <c r="D25" s="282"/>
      <c r="E25" s="282"/>
      <c r="F25" s="282"/>
      <c r="G25" s="282"/>
      <c r="H25" s="282"/>
      <c r="I25" s="282"/>
      <c r="J25" s="282"/>
      <c r="K25" s="282"/>
      <c r="L25" s="282"/>
      <c r="M25" s="282"/>
      <c r="N25" s="282"/>
      <c r="O25" s="282"/>
      <c r="P25" s="282"/>
      <c r="Q25" s="282"/>
      <c r="R25" s="282"/>
      <c r="S25" s="282"/>
      <c r="T25" s="282"/>
      <c r="U25" s="282"/>
      <c r="V25" s="282"/>
      <c r="W25" s="282"/>
      <c r="X25" s="282"/>
      <c r="Y25" s="282"/>
      <c r="Z25" s="282"/>
      <c r="AA25" s="282"/>
      <c r="AB25" s="282"/>
      <c r="AC25" s="6"/>
      <c r="AD25" s="6"/>
    </row>
    <row r="26" spans="1:30" ht="13.5" customHeight="1" x14ac:dyDescent="0.35">
      <c r="A26" s="6"/>
      <c r="B26" s="272"/>
      <c r="C26" s="272"/>
      <c r="D26" s="284"/>
      <c r="E26" s="284"/>
      <c r="F26" s="284"/>
      <c r="G26" s="284"/>
      <c r="H26" s="284"/>
      <c r="I26" s="284"/>
      <c r="J26" s="284"/>
      <c r="K26" s="284"/>
      <c r="L26" s="284"/>
      <c r="M26" s="284"/>
      <c r="N26" s="284"/>
      <c r="O26" s="284"/>
      <c r="P26" s="284"/>
      <c r="Q26" s="284"/>
      <c r="R26" s="284"/>
      <c r="S26" s="284"/>
      <c r="T26" s="284"/>
      <c r="U26" s="284"/>
      <c r="V26" s="284"/>
      <c r="W26" s="284"/>
      <c r="X26" s="284"/>
      <c r="Y26" s="284"/>
      <c r="Z26" s="284"/>
      <c r="AA26" s="284"/>
      <c r="AB26" s="284"/>
      <c r="AC26" s="6"/>
      <c r="AD26" s="6"/>
    </row>
    <row r="27" spans="1:30" ht="13.5" customHeight="1" x14ac:dyDescent="0.35">
      <c r="A27" s="6"/>
      <c r="B27" s="272"/>
      <c r="C27" s="272"/>
      <c r="D27" s="284"/>
      <c r="E27" s="284"/>
      <c r="F27" s="284"/>
      <c r="G27" s="284"/>
      <c r="H27" s="284"/>
      <c r="I27" s="284"/>
      <c r="J27" s="284"/>
      <c r="K27" s="284"/>
      <c r="L27" s="284"/>
      <c r="M27" s="284"/>
      <c r="N27" s="284"/>
      <c r="O27" s="284"/>
      <c r="P27" s="284"/>
      <c r="Q27" s="284"/>
      <c r="R27" s="284"/>
      <c r="S27" s="284"/>
      <c r="T27" s="284"/>
      <c r="U27" s="284"/>
      <c r="V27" s="284"/>
      <c r="W27" s="284"/>
      <c r="X27" s="284"/>
      <c r="Y27" s="284"/>
      <c r="Z27" s="284"/>
      <c r="AA27" s="284"/>
      <c r="AB27" s="284"/>
      <c r="AC27" s="6"/>
      <c r="AD27" s="6"/>
    </row>
    <row r="28" spans="1:30" ht="13.5" customHeight="1" x14ac:dyDescent="0.35">
      <c r="A28" s="6"/>
      <c r="B28" s="272"/>
      <c r="C28" s="272"/>
      <c r="D28" s="282"/>
      <c r="E28" s="282"/>
      <c r="F28" s="282"/>
      <c r="G28" s="282"/>
      <c r="H28" s="282"/>
      <c r="I28" s="282"/>
      <c r="J28" s="282"/>
      <c r="K28" s="282"/>
      <c r="L28" s="282"/>
      <c r="M28" s="282"/>
      <c r="N28" s="282"/>
      <c r="O28" s="282"/>
      <c r="P28" s="282"/>
      <c r="Q28" s="282"/>
      <c r="R28" s="282"/>
      <c r="S28" s="282"/>
      <c r="T28" s="282"/>
      <c r="U28" s="282"/>
      <c r="V28" s="282"/>
      <c r="W28" s="282"/>
      <c r="X28" s="282"/>
      <c r="Y28" s="282"/>
      <c r="Z28" s="282"/>
      <c r="AA28" s="282"/>
      <c r="AB28" s="282"/>
      <c r="AC28" s="6"/>
      <c r="AD28" s="6"/>
    </row>
    <row r="29" spans="1:30" ht="13.5" customHeight="1" x14ac:dyDescent="0.35">
      <c r="A29" s="6"/>
      <c r="B29" s="272"/>
      <c r="C29" s="272"/>
      <c r="D29" s="286" t="s">
        <v>417</v>
      </c>
      <c r="E29" s="286"/>
      <c r="F29" s="286"/>
      <c r="G29" s="286"/>
      <c r="H29" s="286"/>
      <c r="I29" s="286"/>
      <c r="J29" s="286"/>
      <c r="K29" s="286"/>
      <c r="L29" s="286"/>
      <c r="M29" s="286"/>
      <c r="N29" s="286"/>
      <c r="O29" s="286"/>
      <c r="P29" s="286"/>
      <c r="Q29" s="286"/>
      <c r="R29" s="286" t="s">
        <v>417</v>
      </c>
      <c r="S29" s="286"/>
      <c r="T29" s="286"/>
      <c r="U29" s="286"/>
      <c r="V29" s="286"/>
      <c r="W29" s="286"/>
      <c r="X29" s="286"/>
      <c r="Y29" s="286"/>
      <c r="Z29" s="286"/>
      <c r="AA29" s="286"/>
      <c r="AB29" s="286"/>
      <c r="AC29" s="6"/>
      <c r="AD29" s="6"/>
    </row>
    <row r="30" spans="1:30" ht="3.75" customHeight="1" x14ac:dyDescent="0.35">
      <c r="A30" s="6"/>
      <c r="B30" s="272"/>
      <c r="C30" s="272"/>
      <c r="D30" s="282"/>
      <c r="E30" s="282"/>
      <c r="F30" s="282"/>
      <c r="G30" s="282"/>
      <c r="H30" s="282"/>
      <c r="I30" s="282"/>
      <c r="J30" s="282"/>
      <c r="K30" s="282"/>
      <c r="L30" s="282"/>
      <c r="M30" s="282"/>
      <c r="N30" s="282"/>
      <c r="O30" s="282"/>
      <c r="P30" s="282"/>
      <c r="Q30" s="282"/>
      <c r="R30" s="282"/>
      <c r="S30" s="282"/>
      <c r="T30" s="282"/>
      <c r="U30" s="282"/>
      <c r="V30" s="282"/>
      <c r="W30" s="282"/>
      <c r="X30" s="282"/>
      <c r="Y30" s="282"/>
      <c r="Z30" s="282"/>
      <c r="AA30" s="282"/>
      <c r="AB30" s="282"/>
      <c r="AC30" s="6"/>
      <c r="AD30" s="6"/>
    </row>
    <row r="31" spans="1:30" ht="3" customHeight="1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8" customHeight="1" x14ac:dyDescent="0.35">
      <c r="A32" s="6"/>
      <c r="B32" s="272" t="s">
        <v>418</v>
      </c>
      <c r="C32" s="273">
        <v>797.8</v>
      </c>
      <c r="D32" s="287" t="str">
        <f>IFERROR(INDEX('Input Data'!D:D,MATCH("9.01",'Input Data'!C:C,0)),"—")</f>
        <v>Pitt &amp; Sherry (Operations) Pty Ltd</v>
      </c>
      <c r="E32" s="287"/>
      <c r="F32" s="287"/>
      <c r="G32" s="287"/>
      <c r="H32" s="287"/>
      <c r="I32" s="287"/>
      <c r="J32" s="287"/>
      <c r="K32" s="287"/>
      <c r="L32" s="287"/>
      <c r="M32" s="287"/>
      <c r="N32" s="287"/>
      <c r="O32" s="287"/>
      <c r="P32" s="287"/>
      <c r="Q32" s="287"/>
      <c r="R32" s="275" t="str">
        <f>IFERROR(INDEX('Input Data'!D:D,MATCH("9.02",'Input Data'!C:C,0)),"—")</f>
        <v>Smile Partners Australia</v>
      </c>
      <c r="S32" s="275"/>
      <c r="T32" s="275"/>
      <c r="U32" s="275"/>
      <c r="V32" s="275"/>
      <c r="W32" s="275"/>
      <c r="X32" s="275"/>
      <c r="Y32" s="275"/>
      <c r="Z32" s="275"/>
      <c r="AA32" s="275"/>
      <c r="AB32" s="275"/>
      <c r="AC32" s="6"/>
      <c r="AD32" s="6"/>
    </row>
    <row r="33" spans="1:30" ht="13.5" customHeight="1" x14ac:dyDescent="0.35">
      <c r="A33" s="6"/>
      <c r="B33" s="272"/>
      <c r="C33" s="272"/>
      <c r="D33" s="288" t="str">
        <f>IFERROR("9.01 — "&amp;INDEX('Input Data'!B:B,MATCH("9.01",'Input Data'!C:C,0)),"—")</f>
        <v>9.01 — L09</v>
      </c>
      <c r="E33" s="288"/>
      <c r="F33" s="288"/>
      <c r="G33" s="288"/>
      <c r="H33" s="288"/>
      <c r="I33" s="288"/>
      <c r="J33" s="288"/>
      <c r="K33" s="288"/>
      <c r="L33" s="288"/>
      <c r="M33" s="288"/>
      <c r="N33" s="288"/>
      <c r="O33" s="288"/>
      <c r="P33" s="288"/>
      <c r="Q33" s="288"/>
      <c r="R33" s="277" t="str">
        <f>IFERROR("9.02 — "&amp;INDEX('Input Data'!B:B,MATCH("9.02",'Input Data'!C:C,0)),"—")</f>
        <v>9.02 — L09</v>
      </c>
      <c r="S33" s="277"/>
      <c r="T33" s="277"/>
      <c r="U33" s="277"/>
      <c r="V33" s="277"/>
      <c r="W33" s="277"/>
      <c r="X33" s="277"/>
      <c r="Y33" s="277"/>
      <c r="Z33" s="277"/>
      <c r="AA33" s="277"/>
      <c r="AB33" s="277"/>
      <c r="AC33" s="6"/>
      <c r="AD33" s="6"/>
    </row>
    <row r="34" spans="1:30" ht="13.5" customHeight="1" x14ac:dyDescent="0.35">
      <c r="A34" s="6"/>
      <c r="B34" s="272"/>
      <c r="C34" s="272"/>
      <c r="D34" s="288" t="str">
        <f>IFERROR(TEXT(INDEX('Input Data'!F:F,MATCH("9.01",'Input Data'!C:C,0)),"#,##0.0")&amp;" sqm","—")</f>
        <v>453.3 sqm</v>
      </c>
      <c r="E34" s="288"/>
      <c r="F34" s="288"/>
      <c r="G34" s="288"/>
      <c r="H34" s="288"/>
      <c r="I34" s="288"/>
      <c r="J34" s="288"/>
      <c r="K34" s="288"/>
      <c r="L34" s="288"/>
      <c r="M34" s="288"/>
      <c r="N34" s="288"/>
      <c r="O34" s="288"/>
      <c r="P34" s="288"/>
      <c r="Q34" s="288"/>
      <c r="R34" s="277" t="str">
        <f>IFERROR(TEXT(INDEX('Input Data'!F:F,MATCH("9.02",'Input Data'!C:C,0)),"#,##0.0")&amp;" sqm","—")</f>
        <v>251.0 sqm</v>
      </c>
      <c r="S34" s="277"/>
      <c r="T34" s="277"/>
      <c r="U34" s="277"/>
      <c r="V34" s="277"/>
      <c r="W34" s="277"/>
      <c r="X34" s="277"/>
      <c r="Y34" s="277"/>
      <c r="Z34" s="277"/>
      <c r="AA34" s="277"/>
      <c r="AB34" s="277"/>
      <c r="AC34" s="6"/>
      <c r="AD34" s="6"/>
    </row>
    <row r="35" spans="1:30" ht="13.5" customHeight="1" x14ac:dyDescent="0.35">
      <c r="A35" s="6"/>
      <c r="B35" s="272"/>
      <c r="C35" s="272"/>
      <c r="D35" s="289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89"/>
      <c r="F35" s="289"/>
      <c r="G35" s="289"/>
      <c r="H35" s="289"/>
      <c r="I35" s="289"/>
      <c r="J35" s="289"/>
      <c r="K35" s="289"/>
      <c r="L35" s="289"/>
      <c r="M35" s="289"/>
      <c r="N35" s="289"/>
      <c r="O35" s="289"/>
      <c r="P35" s="289"/>
      <c r="Q35" s="289"/>
      <c r="R35" s="279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279"/>
      <c r="T35" s="279"/>
      <c r="U35" s="279"/>
      <c r="V35" s="279"/>
      <c r="W35" s="279"/>
      <c r="X35" s="279"/>
      <c r="Y35" s="279"/>
      <c r="Z35" s="279"/>
      <c r="AA35" s="279"/>
      <c r="AB35" s="279"/>
      <c r="AC35" s="6"/>
      <c r="AD35" s="6"/>
    </row>
    <row r="36" spans="1:30" ht="13.5" customHeight="1" x14ac:dyDescent="0.35">
      <c r="A36" s="6"/>
      <c r="B36" s="272"/>
      <c r="C36" s="272"/>
      <c r="D36" s="289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89"/>
      <c r="F36" s="289"/>
      <c r="G36" s="289"/>
      <c r="H36" s="289"/>
      <c r="I36" s="289"/>
      <c r="J36" s="289"/>
      <c r="K36" s="289"/>
      <c r="L36" s="289"/>
      <c r="M36" s="289"/>
      <c r="N36" s="289"/>
      <c r="O36" s="289"/>
      <c r="P36" s="289"/>
      <c r="Q36" s="289"/>
      <c r="R36" s="279" t="str">
        <f>IFERROR("Outg $"&amp;TEXT(INDEX('Input Data'!M:M,MATCH("9.02",'Input Data'!C:C,0)),"#,##0")&amp;" | Rev: "&amp;INDEX('Input Data'!S:S,MATCH("9.02",'Input Data'!C:C,0)),"—")</f>
        <v>Outg $5,620 | Rev: FIXED 3.5%</v>
      </c>
      <c r="S36" s="279"/>
      <c r="T36" s="279"/>
      <c r="U36" s="279"/>
      <c r="V36" s="279"/>
      <c r="W36" s="279"/>
      <c r="X36" s="279"/>
      <c r="Y36" s="279"/>
      <c r="Z36" s="279"/>
      <c r="AA36" s="279"/>
      <c r="AB36" s="279"/>
      <c r="AC36" s="6"/>
      <c r="AD36" s="6"/>
    </row>
    <row r="37" spans="1:30" ht="13.5" customHeight="1" x14ac:dyDescent="0.35">
      <c r="A37" s="6"/>
      <c r="B37" s="272"/>
      <c r="C37" s="272"/>
      <c r="D37" s="288" t="str">
        <f ca="1">IFERROR("Exp: "&amp;TEXT(INDEX('Input Data'!H:H,MATCH("9.01",'Input Data'!C:C,0)),"MMM-YY")&amp;" ("&amp;TEXT(INDEX('Input Data'!V:V,MATCH("9.01",'Input Data'!C:C,0)),"0.0")&amp;" yrs)","—")</f>
        <v>Exp: Jul-27 (1.0 yrs)</v>
      </c>
      <c r="E37" s="288"/>
      <c r="F37" s="288"/>
      <c r="G37" s="288"/>
      <c r="H37" s="288"/>
      <c r="I37" s="288"/>
      <c r="J37" s="288"/>
      <c r="K37" s="288"/>
      <c r="L37" s="288"/>
      <c r="M37" s="288"/>
      <c r="N37" s="288"/>
      <c r="O37" s="288"/>
      <c r="P37" s="288"/>
      <c r="Q37" s="288"/>
      <c r="R37" s="277" t="str">
        <f ca="1">IFERROR("Exp: "&amp;TEXT(INDEX('Input Data'!H:H,MATCH("9.02",'Input Data'!C:C,0)),"MMM-YY")&amp;" ("&amp;TEXT(INDEX('Input Data'!V:V,MATCH("9.02",'Input Data'!C:C,0)),"0.0")&amp;" yrs)","—")</f>
        <v>Exp: Oct-30 (4.3 yrs)</v>
      </c>
      <c r="S37" s="277"/>
      <c r="T37" s="277"/>
      <c r="U37" s="277"/>
      <c r="V37" s="277"/>
      <c r="W37" s="277"/>
      <c r="X37" s="277"/>
      <c r="Y37" s="277"/>
      <c r="Z37" s="277"/>
      <c r="AA37" s="277"/>
      <c r="AB37" s="277"/>
      <c r="AC37" s="6"/>
      <c r="AD37" s="6"/>
    </row>
    <row r="38" spans="1:30" ht="13.5" customHeight="1" x14ac:dyDescent="0.35">
      <c r="A38" s="6"/>
      <c r="B38" s="272"/>
      <c r="C38" s="272"/>
      <c r="D38" s="288" t="str">
        <f ca="1">IFERROR(TEXT(INDEX('Input Data'!V:V,MATCH("9.01",'Input Data'!C:C,0)),"0.0")&amp;" yrs remaining","—")</f>
        <v>1.0 yrs remaining</v>
      </c>
      <c r="E38" s="288"/>
      <c r="F38" s="288"/>
      <c r="G38" s="288"/>
      <c r="H38" s="288"/>
      <c r="I38" s="288"/>
      <c r="J38" s="288"/>
      <c r="K38" s="288"/>
      <c r="L38" s="288"/>
      <c r="M38" s="288"/>
      <c r="N38" s="288"/>
      <c r="O38" s="288"/>
      <c r="P38" s="288"/>
      <c r="Q38" s="288"/>
      <c r="R38" s="277" t="str">
        <f ca="1">IFERROR(TEXT(INDEX('Input Data'!V:V,MATCH("9.02",'Input Data'!C:C,0)),"0.0")&amp;" yrs remaining","—")</f>
        <v>4.3 yrs remaining</v>
      </c>
      <c r="S38" s="277"/>
      <c r="T38" s="277"/>
      <c r="U38" s="277"/>
      <c r="V38" s="277"/>
      <c r="W38" s="277"/>
      <c r="X38" s="277"/>
      <c r="Y38" s="277"/>
      <c r="Z38" s="277"/>
      <c r="AA38" s="277"/>
      <c r="AB38" s="277"/>
      <c r="AC38" s="6"/>
      <c r="AD38" s="6"/>
    </row>
    <row r="39" spans="1:30" ht="3.75" customHeight="1" x14ac:dyDescent="0.35">
      <c r="A39" s="6"/>
      <c r="B39" s="272"/>
      <c r="C39" s="272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76"/>
      <c r="S39" s="276"/>
      <c r="T39" s="276"/>
      <c r="U39" s="276"/>
      <c r="V39" s="276"/>
      <c r="W39" s="276"/>
      <c r="X39" s="276"/>
      <c r="Y39" s="276"/>
      <c r="Z39" s="276"/>
      <c r="AA39" s="276"/>
      <c r="AB39" s="276"/>
      <c r="AC39" s="6"/>
      <c r="AD39" s="6"/>
    </row>
    <row r="40" spans="1:30" ht="3" customHeight="1" x14ac:dyDescent="0.3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8" customHeight="1" x14ac:dyDescent="0.35">
      <c r="A41" s="6"/>
      <c r="B41" s="272" t="s">
        <v>419</v>
      </c>
      <c r="C41" s="273">
        <v>803</v>
      </c>
      <c r="D41" s="290" t="str">
        <f>IFERROR(INDEX('Input Data'!D:D,MATCH("8.01",'Input Data'!C:C,0)),"—")</f>
        <v>Vanderlande Industries Australia Pty Ltd</v>
      </c>
      <c r="E41" s="290"/>
      <c r="F41" s="290"/>
      <c r="G41" s="290"/>
      <c r="H41" s="290"/>
      <c r="I41" s="290"/>
      <c r="J41" s="290"/>
      <c r="K41" s="290"/>
      <c r="L41" s="290"/>
      <c r="M41" s="290"/>
      <c r="N41" s="290"/>
      <c r="O41" s="290"/>
      <c r="P41" s="290"/>
      <c r="Q41" s="290"/>
      <c r="R41" s="290"/>
      <c r="S41" s="290"/>
      <c r="T41" s="290"/>
      <c r="U41" s="290"/>
      <c r="V41" s="290"/>
      <c r="W41" s="290"/>
      <c r="X41" s="275" t="str">
        <f>IFERROR(INDEX('Input Data'!D:D,MATCH("8.03",'Input Data'!C:C,0)),"—")</f>
        <v>Can Too Foundation Limited</v>
      </c>
      <c r="Y41" s="275"/>
      <c r="Z41" s="275"/>
      <c r="AA41" s="275"/>
      <c r="AB41" s="275"/>
      <c r="AC41" s="6"/>
      <c r="AD41" s="6"/>
    </row>
    <row r="42" spans="1:30" ht="13.5" customHeight="1" x14ac:dyDescent="0.35">
      <c r="A42" s="6"/>
      <c r="B42" s="272"/>
      <c r="C42" s="272"/>
      <c r="D42" s="291" t="str">
        <f>IFERROR("8.01 — "&amp;INDEX('Input Data'!B:B,MATCH("8.01",'Input Data'!C:C,0)),"—")</f>
        <v>8.01 — L08</v>
      </c>
      <c r="E42" s="291"/>
      <c r="F42" s="291"/>
      <c r="G42" s="291"/>
      <c r="H42" s="291"/>
      <c r="I42" s="291"/>
      <c r="J42" s="291"/>
      <c r="K42" s="291"/>
      <c r="L42" s="291"/>
      <c r="M42" s="291"/>
      <c r="N42" s="291"/>
      <c r="O42" s="291"/>
      <c r="P42" s="291"/>
      <c r="Q42" s="291"/>
      <c r="R42" s="291"/>
      <c r="S42" s="291"/>
      <c r="T42" s="291"/>
      <c r="U42" s="291"/>
      <c r="V42" s="291"/>
      <c r="W42" s="291"/>
      <c r="X42" s="277" t="str">
        <f>IFERROR("8.03 — "&amp;INDEX('Input Data'!B:B,MATCH("8.03",'Input Data'!C:C,0)),"—")</f>
        <v>8.03 — L08</v>
      </c>
      <c r="Y42" s="277"/>
      <c r="Z42" s="277"/>
      <c r="AA42" s="277"/>
      <c r="AB42" s="277"/>
      <c r="AC42" s="6"/>
      <c r="AD42" s="6"/>
    </row>
    <row r="43" spans="1:30" ht="13.5" customHeight="1" x14ac:dyDescent="0.35">
      <c r="A43" s="6"/>
      <c r="B43" s="272"/>
      <c r="C43" s="272"/>
      <c r="D43" s="291" t="str">
        <f>IFERROR(TEXT(INDEX('Input Data'!F:F,MATCH("8.01",'Input Data'!C:C,0)),"#,##0.0")&amp;" sqm","—")</f>
        <v>686.7 sqm</v>
      </c>
      <c r="E43" s="291"/>
      <c r="F43" s="291"/>
      <c r="G43" s="291"/>
      <c r="H43" s="291"/>
      <c r="I43" s="291"/>
      <c r="J43" s="291"/>
      <c r="K43" s="291"/>
      <c r="L43" s="291"/>
      <c r="M43" s="291"/>
      <c r="N43" s="291"/>
      <c r="O43" s="291"/>
      <c r="P43" s="291"/>
      <c r="Q43" s="291"/>
      <c r="R43" s="291"/>
      <c r="S43" s="291"/>
      <c r="T43" s="291"/>
      <c r="U43" s="291"/>
      <c r="V43" s="291"/>
      <c r="W43" s="291"/>
      <c r="X43" s="277" t="str">
        <f>IFERROR(TEXT(INDEX('Input Data'!F:F,MATCH("8.03",'Input Data'!C:C,0)),"#,##0.0")&amp;" sqm","—")</f>
        <v>116.3 sqm</v>
      </c>
      <c r="Y43" s="277"/>
      <c r="Z43" s="277"/>
      <c r="AA43" s="277"/>
      <c r="AB43" s="277"/>
      <c r="AC43" s="6"/>
      <c r="AD43" s="6"/>
    </row>
    <row r="44" spans="1:30" ht="13.5" customHeight="1" x14ac:dyDescent="0.35">
      <c r="A44" s="6"/>
      <c r="B44" s="272"/>
      <c r="C44" s="272"/>
      <c r="D44" s="292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92"/>
      <c r="F44" s="292"/>
      <c r="G44" s="292"/>
      <c r="H44" s="292"/>
      <c r="I44" s="292"/>
      <c r="J44" s="292"/>
      <c r="K44" s="292"/>
      <c r="L44" s="292"/>
      <c r="M44" s="292"/>
      <c r="N44" s="292"/>
      <c r="O44" s="292"/>
      <c r="P44" s="292"/>
      <c r="Q44" s="292"/>
      <c r="R44" s="292"/>
      <c r="S44" s="292"/>
      <c r="T44" s="292"/>
      <c r="U44" s="292"/>
      <c r="V44" s="292"/>
      <c r="W44" s="292"/>
      <c r="X44" s="279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279"/>
      <c r="Z44" s="279"/>
      <c r="AA44" s="279"/>
      <c r="AB44" s="279"/>
      <c r="AC44" s="6"/>
      <c r="AD44" s="6"/>
    </row>
    <row r="45" spans="1:30" ht="13.5" customHeight="1" x14ac:dyDescent="0.35">
      <c r="A45" s="6"/>
      <c r="B45" s="272"/>
      <c r="C45" s="272"/>
      <c r="D45" s="292" t="str">
        <f>IFERROR("Outg $"&amp;TEXT(INDEX('Input Data'!M:M,MATCH("8.01",'Input Data'!C:C,0)),"#,##0")&amp;" | Rev: "&amp;INDEX('Input Data'!S:S,MATCH("8.01",'Input Data'!C:C,0)),"—")</f>
        <v>Outg $66,218 | Rev: FIXED 4%</v>
      </c>
      <c r="E45" s="292"/>
      <c r="F45" s="292"/>
      <c r="G45" s="292"/>
      <c r="H45" s="292"/>
      <c r="I45" s="292"/>
      <c r="J45" s="292"/>
      <c r="K45" s="292"/>
      <c r="L45" s="292"/>
      <c r="M45" s="292"/>
      <c r="N45" s="292"/>
      <c r="O45" s="292"/>
      <c r="P45" s="292"/>
      <c r="Q45" s="292"/>
      <c r="R45" s="292"/>
      <c r="S45" s="292"/>
      <c r="T45" s="292"/>
      <c r="U45" s="292"/>
      <c r="V45" s="292"/>
      <c r="W45" s="292"/>
      <c r="X45" s="279" t="str">
        <f>IFERROR("Outg $"&amp;TEXT(INDEX('Input Data'!M:M,MATCH("8.03",'Input Data'!C:C,0)),"#,##0")&amp;" | Rev: "&amp;INDEX('Input Data'!S:S,MATCH("8.03",'Input Data'!C:C,0)),"—")</f>
        <v>Outg $2,597 | Rev: FIXED 3.75%</v>
      </c>
      <c r="Y45" s="279"/>
      <c r="Z45" s="279"/>
      <c r="AA45" s="279"/>
      <c r="AB45" s="279"/>
      <c r="AC45" s="6"/>
      <c r="AD45" s="6"/>
    </row>
    <row r="46" spans="1:30" ht="13.5" customHeight="1" x14ac:dyDescent="0.35">
      <c r="A46" s="6"/>
      <c r="B46" s="272"/>
      <c r="C46" s="272"/>
      <c r="D46" s="291" t="str">
        <f ca="1">IFERROR("Exp: "&amp;TEXT(INDEX('Input Data'!H:H,MATCH("8.01",'Input Data'!C:C,0)),"MMM-YY")&amp;" ("&amp;TEXT(INDEX('Input Data'!V:V,MATCH("8.01",'Input Data'!C:C,0)),"0.0")&amp;" yrs)","—")</f>
        <v>Exp: Jun-28 (2.0 yrs)</v>
      </c>
      <c r="E46" s="291"/>
      <c r="F46" s="291"/>
      <c r="G46" s="291"/>
      <c r="H46" s="291"/>
      <c r="I46" s="291"/>
      <c r="J46" s="291"/>
      <c r="K46" s="291"/>
      <c r="L46" s="291"/>
      <c r="M46" s="291"/>
      <c r="N46" s="291"/>
      <c r="O46" s="291"/>
      <c r="P46" s="291"/>
      <c r="Q46" s="291"/>
      <c r="R46" s="291"/>
      <c r="S46" s="291"/>
      <c r="T46" s="291"/>
      <c r="U46" s="291"/>
      <c r="V46" s="291"/>
      <c r="W46" s="291"/>
      <c r="X46" s="277" t="str">
        <f ca="1">IFERROR("Exp: "&amp;TEXT(INDEX('Input Data'!H:H,MATCH("8.03",'Input Data'!C:C,0)),"MMM-YY")&amp;" ("&amp;TEXT(INDEX('Input Data'!V:V,MATCH("8.03",'Input Data'!C:C,0)),"0.0")&amp;" yrs)","—")</f>
        <v>Exp: Oct-30 (4.3 yrs)</v>
      </c>
      <c r="Y46" s="277"/>
      <c r="Z46" s="277"/>
      <c r="AA46" s="277"/>
      <c r="AB46" s="277"/>
      <c r="AC46" s="6"/>
      <c r="AD46" s="6"/>
    </row>
    <row r="47" spans="1:30" ht="13.5" customHeight="1" x14ac:dyDescent="0.35">
      <c r="A47" s="6"/>
      <c r="B47" s="272"/>
      <c r="C47" s="272"/>
      <c r="D47" s="291" t="str">
        <f ca="1">IFERROR(TEXT(INDEX('Input Data'!V:V,MATCH("8.01",'Input Data'!C:C,0)),"0.0")&amp;" yrs remaining","—")</f>
        <v>2.0 yrs remaining</v>
      </c>
      <c r="E47" s="291"/>
      <c r="F47" s="291"/>
      <c r="G47" s="291"/>
      <c r="H47" s="291"/>
      <c r="I47" s="291"/>
      <c r="J47" s="291"/>
      <c r="K47" s="291"/>
      <c r="L47" s="291"/>
      <c r="M47" s="291"/>
      <c r="N47" s="291"/>
      <c r="O47" s="291"/>
      <c r="P47" s="291"/>
      <c r="Q47" s="291"/>
      <c r="R47" s="291"/>
      <c r="S47" s="291"/>
      <c r="T47" s="291"/>
      <c r="U47" s="291"/>
      <c r="V47" s="291"/>
      <c r="W47" s="291"/>
      <c r="X47" s="277" t="str">
        <f ca="1">IFERROR(TEXT(INDEX('Input Data'!V:V,MATCH("8.03",'Input Data'!C:C,0)),"0.0")&amp;" yrs remaining","—")</f>
        <v>4.3 yrs remaining</v>
      </c>
      <c r="Y47" s="277"/>
      <c r="Z47" s="277"/>
      <c r="AA47" s="277"/>
      <c r="AB47" s="277"/>
      <c r="AC47" s="6"/>
      <c r="AD47" s="6"/>
    </row>
    <row r="48" spans="1:30" ht="3.75" customHeight="1" x14ac:dyDescent="0.35">
      <c r="A48" s="6"/>
      <c r="B48" s="272"/>
      <c r="C48" s="272"/>
      <c r="D48" s="291"/>
      <c r="E48" s="291"/>
      <c r="F48" s="291"/>
      <c r="G48" s="291"/>
      <c r="H48" s="291"/>
      <c r="I48" s="291"/>
      <c r="J48" s="291"/>
      <c r="K48" s="291"/>
      <c r="L48" s="291"/>
      <c r="M48" s="291"/>
      <c r="N48" s="291"/>
      <c r="O48" s="291"/>
      <c r="P48" s="291"/>
      <c r="Q48" s="291"/>
      <c r="R48" s="291"/>
      <c r="S48" s="291"/>
      <c r="T48" s="291"/>
      <c r="U48" s="291"/>
      <c r="V48" s="291"/>
      <c r="W48" s="291"/>
      <c r="X48" s="277"/>
      <c r="Y48" s="277"/>
      <c r="Z48" s="277"/>
      <c r="AA48" s="277"/>
      <c r="AB48" s="277"/>
      <c r="AC48" s="6"/>
      <c r="AD48" s="6"/>
    </row>
    <row r="49" spans="1:30" ht="3" customHeight="1" x14ac:dyDescent="0.3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8" customHeight="1" x14ac:dyDescent="0.35">
      <c r="A50" s="6"/>
      <c r="B50" s="272" t="s">
        <v>420</v>
      </c>
      <c r="C50" s="273">
        <v>849.6</v>
      </c>
      <c r="D50" s="274" t="str">
        <f>IFERROR(INDEX('Input Data'!D:D,MATCH("7.01",'Input Data'!C:C,0)),"—")</f>
        <v>Sungrow Australia Group</v>
      </c>
      <c r="E50" s="274"/>
      <c r="F50" s="274"/>
      <c r="G50" s="274"/>
      <c r="H50" s="274"/>
      <c r="I50" s="274"/>
      <c r="J50" s="274"/>
      <c r="K50" s="274"/>
      <c r="L50" s="274"/>
      <c r="M50" s="274"/>
      <c r="N50" s="274"/>
      <c r="O50" s="274"/>
      <c r="P50" s="274"/>
      <c r="Q50" s="274"/>
      <c r="R50" s="274" t="str">
        <f>IFERROR(INDEX('Input Data'!D:D,MATCH("7.02",'Input Data'!C:C,0)),"—")</f>
        <v>Sungrow Australia Group</v>
      </c>
      <c r="S50" s="274"/>
      <c r="T50" s="274"/>
      <c r="U50" s="274"/>
      <c r="V50" s="274"/>
      <c r="W50" s="274"/>
      <c r="X50" s="274"/>
      <c r="Y50" s="274"/>
      <c r="Z50" s="274"/>
      <c r="AA50" s="274"/>
      <c r="AB50" s="274"/>
      <c r="AC50" s="6"/>
      <c r="AD50" s="6"/>
    </row>
    <row r="51" spans="1:30" ht="13.5" customHeight="1" x14ac:dyDescent="0.35">
      <c r="A51" s="6"/>
      <c r="B51" s="272"/>
      <c r="C51" s="272"/>
      <c r="D51" s="276" t="str">
        <f>IFERROR("7.01 — "&amp;INDEX('Input Data'!B:B,MATCH("7.01",'Input Data'!C:C,0)),"—")</f>
        <v>7.01 — L07</v>
      </c>
      <c r="E51" s="276"/>
      <c r="F51" s="276"/>
      <c r="G51" s="276"/>
      <c r="H51" s="276"/>
      <c r="I51" s="276"/>
      <c r="J51" s="276"/>
      <c r="K51" s="276"/>
      <c r="L51" s="276"/>
      <c r="M51" s="276"/>
      <c r="N51" s="276"/>
      <c r="O51" s="276"/>
      <c r="P51" s="276"/>
      <c r="Q51" s="276"/>
      <c r="R51" s="276" t="str">
        <f>IFERROR("7.02 — "&amp;INDEX('Input Data'!B:B,MATCH("7.02",'Input Data'!C:C,0)),"—")</f>
        <v>7.02 — L07</v>
      </c>
      <c r="S51" s="276"/>
      <c r="T51" s="276"/>
      <c r="U51" s="276"/>
      <c r="V51" s="276"/>
      <c r="W51" s="276"/>
      <c r="X51" s="276"/>
      <c r="Y51" s="276"/>
      <c r="Z51" s="276"/>
      <c r="AA51" s="276"/>
      <c r="AB51" s="276"/>
      <c r="AC51" s="6"/>
      <c r="AD51" s="6"/>
    </row>
    <row r="52" spans="1:30" ht="13.5" customHeight="1" x14ac:dyDescent="0.35">
      <c r="A52" s="6"/>
      <c r="B52" s="272"/>
      <c r="C52" s="272"/>
      <c r="D52" s="276" t="str">
        <f>IFERROR(TEXT(INDEX('Input Data'!F:F,MATCH("7.01",'Input Data'!C:C,0)),"#,##0.0")&amp;" sqm","—")</f>
        <v>484.1 sqm</v>
      </c>
      <c r="E52" s="276"/>
      <c r="F52" s="276"/>
      <c r="G52" s="276"/>
      <c r="H52" s="276"/>
      <c r="I52" s="276"/>
      <c r="J52" s="276"/>
      <c r="K52" s="276"/>
      <c r="L52" s="276"/>
      <c r="M52" s="276"/>
      <c r="N52" s="276"/>
      <c r="O52" s="276"/>
      <c r="P52" s="276"/>
      <c r="Q52" s="276"/>
      <c r="R52" s="276" t="str">
        <f>IFERROR(TEXT(INDEX('Input Data'!F:F,MATCH("7.02",'Input Data'!C:C,0)),"#,##0.0")&amp;" sqm","—")</f>
        <v>365.5 sqm</v>
      </c>
      <c r="S52" s="276"/>
      <c r="T52" s="276"/>
      <c r="U52" s="276"/>
      <c r="V52" s="276"/>
      <c r="W52" s="276"/>
      <c r="X52" s="276"/>
      <c r="Y52" s="276"/>
      <c r="Z52" s="276"/>
      <c r="AA52" s="276"/>
      <c r="AB52" s="276"/>
      <c r="AC52" s="6"/>
      <c r="AD52" s="6"/>
    </row>
    <row r="53" spans="1:30" ht="13.5" customHeight="1" x14ac:dyDescent="0.35">
      <c r="A53" s="6"/>
      <c r="B53" s="272"/>
      <c r="C53" s="272"/>
      <c r="D53" s="278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278"/>
      <c r="F53" s="278"/>
      <c r="G53" s="278"/>
      <c r="H53" s="278"/>
      <c r="I53" s="278"/>
      <c r="J53" s="278"/>
      <c r="K53" s="278"/>
      <c r="L53" s="278"/>
      <c r="M53" s="278"/>
      <c r="N53" s="278"/>
      <c r="O53" s="278"/>
      <c r="P53" s="278"/>
      <c r="Q53" s="278"/>
      <c r="R53" s="278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278"/>
      <c r="T53" s="278"/>
      <c r="U53" s="278"/>
      <c r="V53" s="278"/>
      <c r="W53" s="278"/>
      <c r="X53" s="278"/>
      <c r="Y53" s="278"/>
      <c r="Z53" s="278"/>
      <c r="AA53" s="278"/>
      <c r="AB53" s="278"/>
      <c r="AC53" s="6"/>
      <c r="AD53" s="6"/>
    </row>
    <row r="54" spans="1:30" ht="13.5" customHeight="1" x14ac:dyDescent="0.35">
      <c r="A54" s="6"/>
      <c r="B54" s="272"/>
      <c r="C54" s="272"/>
      <c r="D54" s="278" t="str">
        <f>IFERROR("Outg $"&amp;TEXT(INDEX('Input Data'!M:M,MATCH("7.01",'Input Data'!C:C,0)),"#,##0")&amp;" | Rev: "&amp;INDEX('Input Data'!S:S,MATCH("7.01",'Input Data'!C:C,0)),"—")</f>
        <v>Outg $42,635 | Rev: FIXED 3.75%</v>
      </c>
      <c r="E54" s="278"/>
      <c r="F54" s="278"/>
      <c r="G54" s="278"/>
      <c r="H54" s="278"/>
      <c r="I54" s="278"/>
      <c r="J54" s="278"/>
      <c r="K54" s="278"/>
      <c r="L54" s="278"/>
      <c r="M54" s="278"/>
      <c r="N54" s="278"/>
      <c r="O54" s="278"/>
      <c r="P54" s="278"/>
      <c r="Q54" s="278"/>
      <c r="R54" s="278" t="str">
        <f>IFERROR("Outg $"&amp;TEXT(INDEX('Input Data'!M:M,MATCH("7.02",'Input Data'!C:C,0)),"#,##0")&amp;" | Rev: "&amp;INDEX('Input Data'!S:S,MATCH("7.02",'Input Data'!C:C,0)),"—")</f>
        <v>Outg $0 | Rev: FIXED 3.75%</v>
      </c>
      <c r="S54" s="278"/>
      <c r="T54" s="278"/>
      <c r="U54" s="278"/>
      <c r="V54" s="278"/>
      <c r="W54" s="278"/>
      <c r="X54" s="278"/>
      <c r="Y54" s="278"/>
      <c r="Z54" s="278"/>
      <c r="AA54" s="278"/>
      <c r="AB54" s="278"/>
      <c r="AC54" s="6"/>
      <c r="AD54" s="6"/>
    </row>
    <row r="55" spans="1:30" ht="13.5" customHeight="1" x14ac:dyDescent="0.35">
      <c r="A55" s="6"/>
      <c r="B55" s="272"/>
      <c r="C55" s="272"/>
      <c r="D55" s="276" t="str">
        <f ca="1">IFERROR("Exp: "&amp;TEXT(INDEX('Input Data'!H:H,MATCH("7.01",'Input Data'!C:C,0)),"MMM-YY")&amp;" ("&amp;TEXT(INDEX('Input Data'!V:V,MATCH("7.01",'Input Data'!C:C,0)),"0.0")&amp;" yrs)","—")</f>
        <v>Exp: Sep-29 (3.2 yrs)</v>
      </c>
      <c r="E55" s="276"/>
      <c r="F55" s="276"/>
      <c r="G55" s="276"/>
      <c r="H55" s="276"/>
      <c r="I55" s="276"/>
      <c r="J55" s="276"/>
      <c r="K55" s="276"/>
      <c r="L55" s="276"/>
      <c r="M55" s="276"/>
      <c r="N55" s="276"/>
      <c r="O55" s="276"/>
      <c r="P55" s="276"/>
      <c r="Q55" s="276"/>
      <c r="R55" s="276" t="str">
        <f ca="1">IFERROR("Exp: "&amp;TEXT(INDEX('Input Data'!H:H,MATCH("7.02",'Input Data'!C:C,0)),"MMM-YY")&amp;" ("&amp;TEXT(INDEX('Input Data'!V:V,MATCH("7.02",'Input Data'!C:C,0)),"0.0")&amp;" yrs)","—")</f>
        <v>Exp: Sep-29 (3.2 yrs)</v>
      </c>
      <c r="S55" s="276"/>
      <c r="T55" s="276"/>
      <c r="U55" s="276"/>
      <c r="V55" s="276"/>
      <c r="W55" s="276"/>
      <c r="X55" s="276"/>
      <c r="Y55" s="276"/>
      <c r="Z55" s="276"/>
      <c r="AA55" s="276"/>
      <c r="AB55" s="276"/>
      <c r="AC55" s="6"/>
      <c r="AD55" s="6"/>
    </row>
    <row r="56" spans="1:30" ht="13.5" customHeight="1" x14ac:dyDescent="0.35">
      <c r="A56" s="6"/>
      <c r="B56" s="272"/>
      <c r="C56" s="272"/>
      <c r="D56" s="276" t="str">
        <f ca="1">IFERROR(TEXT(INDEX('Input Data'!V:V,MATCH("7.01",'Input Data'!C:C,0)),"0.0")&amp;" yrs remaining","—")</f>
        <v>3.2 yrs remaining</v>
      </c>
      <c r="E56" s="276"/>
      <c r="F56" s="276"/>
      <c r="G56" s="276"/>
      <c r="H56" s="276"/>
      <c r="I56" s="276"/>
      <c r="J56" s="276"/>
      <c r="K56" s="276"/>
      <c r="L56" s="276"/>
      <c r="M56" s="276"/>
      <c r="N56" s="276"/>
      <c r="O56" s="276"/>
      <c r="P56" s="276"/>
      <c r="Q56" s="276"/>
      <c r="R56" s="276" t="str">
        <f ca="1">IFERROR(TEXT(INDEX('Input Data'!V:V,MATCH("7.02",'Input Data'!C:C,0)),"0.0")&amp;" yrs remaining","—")</f>
        <v>3.2 yrs remaining</v>
      </c>
      <c r="S56" s="276"/>
      <c r="T56" s="276"/>
      <c r="U56" s="276"/>
      <c r="V56" s="276"/>
      <c r="W56" s="276"/>
      <c r="X56" s="276"/>
      <c r="Y56" s="276"/>
      <c r="Z56" s="276"/>
      <c r="AA56" s="276"/>
      <c r="AB56" s="276"/>
      <c r="AC56" s="6"/>
      <c r="AD56" s="6"/>
    </row>
    <row r="57" spans="1:30" ht="3.75" customHeight="1" x14ac:dyDescent="0.35">
      <c r="A57" s="6"/>
      <c r="B57" s="272"/>
      <c r="C57" s="272"/>
      <c r="D57" s="276"/>
      <c r="E57" s="276"/>
      <c r="F57" s="276"/>
      <c r="G57" s="276"/>
      <c r="H57" s="276"/>
      <c r="I57" s="276"/>
      <c r="J57" s="276"/>
      <c r="K57" s="276"/>
      <c r="L57" s="276"/>
      <c r="M57" s="276"/>
      <c r="N57" s="276"/>
      <c r="O57" s="276"/>
      <c r="P57" s="276"/>
      <c r="Q57" s="276"/>
      <c r="R57" s="276"/>
      <c r="S57" s="276"/>
      <c r="T57" s="276"/>
      <c r="U57" s="276"/>
      <c r="V57" s="276"/>
      <c r="W57" s="276"/>
      <c r="X57" s="276"/>
      <c r="Y57" s="276"/>
      <c r="Z57" s="276"/>
      <c r="AA57" s="276"/>
      <c r="AB57" s="276"/>
      <c r="AC57" s="6"/>
      <c r="AD57" s="6"/>
    </row>
    <row r="58" spans="1:30" ht="3" customHeight="1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8" customHeight="1" x14ac:dyDescent="0.35">
      <c r="A59" s="6"/>
      <c r="B59" s="272" t="s">
        <v>421</v>
      </c>
      <c r="C59" s="273">
        <v>1095.4000000000001</v>
      </c>
      <c r="D59" s="281" t="str">
        <f>IFERROR(INDEX('Input Data'!D:D,MATCH("6.01",'Input Data'!C:C,0)),"—")</f>
        <v>Caladas Constructions</v>
      </c>
      <c r="E59" s="281"/>
      <c r="F59" s="281"/>
      <c r="G59" s="281"/>
      <c r="H59" s="281"/>
      <c r="I59" s="274" t="str">
        <f>IFERROR(INDEX('Input Data'!D:D,MATCH("6.02",'Input Data'!C:C,0)),"—")</f>
        <v>Sungrow Australia Group</v>
      </c>
      <c r="J59" s="274"/>
      <c r="K59" s="274"/>
      <c r="L59" s="274"/>
      <c r="M59" s="274"/>
      <c r="N59" s="274"/>
      <c r="O59" s="274"/>
      <c r="P59" s="274"/>
      <c r="Q59" s="274"/>
      <c r="R59" s="287" t="str">
        <f>IFERROR(INDEX('Input Data'!D:D,MATCH("6.03",'Input Data'!C:C,0)),"—")</f>
        <v>Keeping Company Pty Ltd</v>
      </c>
      <c r="S59" s="287"/>
      <c r="T59" s="287"/>
      <c r="U59" s="287"/>
      <c r="V59" s="287"/>
      <c r="W59" s="281" t="str">
        <f>IFERROR(INDEX('Input Data'!D:D,MATCH("6.04",'Input Data'!C:C,0)),"—")</f>
        <v>Elekta Pty Limited</v>
      </c>
      <c r="X59" s="281"/>
      <c r="Y59" s="281"/>
      <c r="Z59" s="281"/>
      <c r="AA59" s="281"/>
      <c r="AB59" s="281"/>
      <c r="AC59" s="6"/>
      <c r="AD59" s="6"/>
    </row>
    <row r="60" spans="1:30" ht="13.5" customHeight="1" x14ac:dyDescent="0.35">
      <c r="A60" s="6"/>
      <c r="B60" s="272"/>
      <c r="C60" s="272"/>
      <c r="D60" s="283" t="str">
        <f>IFERROR("6.01 — "&amp;INDEX('Input Data'!B:B,MATCH("6.01",'Input Data'!C:C,0)),"—")</f>
        <v>6.01 — L06</v>
      </c>
      <c r="E60" s="283"/>
      <c r="F60" s="283"/>
      <c r="G60" s="283"/>
      <c r="H60" s="283"/>
      <c r="I60" s="276" t="str">
        <f>IFERROR("6.02 — "&amp;INDEX('Input Data'!B:B,MATCH("6.02",'Input Data'!C:C,0)),"—")</f>
        <v>6.02 — L06</v>
      </c>
      <c r="J60" s="276"/>
      <c r="K60" s="276"/>
      <c r="L60" s="276"/>
      <c r="M60" s="276"/>
      <c r="N60" s="276"/>
      <c r="O60" s="276"/>
      <c r="P60" s="276"/>
      <c r="Q60" s="276"/>
      <c r="R60" s="288" t="str">
        <f>IFERROR("6.03 — "&amp;INDEX('Input Data'!B:B,MATCH("6.03",'Input Data'!C:C,0)),"—")</f>
        <v>6.03 — L06</v>
      </c>
      <c r="S60" s="288"/>
      <c r="T60" s="288"/>
      <c r="U60" s="288"/>
      <c r="V60" s="288"/>
      <c r="W60" s="283" t="str">
        <f>IFERROR("6.04 — "&amp;INDEX('Input Data'!B:B,MATCH("6.04",'Input Data'!C:C,0)),"—")</f>
        <v>6.04 — L06</v>
      </c>
      <c r="X60" s="283"/>
      <c r="Y60" s="283"/>
      <c r="Z60" s="283"/>
      <c r="AA60" s="283"/>
      <c r="AB60" s="283"/>
      <c r="AC60" s="6"/>
      <c r="AD60" s="6"/>
    </row>
    <row r="61" spans="1:30" ht="13.5" customHeight="1" x14ac:dyDescent="0.35">
      <c r="A61" s="6"/>
      <c r="B61" s="272"/>
      <c r="C61" s="272"/>
      <c r="D61" s="283" t="str">
        <f>IFERROR(TEXT(INDEX('Input Data'!F:F,MATCH("6.01",'Input Data'!C:C,0)),"#,##0.0")&amp;" sqm","—")</f>
        <v>186.4 sqm</v>
      </c>
      <c r="E61" s="283"/>
      <c r="F61" s="283"/>
      <c r="G61" s="283"/>
      <c r="H61" s="283"/>
      <c r="I61" s="276" t="str">
        <f>IFERROR(TEXT(INDEX('Input Data'!F:F,MATCH("6.02",'Input Data'!C:C,0)),"#,##0.0")&amp;" sqm","—")</f>
        <v>451.7 sqm</v>
      </c>
      <c r="J61" s="276"/>
      <c r="K61" s="276"/>
      <c r="L61" s="276"/>
      <c r="M61" s="276"/>
      <c r="N61" s="276"/>
      <c r="O61" s="276"/>
      <c r="P61" s="276"/>
      <c r="Q61" s="276"/>
      <c r="R61" s="288" t="str">
        <f>IFERROR(TEXT(INDEX('Input Data'!F:F,MATCH("6.03",'Input Data'!C:C,0)),"#,##0.0")&amp;" sqm","—")</f>
        <v>189.4 sqm</v>
      </c>
      <c r="S61" s="288"/>
      <c r="T61" s="288"/>
      <c r="U61" s="288"/>
      <c r="V61" s="288"/>
      <c r="W61" s="283" t="str">
        <f>IFERROR(TEXT(INDEX('Input Data'!F:F,MATCH("6.04",'Input Data'!C:C,0)),"#,##0.0")&amp;" sqm","—")</f>
        <v>267.9 sqm</v>
      </c>
      <c r="X61" s="283"/>
      <c r="Y61" s="283"/>
      <c r="Z61" s="283"/>
      <c r="AA61" s="283"/>
      <c r="AB61" s="283"/>
      <c r="AC61" s="6"/>
      <c r="AD61" s="6"/>
    </row>
    <row r="62" spans="1:30" ht="13.5" customHeight="1" x14ac:dyDescent="0.35">
      <c r="A62" s="6"/>
      <c r="B62" s="272"/>
      <c r="C62" s="272"/>
      <c r="D62" s="285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285"/>
      <c r="F62" s="285"/>
      <c r="G62" s="285"/>
      <c r="H62" s="285"/>
      <c r="I62" s="278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278"/>
      <c r="K62" s="278"/>
      <c r="L62" s="278"/>
      <c r="M62" s="278"/>
      <c r="N62" s="278"/>
      <c r="O62" s="278"/>
      <c r="P62" s="278"/>
      <c r="Q62" s="278"/>
      <c r="R62" s="289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89"/>
      <c r="T62" s="289"/>
      <c r="U62" s="289"/>
      <c r="V62" s="289"/>
      <c r="W62" s="285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285"/>
      <c r="Y62" s="285"/>
      <c r="Z62" s="285"/>
      <c r="AA62" s="285"/>
      <c r="AB62" s="285"/>
      <c r="AC62" s="6"/>
      <c r="AD62" s="6"/>
    </row>
    <row r="63" spans="1:30" ht="13.5" customHeight="1" x14ac:dyDescent="0.35">
      <c r="A63" s="6"/>
      <c r="B63" s="272"/>
      <c r="C63" s="272"/>
      <c r="D63" s="285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285"/>
      <c r="F63" s="285"/>
      <c r="G63" s="285"/>
      <c r="H63" s="285"/>
      <c r="I63" s="278" t="str">
        <f>IFERROR("Outg $"&amp;TEXT(INDEX('Input Data'!M:M,MATCH("6.02",'Input Data'!C:C,0)),"#,##0")&amp;" | Rev: "&amp;INDEX('Input Data'!S:S,MATCH("6.02",'Input Data'!C:C,0)),"—")</f>
        <v>Outg $39,813 | Rev: FIXED 3.75%</v>
      </c>
      <c r="J63" s="278"/>
      <c r="K63" s="278"/>
      <c r="L63" s="278"/>
      <c r="M63" s="278"/>
      <c r="N63" s="278"/>
      <c r="O63" s="278"/>
      <c r="P63" s="278"/>
      <c r="Q63" s="278"/>
      <c r="R63" s="289" t="str">
        <f>IFERROR("Outg $"&amp;TEXT(INDEX('Input Data'!M:M,MATCH("6.03",'Input Data'!C:C,0)),"#,##0")&amp;" | Rev: "&amp;INDEX('Input Data'!S:S,MATCH("6.03",'Input Data'!C:C,0)),"—")</f>
        <v>Outg $16,709 | Rev: FIXED 3.5%</v>
      </c>
      <c r="S63" s="289"/>
      <c r="T63" s="289"/>
      <c r="U63" s="289"/>
      <c r="V63" s="289"/>
      <c r="W63" s="285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285"/>
      <c r="Y63" s="285"/>
      <c r="Z63" s="285"/>
      <c r="AA63" s="285"/>
      <c r="AB63" s="285"/>
      <c r="AC63" s="6"/>
      <c r="AD63" s="6"/>
    </row>
    <row r="64" spans="1:30" ht="13.5" customHeight="1" x14ac:dyDescent="0.35">
      <c r="A64" s="6"/>
      <c r="B64" s="272"/>
      <c r="C64" s="272"/>
      <c r="D64" s="283" t="str">
        <f ca="1">IFERROR("Exp: "&amp;TEXT(INDEX('Input Data'!H:H,MATCH("6.01",'Input Data'!C:C,0)),"MMM-YY")&amp;" ("&amp;TEXT(INDEX('Input Data'!V:V,MATCH("6.01",'Input Data'!C:C,0)),"0.0")&amp;" yrs)","—")</f>
        <v>Exp: Jun-32 (6.0 yrs)</v>
      </c>
      <c r="E64" s="283"/>
      <c r="F64" s="283"/>
      <c r="G64" s="283"/>
      <c r="H64" s="283"/>
      <c r="I64" s="276" t="str">
        <f ca="1">IFERROR("Exp: "&amp;TEXT(INDEX('Input Data'!H:H,MATCH("6.02",'Input Data'!C:C,0)),"MMM-YY")&amp;" ("&amp;TEXT(INDEX('Input Data'!V:V,MATCH("6.02",'Input Data'!C:C,0)),"0.0")&amp;" yrs)","—")</f>
        <v>Exp: Sep-29 (3.2 yrs)</v>
      </c>
      <c r="J64" s="276"/>
      <c r="K64" s="276"/>
      <c r="L64" s="276"/>
      <c r="M64" s="276"/>
      <c r="N64" s="276"/>
      <c r="O64" s="276"/>
      <c r="P64" s="276"/>
      <c r="Q64" s="276"/>
      <c r="R64" s="288" t="str">
        <f ca="1">IFERROR("Exp: "&amp;TEXT(INDEX('Input Data'!H:H,MATCH("6.03",'Input Data'!C:C,0)),"MMM-YY")&amp;" ("&amp;TEXT(INDEX('Input Data'!V:V,MATCH("6.03",'Input Data'!C:C,0)),"0.0")&amp;" yrs)","—")</f>
        <v>Exp: May-27 (0.9 yrs)</v>
      </c>
      <c r="S64" s="288"/>
      <c r="T64" s="288"/>
      <c r="U64" s="288"/>
      <c r="V64" s="288"/>
      <c r="W64" s="283" t="str">
        <f ca="1">IFERROR("Exp: "&amp;TEXT(INDEX('Input Data'!H:H,MATCH("6.04",'Input Data'!C:C,0)),"MMM-YY")&amp;" ("&amp;TEXT(INDEX('Input Data'!V:V,MATCH("6.04",'Input Data'!C:C,0)),"0.0")&amp;" yrs)","—")</f>
        <v>Exp: Jul-32 (6.1 yrs)</v>
      </c>
      <c r="X64" s="283"/>
      <c r="Y64" s="283"/>
      <c r="Z64" s="283"/>
      <c r="AA64" s="283"/>
      <c r="AB64" s="283"/>
      <c r="AC64" s="6"/>
      <c r="AD64" s="6"/>
    </row>
    <row r="65" spans="1:30" ht="13.5" customHeight="1" x14ac:dyDescent="0.35">
      <c r="A65" s="6"/>
      <c r="B65" s="272"/>
      <c r="C65" s="272"/>
      <c r="D65" s="283" t="str">
        <f ca="1">IFERROR(TEXT(INDEX('Input Data'!V:V,MATCH("6.01",'Input Data'!C:C,0)),"0.0")&amp;" yrs remaining","—")</f>
        <v>6.0 yrs remaining</v>
      </c>
      <c r="E65" s="283"/>
      <c r="F65" s="283"/>
      <c r="G65" s="283"/>
      <c r="H65" s="283"/>
      <c r="I65" s="276" t="str">
        <f ca="1">IFERROR(TEXT(INDEX('Input Data'!V:V,MATCH("6.02",'Input Data'!C:C,0)),"0.0")&amp;" yrs remaining","—")</f>
        <v>3.2 yrs remaining</v>
      </c>
      <c r="J65" s="276"/>
      <c r="K65" s="276"/>
      <c r="L65" s="276"/>
      <c r="M65" s="276"/>
      <c r="N65" s="276"/>
      <c r="O65" s="276"/>
      <c r="P65" s="276"/>
      <c r="Q65" s="276"/>
      <c r="R65" s="288" t="str">
        <f ca="1">IFERROR(TEXT(INDEX('Input Data'!V:V,MATCH("6.03",'Input Data'!C:C,0)),"0.0")&amp;" yrs remaining","—")</f>
        <v>0.9 yrs remaining</v>
      </c>
      <c r="S65" s="288"/>
      <c r="T65" s="288"/>
      <c r="U65" s="288"/>
      <c r="V65" s="288"/>
      <c r="W65" s="283" t="str">
        <f ca="1">IFERROR(TEXT(INDEX('Input Data'!V:V,MATCH("6.04",'Input Data'!C:C,0)),"0.0")&amp;" yrs remaining","—")</f>
        <v>6.1 yrs remaining</v>
      </c>
      <c r="X65" s="283"/>
      <c r="Y65" s="283"/>
      <c r="Z65" s="283"/>
      <c r="AA65" s="283"/>
      <c r="AB65" s="283"/>
      <c r="AC65" s="6"/>
      <c r="AD65" s="6"/>
    </row>
    <row r="66" spans="1:30" ht="3.75" customHeight="1" x14ac:dyDescent="0.35">
      <c r="A66" s="6"/>
      <c r="B66" s="272"/>
      <c r="C66" s="272"/>
      <c r="D66" s="282"/>
      <c r="E66" s="282"/>
      <c r="F66" s="282"/>
      <c r="G66" s="282"/>
      <c r="H66" s="282"/>
      <c r="I66" s="276"/>
      <c r="J66" s="276"/>
      <c r="K66" s="276"/>
      <c r="L66" s="276"/>
      <c r="M66" s="276"/>
      <c r="N66" s="276"/>
      <c r="O66" s="276"/>
      <c r="P66" s="276"/>
      <c r="Q66" s="276"/>
      <c r="R66" s="288"/>
      <c r="S66" s="288"/>
      <c r="T66" s="288"/>
      <c r="U66" s="288"/>
      <c r="V66" s="288"/>
      <c r="W66" s="283"/>
      <c r="X66" s="283"/>
      <c r="Y66" s="283"/>
      <c r="Z66" s="283"/>
      <c r="AA66" s="283"/>
      <c r="AB66" s="283"/>
      <c r="AC66" s="6"/>
      <c r="AD66" s="6"/>
    </row>
    <row r="67" spans="1:30" ht="3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8" customHeight="1" x14ac:dyDescent="0.35">
      <c r="A68" s="6"/>
      <c r="B68" s="272" t="s">
        <v>422</v>
      </c>
      <c r="C68" s="273">
        <v>1080.4000000000001</v>
      </c>
      <c r="D68" s="281" t="str">
        <f>IFERROR(INDEX('Input Data'!D:D,MATCH("5.01",'Input Data'!C:C,0)),"—")</f>
        <v>Fitness First Australia Pty Limited</v>
      </c>
      <c r="E68" s="281"/>
      <c r="F68" s="281"/>
      <c r="G68" s="281"/>
      <c r="H68" s="281"/>
      <c r="I68" s="281"/>
      <c r="J68" s="281"/>
      <c r="K68" s="281"/>
      <c r="L68" s="281"/>
      <c r="M68" s="281"/>
      <c r="N68" s="274" t="str">
        <f>IFERROR(INDEX('Input Data'!D:D,MATCH("5.03",'Input Data'!C:C,0)),"—")</f>
        <v>Asterx Pty Ltd</v>
      </c>
      <c r="O68" s="274"/>
      <c r="P68" s="274"/>
      <c r="Q68" s="274"/>
      <c r="R68" s="274"/>
      <c r="S68" s="274" t="str">
        <f>IFERROR(INDEX('Input Data'!D:D,MATCH("5.04",'Input Data'!C:C,0)),"—")</f>
        <v>Auctionsplus Pty Ltd</v>
      </c>
      <c r="T68" s="274"/>
      <c r="U68" s="274"/>
      <c r="V68" s="274"/>
      <c r="W68" s="274"/>
      <c r="X68" s="274"/>
      <c r="Y68" s="274"/>
      <c r="Z68" s="274"/>
      <c r="AA68" s="274"/>
      <c r="AB68" s="274"/>
      <c r="AC68" s="6"/>
      <c r="AD68" s="6"/>
    </row>
    <row r="69" spans="1:30" ht="13.5" customHeight="1" x14ac:dyDescent="0.35">
      <c r="A69" s="6"/>
      <c r="B69" s="272"/>
      <c r="C69" s="272"/>
      <c r="D69" s="283" t="str">
        <f>IFERROR("5.01 — "&amp;INDEX('Input Data'!B:B,MATCH("5.01",'Input Data'!C:C,0)),"—")</f>
        <v>5.01 — L05</v>
      </c>
      <c r="E69" s="283"/>
      <c r="F69" s="283"/>
      <c r="G69" s="283"/>
      <c r="H69" s="283"/>
      <c r="I69" s="283"/>
      <c r="J69" s="283"/>
      <c r="K69" s="283"/>
      <c r="L69" s="283"/>
      <c r="M69" s="283"/>
      <c r="N69" s="276" t="str">
        <f>IFERROR("5.03 — "&amp;INDEX('Input Data'!B:B,MATCH("5.03",'Input Data'!C:C,0)),"—")</f>
        <v>5.03 — L05</v>
      </c>
      <c r="O69" s="276"/>
      <c r="P69" s="276"/>
      <c r="Q69" s="276"/>
      <c r="R69" s="276"/>
      <c r="S69" s="276" t="str">
        <f>IFERROR("5.04 — "&amp;INDEX('Input Data'!B:B,MATCH("5.04",'Input Data'!C:C,0)),"—")</f>
        <v>5.04 — L05</v>
      </c>
      <c r="T69" s="276"/>
      <c r="U69" s="276"/>
      <c r="V69" s="276"/>
      <c r="W69" s="276"/>
      <c r="X69" s="276"/>
      <c r="Y69" s="276"/>
      <c r="Z69" s="276"/>
      <c r="AA69" s="276"/>
      <c r="AB69" s="276"/>
      <c r="AC69" s="6"/>
      <c r="AD69" s="6"/>
    </row>
    <row r="70" spans="1:30" ht="13.5" customHeight="1" x14ac:dyDescent="0.35">
      <c r="A70" s="6"/>
      <c r="B70" s="272"/>
      <c r="C70" s="272"/>
      <c r="D70" s="283" t="str">
        <f>IFERROR(TEXT(INDEX('Input Data'!F:F,MATCH("5.01",'Input Data'!C:C,0)),"#,##0.0")&amp;" sqm","—")</f>
        <v>437.1 sqm</v>
      </c>
      <c r="E70" s="283"/>
      <c r="F70" s="283"/>
      <c r="G70" s="283"/>
      <c r="H70" s="283"/>
      <c r="I70" s="283"/>
      <c r="J70" s="283"/>
      <c r="K70" s="283"/>
      <c r="L70" s="283"/>
      <c r="M70" s="283"/>
      <c r="N70" s="276" t="str">
        <f>IFERROR(TEXT(INDEX('Input Data'!F:F,MATCH("5.03",'Input Data'!C:C,0)),"#,##0.0")&amp;" sqm","—")</f>
        <v>229.8 sqm</v>
      </c>
      <c r="O70" s="276"/>
      <c r="P70" s="276"/>
      <c r="Q70" s="276"/>
      <c r="R70" s="276"/>
      <c r="S70" s="276" t="str">
        <f>IFERROR(TEXT(INDEX('Input Data'!F:F,MATCH("5.04",'Input Data'!C:C,0)),"#,##0.0")&amp;" sqm","—")</f>
        <v>413.5 sqm</v>
      </c>
      <c r="T70" s="276"/>
      <c r="U70" s="276"/>
      <c r="V70" s="276"/>
      <c r="W70" s="276"/>
      <c r="X70" s="276"/>
      <c r="Y70" s="276"/>
      <c r="Z70" s="276"/>
      <c r="AA70" s="276"/>
      <c r="AB70" s="276"/>
      <c r="AC70" s="6"/>
      <c r="AD70" s="6"/>
    </row>
    <row r="71" spans="1:30" ht="13.5" customHeight="1" x14ac:dyDescent="0.35">
      <c r="A71" s="6"/>
      <c r="B71" s="272"/>
      <c r="C71" s="272"/>
      <c r="D71" s="285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285"/>
      <c r="F71" s="285"/>
      <c r="G71" s="285"/>
      <c r="H71" s="285"/>
      <c r="I71" s="285"/>
      <c r="J71" s="285"/>
      <c r="K71" s="285"/>
      <c r="L71" s="285"/>
      <c r="M71" s="285"/>
      <c r="N71" s="278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278"/>
      <c r="P71" s="278"/>
      <c r="Q71" s="278"/>
      <c r="R71" s="278"/>
      <c r="S71" s="278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278"/>
      <c r="U71" s="278"/>
      <c r="V71" s="278"/>
      <c r="W71" s="278"/>
      <c r="X71" s="278"/>
      <c r="Y71" s="278"/>
      <c r="Z71" s="278"/>
      <c r="AA71" s="278"/>
      <c r="AB71" s="278"/>
      <c r="AC71" s="6"/>
      <c r="AD71" s="6"/>
    </row>
    <row r="72" spans="1:30" ht="13.5" customHeight="1" x14ac:dyDescent="0.35">
      <c r="A72" s="6"/>
      <c r="B72" s="272"/>
      <c r="C72" s="272"/>
      <c r="D72" s="285" t="str">
        <f>IFERROR("Outg $"&amp;TEXT(INDEX('Input Data'!M:M,MATCH("5.01",'Input Data'!C:C,0)),"#,##0")&amp;" | Rev: "&amp;INDEX('Input Data'!S:S,MATCH("5.01",'Input Data'!C:C,0)),"—")</f>
        <v>Outg $0 | Rev: FIXED 4%</v>
      </c>
      <c r="E72" s="285"/>
      <c r="F72" s="285"/>
      <c r="G72" s="285"/>
      <c r="H72" s="285"/>
      <c r="I72" s="285"/>
      <c r="J72" s="285"/>
      <c r="K72" s="285"/>
      <c r="L72" s="285"/>
      <c r="M72" s="285"/>
      <c r="N72" s="278" t="str">
        <f>IFERROR("Outg $"&amp;TEXT(INDEX('Input Data'!M:M,MATCH("5.03",'Input Data'!C:C,0)),"#,##0")&amp;" | Rev: "&amp;INDEX('Input Data'!S:S,MATCH("5.03",'Input Data'!C:C,0)),"—")</f>
        <v>Outg $15,475 | Rev: FIXED 3.5%</v>
      </c>
      <c r="O72" s="278"/>
      <c r="P72" s="278"/>
      <c r="Q72" s="278"/>
      <c r="R72" s="278"/>
      <c r="S72" s="278" t="str">
        <f>IFERROR("Outg $"&amp;TEXT(INDEX('Input Data'!M:M,MATCH("5.04",'Input Data'!C:C,0)),"#,##0")&amp;" | Rev: "&amp;INDEX('Input Data'!S:S,MATCH("5.04",'Input Data'!C:C,0)),"—")</f>
        <v>Outg $32,592 | Rev: FIXED 4%</v>
      </c>
      <c r="T72" s="278"/>
      <c r="U72" s="278"/>
      <c r="V72" s="278"/>
      <c r="W72" s="278"/>
      <c r="X72" s="278"/>
      <c r="Y72" s="278"/>
      <c r="Z72" s="278"/>
      <c r="AA72" s="278"/>
      <c r="AB72" s="278"/>
      <c r="AC72" s="6"/>
      <c r="AD72" s="6"/>
    </row>
    <row r="73" spans="1:30" ht="13.5" customHeight="1" x14ac:dyDescent="0.35">
      <c r="A73" s="6"/>
      <c r="B73" s="272"/>
      <c r="C73" s="272"/>
      <c r="D73" s="283" t="str">
        <f ca="1">IFERROR("Exp: "&amp;TEXT(INDEX('Input Data'!H:H,MATCH("5.01",'Input Data'!C:C,0)),"MMM-YY")&amp;" ("&amp;TEXT(INDEX('Input Data'!V:V,MATCH("5.01",'Input Data'!C:C,0)),"0.0")&amp;" yrs)","—")</f>
        <v>Exp: Jun-31 (5.0 yrs)</v>
      </c>
      <c r="E73" s="283"/>
      <c r="F73" s="283"/>
      <c r="G73" s="283"/>
      <c r="H73" s="283"/>
      <c r="I73" s="283"/>
      <c r="J73" s="283"/>
      <c r="K73" s="283"/>
      <c r="L73" s="283"/>
      <c r="M73" s="283"/>
      <c r="N73" s="276" t="str">
        <f ca="1">IFERROR("Exp: "&amp;TEXT(INDEX('Input Data'!H:H,MATCH("5.03",'Input Data'!C:C,0)),"MMM-YY")&amp;" ("&amp;TEXT(INDEX('Input Data'!V:V,MATCH("5.03",'Input Data'!C:C,0)),"0.0")&amp;" yrs)","—")</f>
        <v>Exp: May-29 (2.9 yrs)</v>
      </c>
      <c r="O73" s="276"/>
      <c r="P73" s="276"/>
      <c r="Q73" s="276"/>
      <c r="R73" s="276"/>
      <c r="S73" s="276" t="str">
        <f ca="1">IFERROR("Exp: "&amp;TEXT(INDEX('Input Data'!H:H,MATCH("5.04",'Input Data'!C:C,0)),"MMM-YY")&amp;" ("&amp;TEXT(INDEX('Input Data'!V:V,MATCH("5.04",'Input Data'!C:C,0)),"0.0")&amp;" yrs)","—")</f>
        <v>Exp: Feb-29 (2.7 yrs)</v>
      </c>
      <c r="T73" s="276"/>
      <c r="U73" s="276"/>
      <c r="V73" s="276"/>
      <c r="W73" s="276"/>
      <c r="X73" s="276"/>
      <c r="Y73" s="276"/>
      <c r="Z73" s="276"/>
      <c r="AA73" s="276"/>
      <c r="AB73" s="276"/>
      <c r="AC73" s="6"/>
      <c r="AD73" s="6"/>
    </row>
    <row r="74" spans="1:30" ht="13.5" customHeight="1" x14ac:dyDescent="0.35">
      <c r="A74" s="6"/>
      <c r="B74" s="272"/>
      <c r="C74" s="272"/>
      <c r="D74" s="283" t="str">
        <f ca="1">IFERROR(TEXT(INDEX('Input Data'!V:V,MATCH("5.01",'Input Data'!C:C,0)),"0.0")&amp;" yrs remaining","—")</f>
        <v>5.0 yrs remaining</v>
      </c>
      <c r="E74" s="283"/>
      <c r="F74" s="283"/>
      <c r="G74" s="283"/>
      <c r="H74" s="283"/>
      <c r="I74" s="283"/>
      <c r="J74" s="283"/>
      <c r="K74" s="283"/>
      <c r="L74" s="283"/>
      <c r="M74" s="283"/>
      <c r="N74" s="276" t="str">
        <f ca="1">IFERROR(TEXT(INDEX('Input Data'!V:V,MATCH("5.03",'Input Data'!C:C,0)),"0.0")&amp;" yrs remaining","—")</f>
        <v>2.9 yrs remaining</v>
      </c>
      <c r="O74" s="276"/>
      <c r="P74" s="276"/>
      <c r="Q74" s="276"/>
      <c r="R74" s="276"/>
      <c r="S74" s="276" t="str">
        <f ca="1">IFERROR(TEXT(INDEX('Input Data'!V:V,MATCH("5.04",'Input Data'!C:C,0)),"0.0")&amp;" yrs remaining","—")</f>
        <v>2.7 yrs remaining</v>
      </c>
      <c r="T74" s="276"/>
      <c r="U74" s="276"/>
      <c r="V74" s="276"/>
      <c r="W74" s="276"/>
      <c r="X74" s="276"/>
      <c r="Y74" s="276"/>
      <c r="Z74" s="276"/>
      <c r="AA74" s="276"/>
      <c r="AB74" s="276"/>
      <c r="AC74" s="6"/>
      <c r="AD74" s="6"/>
    </row>
    <row r="75" spans="1:30" ht="3.75" customHeight="1" x14ac:dyDescent="0.35">
      <c r="A75" s="6"/>
      <c r="B75" s="272"/>
      <c r="C75" s="272"/>
      <c r="D75" s="283"/>
      <c r="E75" s="283"/>
      <c r="F75" s="283"/>
      <c r="G75" s="283"/>
      <c r="H75" s="283"/>
      <c r="I75" s="283"/>
      <c r="J75" s="283"/>
      <c r="K75" s="283"/>
      <c r="L75" s="283"/>
      <c r="M75" s="283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6"/>
      <c r="Y75" s="276"/>
      <c r="Z75" s="276"/>
      <c r="AA75" s="276"/>
      <c r="AB75" s="276"/>
      <c r="AC75" s="6"/>
      <c r="AD75" s="6"/>
    </row>
    <row r="76" spans="1:30" ht="3" customHeight="1" x14ac:dyDescent="0.3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8" customHeight="1" x14ac:dyDescent="0.35">
      <c r="A77" s="6"/>
      <c r="B77" s="272" t="s">
        <v>423</v>
      </c>
      <c r="C77" s="273">
        <v>1047</v>
      </c>
      <c r="D77" s="281" t="str">
        <f>IFERROR(INDEX('Input Data'!D:D,MATCH("4.01",'Input Data'!C:C,0)),"—")</f>
        <v>Fitness First Australia Pty Limited</v>
      </c>
      <c r="E77" s="281"/>
      <c r="F77" s="281"/>
      <c r="G77" s="281"/>
      <c r="H77" s="281"/>
      <c r="I77" s="281"/>
      <c r="J77" s="281"/>
      <c r="K77" s="281"/>
      <c r="L77" s="281"/>
      <c r="M77" s="281"/>
      <c r="N77" s="281"/>
      <c r="O77" s="281"/>
      <c r="P77" s="281"/>
      <c r="Q77" s="281"/>
      <c r="R77" s="281"/>
      <c r="S77" s="281"/>
      <c r="T77" s="281"/>
      <c r="U77" s="281"/>
      <c r="V77" s="281"/>
      <c r="W77" s="281"/>
      <c r="X77" s="281"/>
      <c r="Y77" s="281"/>
      <c r="Z77" s="281"/>
      <c r="AA77" s="281"/>
      <c r="AB77" s="281"/>
      <c r="AC77" s="6"/>
      <c r="AD77" s="6"/>
    </row>
    <row r="78" spans="1:30" ht="13.5" customHeight="1" x14ac:dyDescent="0.35">
      <c r="A78" s="6"/>
      <c r="B78" s="272"/>
      <c r="C78" s="272"/>
      <c r="D78" s="283" t="str">
        <f>IFERROR("4.01 — "&amp;INDEX('Input Data'!B:B,MATCH("4.01",'Input Data'!C:C,0)),"—")</f>
        <v>4.01 — L04</v>
      </c>
      <c r="E78" s="283"/>
      <c r="F78" s="283"/>
      <c r="G78" s="283"/>
      <c r="H78" s="283"/>
      <c r="I78" s="283"/>
      <c r="J78" s="283"/>
      <c r="K78" s="283"/>
      <c r="L78" s="283"/>
      <c r="M78" s="283"/>
      <c r="N78" s="283"/>
      <c r="O78" s="283"/>
      <c r="P78" s="283"/>
      <c r="Q78" s="283"/>
      <c r="R78" s="283"/>
      <c r="S78" s="283"/>
      <c r="T78" s="283"/>
      <c r="U78" s="283"/>
      <c r="V78" s="283"/>
      <c r="W78" s="283"/>
      <c r="X78" s="283"/>
      <c r="Y78" s="283"/>
      <c r="Z78" s="283"/>
      <c r="AA78" s="283"/>
      <c r="AB78" s="283"/>
      <c r="AC78" s="6"/>
      <c r="AD78" s="6"/>
    </row>
    <row r="79" spans="1:30" ht="13.5" customHeight="1" x14ac:dyDescent="0.35">
      <c r="A79" s="6"/>
      <c r="B79" s="272"/>
      <c r="C79" s="272"/>
      <c r="D79" s="283" t="str">
        <f>IFERROR(TEXT(INDEX('Input Data'!F:F,MATCH("4.01",'Input Data'!C:C,0)),"#,##0.0")&amp;" sqm","—")</f>
        <v>1,047.0 sqm</v>
      </c>
      <c r="E79" s="283"/>
      <c r="F79" s="283"/>
      <c r="G79" s="283"/>
      <c r="H79" s="283"/>
      <c r="I79" s="283"/>
      <c r="J79" s="283"/>
      <c r="K79" s="283"/>
      <c r="L79" s="283"/>
      <c r="M79" s="283"/>
      <c r="N79" s="283"/>
      <c r="O79" s="283"/>
      <c r="P79" s="283"/>
      <c r="Q79" s="283"/>
      <c r="R79" s="283"/>
      <c r="S79" s="283"/>
      <c r="T79" s="283"/>
      <c r="U79" s="283"/>
      <c r="V79" s="283"/>
      <c r="W79" s="283"/>
      <c r="X79" s="283"/>
      <c r="Y79" s="283"/>
      <c r="Z79" s="283"/>
      <c r="AA79" s="283"/>
      <c r="AB79" s="283"/>
      <c r="AC79" s="6"/>
      <c r="AD79" s="6"/>
    </row>
    <row r="80" spans="1:30" ht="13.5" customHeight="1" x14ac:dyDescent="0.35">
      <c r="A80" s="6"/>
      <c r="B80" s="272"/>
      <c r="C80" s="272"/>
      <c r="D80" s="285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285"/>
      <c r="F80" s="285"/>
      <c r="G80" s="285"/>
      <c r="H80" s="285"/>
      <c r="I80" s="285"/>
      <c r="J80" s="285"/>
      <c r="K80" s="285"/>
      <c r="L80" s="285"/>
      <c r="M80" s="285"/>
      <c r="N80" s="285"/>
      <c r="O80" s="285"/>
      <c r="P80" s="285"/>
      <c r="Q80" s="285"/>
      <c r="R80" s="285"/>
      <c r="S80" s="285"/>
      <c r="T80" s="285"/>
      <c r="U80" s="285"/>
      <c r="V80" s="285"/>
      <c r="W80" s="285"/>
      <c r="X80" s="285"/>
      <c r="Y80" s="285"/>
      <c r="Z80" s="285"/>
      <c r="AA80" s="285"/>
      <c r="AB80" s="285"/>
      <c r="AC80" s="6"/>
      <c r="AD80" s="6"/>
    </row>
    <row r="81" spans="1:30" ht="13.5" customHeight="1" x14ac:dyDescent="0.35">
      <c r="A81" s="6"/>
      <c r="B81" s="272"/>
      <c r="C81" s="272"/>
      <c r="D81" s="285" t="str">
        <f>IFERROR("Outg $"&amp;TEXT(INDEX('Input Data'!M:M,MATCH("4.01",'Input Data'!C:C,0)),"#,##0")&amp;" | Rev: "&amp;INDEX('Input Data'!S:S,MATCH("4.01",'Input Data'!C:C,0)),"—")</f>
        <v>Outg $0 | Rev: FIXED 4%</v>
      </c>
      <c r="E81" s="285"/>
      <c r="F81" s="285"/>
      <c r="G81" s="285"/>
      <c r="H81" s="285"/>
      <c r="I81" s="285"/>
      <c r="J81" s="285"/>
      <c r="K81" s="285"/>
      <c r="L81" s="285"/>
      <c r="M81" s="285"/>
      <c r="N81" s="285"/>
      <c r="O81" s="285"/>
      <c r="P81" s="285"/>
      <c r="Q81" s="285"/>
      <c r="R81" s="285"/>
      <c r="S81" s="285"/>
      <c r="T81" s="285"/>
      <c r="U81" s="285"/>
      <c r="V81" s="285"/>
      <c r="W81" s="285"/>
      <c r="X81" s="285"/>
      <c r="Y81" s="285"/>
      <c r="Z81" s="285"/>
      <c r="AA81" s="285"/>
      <c r="AB81" s="285"/>
      <c r="AC81" s="6"/>
      <c r="AD81" s="6"/>
    </row>
    <row r="82" spans="1:30" ht="13.5" customHeight="1" x14ac:dyDescent="0.35">
      <c r="A82" s="6"/>
      <c r="B82" s="272"/>
      <c r="C82" s="272"/>
      <c r="D82" s="283" t="str">
        <f ca="1">IFERROR("Exp: "&amp;TEXT(INDEX('Input Data'!H:H,MATCH("4.01",'Input Data'!C:C,0)),"MMM-YY")&amp;" ("&amp;TEXT(INDEX('Input Data'!V:V,MATCH("4.01",'Input Data'!C:C,0)),"0.0")&amp;" yrs)","—")</f>
        <v>Exp: Jun-31 (5.0 yrs)</v>
      </c>
      <c r="E82" s="283"/>
      <c r="F82" s="283"/>
      <c r="G82" s="283"/>
      <c r="H82" s="283"/>
      <c r="I82" s="283"/>
      <c r="J82" s="283"/>
      <c r="K82" s="283"/>
      <c r="L82" s="283"/>
      <c r="M82" s="283"/>
      <c r="N82" s="283"/>
      <c r="O82" s="283"/>
      <c r="P82" s="283"/>
      <c r="Q82" s="283"/>
      <c r="R82" s="283"/>
      <c r="S82" s="283"/>
      <c r="T82" s="283"/>
      <c r="U82" s="283"/>
      <c r="V82" s="283"/>
      <c r="W82" s="283"/>
      <c r="X82" s="283"/>
      <c r="Y82" s="283"/>
      <c r="Z82" s="283"/>
      <c r="AA82" s="283"/>
      <c r="AB82" s="283"/>
      <c r="AC82" s="6"/>
      <c r="AD82" s="6"/>
    </row>
    <row r="83" spans="1:30" ht="13.5" customHeight="1" x14ac:dyDescent="0.35">
      <c r="A83" s="6"/>
      <c r="B83" s="272"/>
      <c r="C83" s="272"/>
      <c r="D83" s="283" t="str">
        <f ca="1">IFERROR(TEXT(INDEX('Input Data'!V:V,MATCH("4.01",'Input Data'!C:C,0)),"0.0")&amp;" yrs remaining","—")</f>
        <v>5.0 yrs remaining</v>
      </c>
      <c r="E83" s="283"/>
      <c r="F83" s="283"/>
      <c r="G83" s="283"/>
      <c r="H83" s="283"/>
      <c r="I83" s="283"/>
      <c r="J83" s="283"/>
      <c r="K83" s="283"/>
      <c r="L83" s="283"/>
      <c r="M83" s="283"/>
      <c r="N83" s="283"/>
      <c r="O83" s="283"/>
      <c r="P83" s="283"/>
      <c r="Q83" s="283"/>
      <c r="R83" s="283"/>
      <c r="S83" s="283"/>
      <c r="T83" s="283"/>
      <c r="U83" s="283"/>
      <c r="V83" s="283"/>
      <c r="W83" s="283"/>
      <c r="X83" s="283"/>
      <c r="Y83" s="283"/>
      <c r="Z83" s="283"/>
      <c r="AA83" s="283"/>
      <c r="AB83" s="283"/>
      <c r="AC83" s="6"/>
      <c r="AD83" s="6"/>
    </row>
    <row r="84" spans="1:30" ht="3.75" customHeight="1" x14ac:dyDescent="0.35">
      <c r="A84" s="6"/>
      <c r="B84" s="272"/>
      <c r="C84" s="272"/>
      <c r="D84" s="283"/>
      <c r="E84" s="283"/>
      <c r="F84" s="283"/>
      <c r="G84" s="283"/>
      <c r="H84" s="283"/>
      <c r="I84" s="283"/>
      <c r="J84" s="283"/>
      <c r="K84" s="283"/>
      <c r="L84" s="283"/>
      <c r="M84" s="283"/>
      <c r="N84" s="283"/>
      <c r="O84" s="283"/>
      <c r="P84" s="283"/>
      <c r="Q84" s="283"/>
      <c r="R84" s="283"/>
      <c r="S84" s="283"/>
      <c r="T84" s="283"/>
      <c r="U84" s="283"/>
      <c r="V84" s="283"/>
      <c r="W84" s="283"/>
      <c r="X84" s="283"/>
      <c r="Y84" s="283"/>
      <c r="Z84" s="283"/>
      <c r="AA84" s="283"/>
      <c r="AB84" s="283"/>
      <c r="AC84" s="6"/>
      <c r="AD84" s="6"/>
    </row>
    <row r="85" spans="1:30" ht="3" customHeight="1" x14ac:dyDescent="0.3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8" customHeight="1" x14ac:dyDescent="0.35">
      <c r="A86" s="6"/>
      <c r="B86" s="272" t="s">
        <v>424</v>
      </c>
      <c r="C86" s="273">
        <v>903.2</v>
      </c>
      <c r="D86" s="290" t="str">
        <f>IFERROR(INDEX('Input Data'!D:D,MATCH("3.01",'Input Data'!C:C,0)),"—")</f>
        <v>Sydney Smiletree Pty Ltd</v>
      </c>
      <c r="E86" s="290"/>
      <c r="F86" s="290"/>
      <c r="G86" s="290"/>
      <c r="H86" s="290"/>
      <c r="I86" s="281" t="str">
        <f>IFERROR(INDEX('Input Data'!D:D,MATCH("3.02",'Input Data'!C:C,0)),"—")</f>
        <v>Fitness First Australia Pty Limited</v>
      </c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  <c r="AA86" s="281"/>
      <c r="AB86" s="281"/>
      <c r="AC86" s="6"/>
      <c r="AD86" s="6"/>
    </row>
    <row r="87" spans="1:30" ht="13.5" customHeight="1" x14ac:dyDescent="0.35">
      <c r="A87" s="6"/>
      <c r="B87" s="272"/>
      <c r="C87" s="272"/>
      <c r="D87" s="291" t="str">
        <f>IFERROR("3.01 — "&amp;INDEX('Input Data'!B:B,MATCH("3.01",'Input Data'!C:C,0)),"—")</f>
        <v>3.01 — L03</v>
      </c>
      <c r="E87" s="291"/>
      <c r="F87" s="291"/>
      <c r="G87" s="291"/>
      <c r="H87" s="291"/>
      <c r="I87" s="283" t="str">
        <f>IFERROR("3.02 — "&amp;INDEX('Input Data'!B:B,MATCH("3.02",'Input Data'!C:C,0)),"—")</f>
        <v>3.02 — L03</v>
      </c>
      <c r="J87" s="283"/>
      <c r="K87" s="283"/>
      <c r="L87" s="283"/>
      <c r="M87" s="283"/>
      <c r="N87" s="283"/>
      <c r="O87" s="283"/>
      <c r="P87" s="283"/>
      <c r="Q87" s="283"/>
      <c r="R87" s="283"/>
      <c r="S87" s="283"/>
      <c r="T87" s="283"/>
      <c r="U87" s="283"/>
      <c r="V87" s="283"/>
      <c r="W87" s="283"/>
      <c r="X87" s="283"/>
      <c r="Y87" s="283"/>
      <c r="Z87" s="283"/>
      <c r="AA87" s="283"/>
      <c r="AB87" s="283"/>
      <c r="AC87" s="6"/>
      <c r="AD87" s="6"/>
    </row>
    <row r="88" spans="1:30" ht="13.5" customHeight="1" x14ac:dyDescent="0.35">
      <c r="A88" s="6"/>
      <c r="B88" s="272"/>
      <c r="C88" s="272"/>
      <c r="D88" s="291" t="str">
        <f>IFERROR(TEXT(INDEX('Input Data'!F:F,MATCH("3.01",'Input Data'!C:C,0)),"#,##0.0")&amp;" sqm","—")</f>
        <v>107.7 sqm</v>
      </c>
      <c r="E88" s="291"/>
      <c r="F88" s="291"/>
      <c r="G88" s="291"/>
      <c r="H88" s="291"/>
      <c r="I88" s="283" t="str">
        <f>IFERROR(TEXT(INDEX('Input Data'!F:F,MATCH("3.02",'Input Data'!C:C,0)),"#,##0.0")&amp;" sqm","—")</f>
        <v>795.5 sqm</v>
      </c>
      <c r="J88" s="283"/>
      <c r="K88" s="283"/>
      <c r="L88" s="283"/>
      <c r="M88" s="283"/>
      <c r="N88" s="283"/>
      <c r="O88" s="283"/>
      <c r="P88" s="283"/>
      <c r="Q88" s="283"/>
      <c r="R88" s="283"/>
      <c r="S88" s="283"/>
      <c r="T88" s="283"/>
      <c r="U88" s="283"/>
      <c r="V88" s="283"/>
      <c r="W88" s="283"/>
      <c r="X88" s="283"/>
      <c r="Y88" s="283"/>
      <c r="Z88" s="283"/>
      <c r="AA88" s="283"/>
      <c r="AB88" s="283"/>
      <c r="AC88" s="6"/>
      <c r="AD88" s="6"/>
    </row>
    <row r="89" spans="1:30" ht="13.5" customHeight="1" x14ac:dyDescent="0.35">
      <c r="A89" s="6"/>
      <c r="B89" s="272"/>
      <c r="C89" s="272"/>
      <c r="D89" s="292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92"/>
      <c r="F89" s="292"/>
      <c r="G89" s="292"/>
      <c r="H89" s="292"/>
      <c r="I89" s="285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285"/>
      <c r="K89" s="285"/>
      <c r="L89" s="285"/>
      <c r="M89" s="285"/>
      <c r="N89" s="285"/>
      <c r="O89" s="285"/>
      <c r="P89" s="285"/>
      <c r="Q89" s="285"/>
      <c r="R89" s="285"/>
      <c r="S89" s="285"/>
      <c r="T89" s="285"/>
      <c r="U89" s="285"/>
      <c r="V89" s="285"/>
      <c r="W89" s="285"/>
      <c r="X89" s="285"/>
      <c r="Y89" s="285"/>
      <c r="Z89" s="285"/>
      <c r="AA89" s="285"/>
      <c r="AB89" s="285"/>
      <c r="AC89" s="6"/>
      <c r="AD89" s="6"/>
    </row>
    <row r="90" spans="1:30" ht="13.5" customHeight="1" x14ac:dyDescent="0.35">
      <c r="A90" s="6"/>
      <c r="B90" s="272"/>
      <c r="C90" s="272"/>
      <c r="D90" s="292" t="str">
        <f>IFERROR("Outg $"&amp;TEXT(INDEX('Input Data'!M:M,MATCH("3.01",'Input Data'!C:C,0)),"#,##0")&amp;" | Rev: "&amp;INDEX('Input Data'!S:S,MATCH("3.01",'Input Data'!C:C,0)),"—")</f>
        <v>Outg $7,244 | Rev: FIXED 4%</v>
      </c>
      <c r="E90" s="292"/>
      <c r="F90" s="292"/>
      <c r="G90" s="292"/>
      <c r="H90" s="292"/>
      <c r="I90" s="285" t="str">
        <f>IFERROR("Outg $"&amp;TEXT(INDEX('Input Data'!M:M,MATCH("3.02",'Input Data'!C:C,0)),"#,##0")&amp;" | Rev: "&amp;INDEX('Input Data'!S:S,MATCH("3.02",'Input Data'!C:C,0)),"—")</f>
        <v>Outg $0 | Rev: FIXED 4%</v>
      </c>
      <c r="J90" s="285"/>
      <c r="K90" s="285"/>
      <c r="L90" s="285"/>
      <c r="M90" s="285"/>
      <c r="N90" s="285"/>
      <c r="O90" s="285"/>
      <c r="P90" s="285"/>
      <c r="Q90" s="285"/>
      <c r="R90" s="285"/>
      <c r="S90" s="285"/>
      <c r="T90" s="285"/>
      <c r="U90" s="285"/>
      <c r="V90" s="285"/>
      <c r="W90" s="285"/>
      <c r="X90" s="285"/>
      <c r="Y90" s="285"/>
      <c r="Z90" s="285"/>
      <c r="AA90" s="285"/>
      <c r="AB90" s="285"/>
      <c r="AC90" s="6"/>
      <c r="AD90" s="6"/>
    </row>
    <row r="91" spans="1:30" ht="13.5" customHeight="1" x14ac:dyDescent="0.35">
      <c r="A91" s="6"/>
      <c r="B91" s="272"/>
      <c r="C91" s="272"/>
      <c r="D91" s="291" t="str">
        <f ca="1">IFERROR("Exp: "&amp;TEXT(INDEX('Input Data'!H:H,MATCH("3.01",'Input Data'!C:C,0)),"MMM-YY")&amp;" ("&amp;TEXT(INDEX('Input Data'!V:V,MATCH("3.01",'Input Data'!C:C,0)),"0.0")&amp;" yrs)","—")</f>
        <v>Exp: Dec-28 (2.5 yrs)</v>
      </c>
      <c r="E91" s="291"/>
      <c r="F91" s="291"/>
      <c r="G91" s="291"/>
      <c r="H91" s="291"/>
      <c r="I91" s="283" t="str">
        <f ca="1">IFERROR("Exp: "&amp;TEXT(INDEX('Input Data'!H:H,MATCH("3.02",'Input Data'!C:C,0)),"MMM-YY")&amp;" ("&amp;TEXT(INDEX('Input Data'!V:V,MATCH("3.02",'Input Data'!C:C,0)),"0.0")&amp;" yrs)","—")</f>
        <v>Exp: Jun-31 (5.0 yrs)</v>
      </c>
      <c r="J91" s="283"/>
      <c r="K91" s="283"/>
      <c r="L91" s="283"/>
      <c r="M91" s="283"/>
      <c r="N91" s="283"/>
      <c r="O91" s="283"/>
      <c r="P91" s="283"/>
      <c r="Q91" s="283"/>
      <c r="R91" s="283"/>
      <c r="S91" s="283"/>
      <c r="T91" s="283"/>
      <c r="U91" s="283"/>
      <c r="V91" s="283"/>
      <c r="W91" s="283"/>
      <c r="X91" s="283"/>
      <c r="Y91" s="283"/>
      <c r="Z91" s="283"/>
      <c r="AA91" s="283"/>
      <c r="AB91" s="283"/>
      <c r="AC91" s="6"/>
      <c r="AD91" s="6"/>
    </row>
    <row r="92" spans="1:30" ht="13.5" customHeight="1" x14ac:dyDescent="0.35">
      <c r="A92" s="6"/>
      <c r="B92" s="272"/>
      <c r="C92" s="272"/>
      <c r="D92" s="291" t="str">
        <f ca="1">IFERROR(TEXT(INDEX('Input Data'!V:V,MATCH("3.01",'Input Data'!C:C,0)),"0.0")&amp;" yrs remaining","—")</f>
        <v>2.5 yrs remaining</v>
      </c>
      <c r="E92" s="291"/>
      <c r="F92" s="291"/>
      <c r="G92" s="291"/>
      <c r="H92" s="291"/>
      <c r="I92" s="283" t="str">
        <f ca="1">IFERROR(TEXT(INDEX('Input Data'!V:V,MATCH("3.02",'Input Data'!C:C,0)),"0.0")&amp;" yrs remaining","—")</f>
        <v>5.0 yrs remaining</v>
      </c>
      <c r="J92" s="283"/>
      <c r="K92" s="283"/>
      <c r="L92" s="283"/>
      <c r="M92" s="283"/>
      <c r="N92" s="283"/>
      <c r="O92" s="283"/>
      <c r="P92" s="283"/>
      <c r="Q92" s="283"/>
      <c r="R92" s="283"/>
      <c r="S92" s="283"/>
      <c r="T92" s="283"/>
      <c r="U92" s="283"/>
      <c r="V92" s="283"/>
      <c r="W92" s="283"/>
      <c r="X92" s="283"/>
      <c r="Y92" s="283"/>
      <c r="Z92" s="283"/>
      <c r="AA92" s="283"/>
      <c r="AB92" s="283"/>
      <c r="AC92" s="6"/>
      <c r="AD92" s="6"/>
    </row>
    <row r="93" spans="1:30" ht="3.75" customHeight="1" x14ac:dyDescent="0.35">
      <c r="A93" s="6"/>
      <c r="B93" s="272"/>
      <c r="C93" s="272"/>
      <c r="D93" s="291"/>
      <c r="E93" s="291"/>
      <c r="F93" s="291"/>
      <c r="G93" s="291"/>
      <c r="H93" s="291"/>
      <c r="I93" s="283"/>
      <c r="J93" s="283"/>
      <c r="K93" s="283"/>
      <c r="L93" s="283"/>
      <c r="M93" s="283"/>
      <c r="N93" s="283"/>
      <c r="O93" s="283"/>
      <c r="P93" s="283"/>
      <c r="Q93" s="283"/>
      <c r="R93" s="283"/>
      <c r="S93" s="283"/>
      <c r="T93" s="283"/>
      <c r="U93" s="283"/>
      <c r="V93" s="283"/>
      <c r="W93" s="283"/>
      <c r="X93" s="283"/>
      <c r="Y93" s="283"/>
      <c r="Z93" s="283"/>
      <c r="AA93" s="283"/>
      <c r="AB93" s="283"/>
      <c r="AC93" s="6"/>
      <c r="AD93" s="6"/>
    </row>
    <row r="94" spans="1:30" ht="3" customHeight="1" x14ac:dyDescent="0.3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8" customHeight="1" x14ac:dyDescent="0.35">
      <c r="A95" s="6"/>
      <c r="B95" s="272" t="s">
        <v>425</v>
      </c>
      <c r="C95" s="293" t="s">
        <v>4</v>
      </c>
      <c r="D95" s="294" t="s">
        <v>426</v>
      </c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6"/>
      <c r="AD95" s="6"/>
    </row>
    <row r="96" spans="1:30" ht="13.5" customHeight="1" x14ac:dyDescent="0.35">
      <c r="A96" s="6"/>
      <c r="B96" s="272"/>
      <c r="C96" s="272"/>
      <c r="D96" s="288" t="s">
        <v>427</v>
      </c>
      <c r="E96" s="288"/>
      <c r="F96" s="288"/>
      <c r="G96" s="288"/>
      <c r="H96" s="288"/>
      <c r="I96" s="288"/>
      <c r="J96" s="288"/>
      <c r="K96" s="288"/>
      <c r="L96" s="288"/>
      <c r="M96" s="288"/>
      <c r="N96" s="288"/>
      <c r="O96" s="288"/>
      <c r="P96" s="288"/>
      <c r="Q96" s="288"/>
      <c r="R96" s="288"/>
      <c r="S96" s="288"/>
      <c r="T96" s="288"/>
      <c r="U96" s="288"/>
      <c r="V96" s="288"/>
      <c r="W96" s="288"/>
      <c r="X96" s="288"/>
      <c r="Y96" s="288"/>
      <c r="Z96" s="288"/>
      <c r="AA96" s="288"/>
      <c r="AB96" s="288"/>
      <c r="AC96" s="6"/>
      <c r="AD96" s="6"/>
    </row>
    <row r="97" spans="1:30" ht="13.5" customHeight="1" x14ac:dyDescent="0.35">
      <c r="A97" s="6"/>
      <c r="B97" s="272"/>
      <c r="C97" s="272"/>
      <c r="D97" s="288" t="s">
        <v>4</v>
      </c>
      <c r="E97" s="288"/>
      <c r="F97" s="288"/>
      <c r="G97" s="288"/>
      <c r="H97" s="288"/>
      <c r="I97" s="288"/>
      <c r="J97" s="288"/>
      <c r="K97" s="288"/>
      <c r="L97" s="288"/>
      <c r="M97" s="288"/>
      <c r="N97" s="288"/>
      <c r="O97" s="288"/>
      <c r="P97" s="288"/>
      <c r="Q97" s="288"/>
      <c r="R97" s="288"/>
      <c r="S97" s="288"/>
      <c r="T97" s="288"/>
      <c r="U97" s="288"/>
      <c r="V97" s="288"/>
      <c r="W97" s="288"/>
      <c r="X97" s="288"/>
      <c r="Y97" s="288"/>
      <c r="Z97" s="288"/>
      <c r="AA97" s="288"/>
      <c r="AB97" s="288"/>
      <c r="AC97" s="6"/>
      <c r="AD97" s="6"/>
    </row>
    <row r="98" spans="1:30" ht="13.5" customHeight="1" x14ac:dyDescent="0.35">
      <c r="A98" s="6"/>
      <c r="B98" s="272"/>
      <c r="C98" s="272"/>
      <c r="D98" s="289" t="s">
        <v>428</v>
      </c>
      <c r="E98" s="289"/>
      <c r="F98" s="289"/>
      <c r="G98" s="289"/>
      <c r="H98" s="289"/>
      <c r="I98" s="289"/>
      <c r="J98" s="289"/>
      <c r="K98" s="289"/>
      <c r="L98" s="289"/>
      <c r="M98" s="289"/>
      <c r="N98" s="289"/>
      <c r="O98" s="289"/>
      <c r="P98" s="289"/>
      <c r="Q98" s="289"/>
      <c r="R98" s="289"/>
      <c r="S98" s="289"/>
      <c r="T98" s="289"/>
      <c r="U98" s="289"/>
      <c r="V98" s="289"/>
      <c r="W98" s="289"/>
      <c r="X98" s="289"/>
      <c r="Y98" s="289"/>
      <c r="Z98" s="289"/>
      <c r="AA98" s="289"/>
      <c r="AB98" s="289"/>
      <c r="AC98" s="6"/>
      <c r="AD98" s="6"/>
    </row>
    <row r="99" spans="1:30" ht="13.5" customHeight="1" x14ac:dyDescent="0.35">
      <c r="A99" s="6"/>
      <c r="B99" s="272"/>
      <c r="C99" s="272"/>
      <c r="D99" s="289" t="s">
        <v>429</v>
      </c>
      <c r="E99" s="289"/>
      <c r="F99" s="289"/>
      <c r="G99" s="289"/>
      <c r="H99" s="289"/>
      <c r="I99" s="289"/>
      <c r="J99" s="289"/>
      <c r="K99" s="289"/>
      <c r="L99" s="289"/>
      <c r="M99" s="289"/>
      <c r="N99" s="289"/>
      <c r="O99" s="289"/>
      <c r="P99" s="289"/>
      <c r="Q99" s="289"/>
      <c r="R99" s="289"/>
      <c r="S99" s="289"/>
      <c r="T99" s="289"/>
      <c r="U99" s="289"/>
      <c r="V99" s="289"/>
      <c r="W99" s="289"/>
      <c r="X99" s="289"/>
      <c r="Y99" s="289"/>
      <c r="Z99" s="289"/>
      <c r="AA99" s="289"/>
      <c r="AB99" s="289"/>
      <c r="AC99" s="6"/>
      <c r="AD99" s="6"/>
    </row>
    <row r="100" spans="1:30" ht="13.5" customHeight="1" x14ac:dyDescent="0.35">
      <c r="A100" s="6"/>
      <c r="B100" s="272"/>
      <c r="C100" s="272"/>
      <c r="D100" s="288" t="s">
        <v>430</v>
      </c>
      <c r="E100" s="288"/>
      <c r="F100" s="288"/>
      <c r="G100" s="288"/>
      <c r="H100" s="288"/>
      <c r="I100" s="288"/>
      <c r="J100" s="288"/>
      <c r="K100" s="288"/>
      <c r="L100" s="288"/>
      <c r="M100" s="288"/>
      <c r="N100" s="288"/>
      <c r="O100" s="288"/>
      <c r="P100" s="288"/>
      <c r="Q100" s="288"/>
      <c r="R100" s="288"/>
      <c r="S100" s="288"/>
      <c r="T100" s="288"/>
      <c r="U100" s="288"/>
      <c r="V100" s="288"/>
      <c r="W100" s="288"/>
      <c r="X100" s="288"/>
      <c r="Y100" s="288"/>
      <c r="Z100" s="288"/>
      <c r="AA100" s="288"/>
      <c r="AB100" s="288"/>
      <c r="AC100" s="6"/>
      <c r="AD100" s="6"/>
    </row>
    <row r="101" spans="1:30" ht="13.5" customHeight="1" x14ac:dyDescent="0.35">
      <c r="A101" s="6"/>
      <c r="B101" s="272"/>
      <c r="C101" s="272"/>
      <c r="D101" s="288" t="s">
        <v>431</v>
      </c>
      <c r="E101" s="288"/>
      <c r="F101" s="288"/>
      <c r="G101" s="288"/>
      <c r="H101" s="288"/>
      <c r="I101" s="288"/>
      <c r="J101" s="288"/>
      <c r="K101" s="288"/>
      <c r="L101" s="288"/>
      <c r="M101" s="288"/>
      <c r="N101" s="288"/>
      <c r="O101" s="288"/>
      <c r="P101" s="288"/>
      <c r="Q101" s="288"/>
      <c r="R101" s="288"/>
      <c r="S101" s="288"/>
      <c r="T101" s="288"/>
      <c r="U101" s="288"/>
      <c r="V101" s="288"/>
      <c r="W101" s="288"/>
      <c r="X101" s="288"/>
      <c r="Y101" s="288"/>
      <c r="Z101" s="288"/>
      <c r="AA101" s="288"/>
      <c r="AB101" s="288"/>
      <c r="AC101" s="6"/>
      <c r="AD101" s="6"/>
    </row>
    <row r="102" spans="1:30" ht="3.75" customHeight="1" x14ac:dyDescent="0.35">
      <c r="A102" s="6"/>
      <c r="B102" s="272"/>
      <c r="C102" s="272"/>
      <c r="D102" s="288"/>
      <c r="E102" s="288"/>
      <c r="F102" s="288"/>
      <c r="G102" s="288"/>
      <c r="H102" s="288"/>
      <c r="I102" s="288"/>
      <c r="J102" s="288"/>
      <c r="K102" s="288"/>
      <c r="L102" s="288"/>
      <c r="M102" s="288"/>
      <c r="N102" s="288"/>
      <c r="O102" s="288"/>
      <c r="P102" s="288"/>
      <c r="Q102" s="288"/>
      <c r="R102" s="288"/>
      <c r="S102" s="288"/>
      <c r="T102" s="288"/>
      <c r="U102" s="288"/>
      <c r="V102" s="288"/>
      <c r="W102" s="288"/>
      <c r="X102" s="288"/>
      <c r="Y102" s="288"/>
      <c r="Z102" s="288"/>
      <c r="AA102" s="288"/>
      <c r="AB102" s="288"/>
      <c r="AC102" s="6"/>
      <c r="AD102" s="6"/>
    </row>
    <row r="103" spans="1:30" ht="3" customHeight="1" x14ac:dyDescent="0.3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7.5" customHeight="1" x14ac:dyDescent="0.35">
      <c r="A104" s="6"/>
      <c r="B104" s="68"/>
      <c r="C104" s="68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6"/>
      <c r="AD104" s="6"/>
    </row>
    <row r="105" spans="1:30" x14ac:dyDescent="0.3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8" customHeight="1" x14ac:dyDescent="0.35">
      <c r="A106" s="6"/>
      <c r="B106" s="204" t="s">
        <v>432</v>
      </c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  <c r="AB106" s="204"/>
      <c r="AC106" s="6"/>
      <c r="AD106" s="6"/>
    </row>
    <row r="107" spans="1:30" ht="19.5" customHeight="1" x14ac:dyDescent="0.35">
      <c r="A107" s="6"/>
      <c r="B107" s="6"/>
      <c r="C107" s="6"/>
      <c r="D107" s="185" t="s">
        <v>433</v>
      </c>
      <c r="E107" s="185"/>
      <c r="F107" s="185"/>
      <c r="G107" s="6"/>
      <c r="H107" s="186" t="s">
        <v>260</v>
      </c>
      <c r="I107" s="186"/>
      <c r="J107" s="186"/>
      <c r="K107" s="6"/>
      <c r="L107" s="184" t="s">
        <v>261</v>
      </c>
      <c r="M107" s="184"/>
      <c r="N107" s="184"/>
      <c r="O107" s="6"/>
      <c r="P107" s="183" t="s">
        <v>262</v>
      </c>
      <c r="Q107" s="183"/>
      <c r="R107" s="183"/>
      <c r="S107" s="6"/>
      <c r="T107" s="295" t="s">
        <v>263</v>
      </c>
      <c r="U107" s="295"/>
      <c r="V107" s="295"/>
      <c r="W107" s="6"/>
      <c r="X107" s="296" t="s">
        <v>264</v>
      </c>
      <c r="Y107" s="296"/>
      <c r="Z107" s="296"/>
      <c r="AA107" s="6"/>
      <c r="AB107" s="297" t="s">
        <v>434</v>
      </c>
      <c r="AC107" s="297"/>
      <c r="AD107" s="297"/>
    </row>
    <row r="108" spans="1:30" x14ac:dyDescent="0.3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8" customHeight="1" x14ac:dyDescent="0.35">
      <c r="A109" s="6"/>
      <c r="B109" s="257" t="s">
        <v>435</v>
      </c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  <c r="M109" s="257"/>
      <c r="N109" s="257"/>
      <c r="O109" s="257"/>
      <c r="P109" s="257"/>
      <c r="Q109" s="257"/>
      <c r="R109" s="257"/>
      <c r="S109" s="257"/>
      <c r="T109" s="257"/>
      <c r="U109" s="257"/>
      <c r="V109" s="257"/>
      <c r="W109" s="257"/>
      <c r="X109" s="257"/>
      <c r="Y109" s="257"/>
      <c r="Z109" s="257"/>
      <c r="AA109" s="257"/>
      <c r="AB109" s="257"/>
      <c r="AC109" s="6"/>
      <c r="AD109" s="6"/>
    </row>
  </sheetData>
  <mergeCells count="219">
    <mergeCell ref="B109:AB109"/>
    <mergeCell ref="D104:AB104"/>
    <mergeCell ref="B106:AB106"/>
    <mergeCell ref="D107:F107"/>
    <mergeCell ref="H107:J107"/>
    <mergeCell ref="L107:N107"/>
    <mergeCell ref="P107:R107"/>
    <mergeCell ref="T107:V107"/>
    <mergeCell ref="X107:Z107"/>
    <mergeCell ref="AB107:AD107"/>
    <mergeCell ref="B95:B102"/>
    <mergeCell ref="C95:C102"/>
    <mergeCell ref="D95:AB95"/>
    <mergeCell ref="D96:AB96"/>
    <mergeCell ref="D97:AB97"/>
    <mergeCell ref="D98:AB98"/>
    <mergeCell ref="D99:AB99"/>
    <mergeCell ref="D100:AB100"/>
    <mergeCell ref="D101:AB101"/>
    <mergeCell ref="D102:AB102"/>
    <mergeCell ref="B86:B93"/>
    <mergeCell ref="C86:C93"/>
    <mergeCell ref="D86:H86"/>
    <mergeCell ref="I86:AB86"/>
    <mergeCell ref="D87:H87"/>
    <mergeCell ref="I87:AB87"/>
    <mergeCell ref="D88:H88"/>
    <mergeCell ref="I88:AB88"/>
    <mergeCell ref="D89:H89"/>
    <mergeCell ref="I89:AB89"/>
    <mergeCell ref="D90:H90"/>
    <mergeCell ref="I90:AB90"/>
    <mergeCell ref="D91:H91"/>
    <mergeCell ref="I91:AB91"/>
    <mergeCell ref="D92:H92"/>
    <mergeCell ref="I92:AB92"/>
    <mergeCell ref="D93:H93"/>
    <mergeCell ref="I93:AB93"/>
    <mergeCell ref="B68:B75"/>
    <mergeCell ref="C68:C75"/>
    <mergeCell ref="D68:M68"/>
    <mergeCell ref="N68:R68"/>
    <mergeCell ref="S68:AB68"/>
    <mergeCell ref="D69:M69"/>
    <mergeCell ref="N69:R69"/>
    <mergeCell ref="S69:AB69"/>
    <mergeCell ref="D70:M70"/>
    <mergeCell ref="N70:R70"/>
    <mergeCell ref="S70:AB70"/>
    <mergeCell ref="D71:M71"/>
    <mergeCell ref="D75:M75"/>
    <mergeCell ref="N71:R71"/>
    <mergeCell ref="S71:AB71"/>
    <mergeCell ref="D72:M72"/>
    <mergeCell ref="N72:R72"/>
    <mergeCell ref="S72:AB72"/>
    <mergeCell ref="D73:M73"/>
    <mergeCell ref="N73:R73"/>
    <mergeCell ref="S73:AB73"/>
    <mergeCell ref="D74:M74"/>
    <mergeCell ref="N74:R74"/>
    <mergeCell ref="S74:AB74"/>
    <mergeCell ref="B77:B84"/>
    <mergeCell ref="C77:C84"/>
    <mergeCell ref="D77:AB77"/>
    <mergeCell ref="D78:AB78"/>
    <mergeCell ref="D79:AB79"/>
    <mergeCell ref="D80:AB80"/>
    <mergeCell ref="D81:AB81"/>
    <mergeCell ref="D82:AB82"/>
    <mergeCell ref="D83:AB83"/>
    <mergeCell ref="D84:AB84"/>
    <mergeCell ref="R64:V64"/>
    <mergeCell ref="W64:AB64"/>
    <mergeCell ref="D65:H65"/>
    <mergeCell ref="I65:Q65"/>
    <mergeCell ref="R65:V65"/>
    <mergeCell ref="W65:AB65"/>
    <mergeCell ref="D66:H66"/>
    <mergeCell ref="I66:Q66"/>
    <mergeCell ref="R66:V66"/>
    <mergeCell ref="W66:AB66"/>
    <mergeCell ref="D64:H64"/>
    <mergeCell ref="I64:Q64"/>
    <mergeCell ref="N75:R75"/>
    <mergeCell ref="S75:AB75"/>
    <mergeCell ref="B59:B66"/>
    <mergeCell ref="C59:C66"/>
    <mergeCell ref="D59:H59"/>
    <mergeCell ref="I59:Q59"/>
    <mergeCell ref="R59:V59"/>
    <mergeCell ref="W59:AB59"/>
    <mergeCell ref="D60:H60"/>
    <mergeCell ref="I60:Q60"/>
    <mergeCell ref="R60:V60"/>
    <mergeCell ref="W60:AB60"/>
    <mergeCell ref="D61:H61"/>
    <mergeCell ref="I61:Q61"/>
    <mergeCell ref="R61:V61"/>
    <mergeCell ref="W61:AB61"/>
    <mergeCell ref="D62:H62"/>
    <mergeCell ref="I62:Q62"/>
    <mergeCell ref="R62:V62"/>
    <mergeCell ref="W62:AB62"/>
    <mergeCell ref="D63:H63"/>
    <mergeCell ref="I63:Q63"/>
    <mergeCell ref="R63:V63"/>
    <mergeCell ref="W63:AB63"/>
    <mergeCell ref="B50:B57"/>
    <mergeCell ref="C50:C57"/>
    <mergeCell ref="D50:Q50"/>
    <mergeCell ref="R50:AB50"/>
    <mergeCell ref="D51:Q51"/>
    <mergeCell ref="R51:AB51"/>
    <mergeCell ref="D52:Q52"/>
    <mergeCell ref="R52:AB52"/>
    <mergeCell ref="D53:Q53"/>
    <mergeCell ref="R53:AB53"/>
    <mergeCell ref="D54:Q54"/>
    <mergeCell ref="R54:AB54"/>
    <mergeCell ref="D55:Q55"/>
    <mergeCell ref="R55:AB55"/>
    <mergeCell ref="D56:Q56"/>
    <mergeCell ref="R56:AB56"/>
    <mergeCell ref="D57:Q57"/>
    <mergeCell ref="R57:AB57"/>
    <mergeCell ref="B41:B48"/>
    <mergeCell ref="C41:C48"/>
    <mergeCell ref="D41:W41"/>
    <mergeCell ref="X41:AB41"/>
    <mergeCell ref="D42:W42"/>
    <mergeCell ref="X42:AB42"/>
    <mergeCell ref="D43:W43"/>
    <mergeCell ref="X43:AB43"/>
    <mergeCell ref="D44:W44"/>
    <mergeCell ref="X44:AB44"/>
    <mergeCell ref="D45:W45"/>
    <mergeCell ref="X45:AB45"/>
    <mergeCell ref="D46:W46"/>
    <mergeCell ref="X46:AB46"/>
    <mergeCell ref="D47:W47"/>
    <mergeCell ref="X47:AB47"/>
    <mergeCell ref="D48:W48"/>
    <mergeCell ref="X48:AB48"/>
    <mergeCell ref="B32:B39"/>
    <mergeCell ref="C32:C39"/>
    <mergeCell ref="D32:Q32"/>
    <mergeCell ref="R32:AB32"/>
    <mergeCell ref="D33:Q33"/>
    <mergeCell ref="R33:AB33"/>
    <mergeCell ref="D34:Q34"/>
    <mergeCell ref="R34:AB34"/>
    <mergeCell ref="D35:Q35"/>
    <mergeCell ref="R35:AB35"/>
    <mergeCell ref="D36:Q36"/>
    <mergeCell ref="R36:AB36"/>
    <mergeCell ref="D37:Q37"/>
    <mergeCell ref="R37:AB37"/>
    <mergeCell ref="D38:Q38"/>
    <mergeCell ref="R38:AB38"/>
    <mergeCell ref="D39:Q39"/>
    <mergeCell ref="R39:AB39"/>
    <mergeCell ref="B23:B30"/>
    <mergeCell ref="C23:C30"/>
    <mergeCell ref="D23:Q23"/>
    <mergeCell ref="R23:AB23"/>
    <mergeCell ref="D24:Q24"/>
    <mergeCell ref="R24:AB24"/>
    <mergeCell ref="D25:Q25"/>
    <mergeCell ref="R25:AB25"/>
    <mergeCell ref="D26:Q26"/>
    <mergeCell ref="R26:AB26"/>
    <mergeCell ref="D27:Q27"/>
    <mergeCell ref="R27:AB27"/>
    <mergeCell ref="D28:Q28"/>
    <mergeCell ref="R28:AB28"/>
    <mergeCell ref="D29:Q29"/>
    <mergeCell ref="R29:AB29"/>
    <mergeCell ref="D30:Q30"/>
    <mergeCell ref="R30:AB30"/>
    <mergeCell ref="B14:B21"/>
    <mergeCell ref="C14:C21"/>
    <mergeCell ref="D14:K14"/>
    <mergeCell ref="L14:AB14"/>
    <mergeCell ref="D15:K15"/>
    <mergeCell ref="L15:AB15"/>
    <mergeCell ref="D16:K16"/>
    <mergeCell ref="L16:AB16"/>
    <mergeCell ref="D17:K17"/>
    <mergeCell ref="L17:AB17"/>
    <mergeCell ref="D18:K18"/>
    <mergeCell ref="L18:AB18"/>
    <mergeCell ref="D19:K19"/>
    <mergeCell ref="L19:AB19"/>
    <mergeCell ref="D20:K20"/>
    <mergeCell ref="L20:AB20"/>
    <mergeCell ref="D21:AB21"/>
    <mergeCell ref="A1:AD1"/>
    <mergeCell ref="A2:AD2"/>
    <mergeCell ref="D3:AB3"/>
    <mergeCell ref="D4:AB4"/>
    <mergeCell ref="B5:B12"/>
    <mergeCell ref="C5:C12"/>
    <mergeCell ref="D5:K5"/>
    <mergeCell ref="L5:AB5"/>
    <mergeCell ref="D6:K6"/>
    <mergeCell ref="L6:AB6"/>
    <mergeCell ref="D7:K7"/>
    <mergeCell ref="L7:AB7"/>
    <mergeCell ref="D8:K8"/>
    <mergeCell ref="L8:AB8"/>
    <mergeCell ref="D9:K9"/>
    <mergeCell ref="L9:AB9"/>
    <mergeCell ref="D10:K10"/>
    <mergeCell ref="L10:AB10"/>
    <mergeCell ref="D11:K11"/>
    <mergeCell ref="L11:AB11"/>
    <mergeCell ref="D12:K12"/>
    <mergeCell ref="L12:AB12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66" t="s">
        <v>436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6"/>
      <c r="O1" s="6"/>
    </row>
    <row r="2" spans="1:15" ht="27.75" customHeight="1" x14ac:dyDescent="0.35">
      <c r="A2" s="2" t="s">
        <v>437</v>
      </c>
      <c r="B2" s="2" t="s">
        <v>61</v>
      </c>
      <c r="C2" s="2" t="s">
        <v>438</v>
      </c>
      <c r="D2" s="2" t="s">
        <v>267</v>
      </c>
      <c r="E2" s="2" t="s">
        <v>63</v>
      </c>
      <c r="F2" s="2" t="s">
        <v>67</v>
      </c>
      <c r="G2" s="2" t="s">
        <v>439</v>
      </c>
      <c r="H2" s="2" t="s">
        <v>440</v>
      </c>
      <c r="I2" s="2" t="s">
        <v>441</v>
      </c>
      <c r="J2" s="2" t="s">
        <v>442</v>
      </c>
      <c r="K2" s="2" t="s">
        <v>443</v>
      </c>
      <c r="L2" s="2" t="s">
        <v>444</v>
      </c>
      <c r="M2" s="2" t="s">
        <v>445</v>
      </c>
      <c r="N2" s="2" t="s">
        <v>446</v>
      </c>
      <c r="O2" s="2" t="s">
        <v>85</v>
      </c>
    </row>
    <row r="3" spans="1:15" ht="18" customHeight="1" x14ac:dyDescent="0.35">
      <c r="A3" s="23">
        <v>45962</v>
      </c>
      <c r="B3" s="14" t="s">
        <v>190</v>
      </c>
      <c r="C3" s="88" t="s">
        <v>447</v>
      </c>
      <c r="D3" s="13" t="s">
        <v>189</v>
      </c>
      <c r="E3" s="22">
        <v>344.5</v>
      </c>
      <c r="F3" s="25">
        <v>990.29</v>
      </c>
      <c r="G3" s="148">
        <v>3.5000000000000003E-2</v>
      </c>
      <c r="H3" s="23">
        <v>45992</v>
      </c>
      <c r="I3" s="23">
        <v>47483</v>
      </c>
      <c r="J3" s="13" t="s">
        <v>448</v>
      </c>
      <c r="K3" s="149">
        <v>0.4</v>
      </c>
      <c r="L3" s="25">
        <v>0</v>
      </c>
      <c r="M3" s="25">
        <v>137802.12</v>
      </c>
      <c r="N3" s="25">
        <v>0</v>
      </c>
      <c r="O3" s="14" t="s">
        <v>449</v>
      </c>
    </row>
    <row r="4" spans="1:15" ht="18" customHeight="1" x14ac:dyDescent="0.35">
      <c r="A4" s="35">
        <v>45962</v>
      </c>
      <c r="B4" s="17" t="s">
        <v>195</v>
      </c>
      <c r="C4" s="88" t="s">
        <v>447</v>
      </c>
      <c r="D4" s="32" t="s">
        <v>194</v>
      </c>
      <c r="E4" s="34">
        <v>251</v>
      </c>
      <c r="F4" s="37">
        <v>985</v>
      </c>
      <c r="G4" s="150">
        <v>3.5000000000000003E-2</v>
      </c>
      <c r="H4" s="35">
        <v>45962</v>
      </c>
      <c r="I4" s="35">
        <v>47787</v>
      </c>
      <c r="J4" s="32" t="s">
        <v>450</v>
      </c>
      <c r="K4" s="125">
        <v>0.37</v>
      </c>
      <c r="L4" s="37">
        <v>0</v>
      </c>
      <c r="M4" s="37">
        <v>66750.12</v>
      </c>
      <c r="N4" s="37">
        <v>0</v>
      </c>
      <c r="O4" s="17" t="s">
        <v>451</v>
      </c>
    </row>
    <row r="5" spans="1:15" ht="18" customHeight="1" x14ac:dyDescent="0.35">
      <c r="A5" s="23">
        <v>45870</v>
      </c>
      <c r="B5" s="14" t="s">
        <v>150</v>
      </c>
      <c r="C5" s="88" t="s">
        <v>447</v>
      </c>
      <c r="D5" s="13" t="s">
        <v>149</v>
      </c>
      <c r="E5" s="22">
        <v>267.89999999999998</v>
      </c>
      <c r="F5" s="25">
        <v>920</v>
      </c>
      <c r="G5" s="12"/>
      <c r="H5" s="23">
        <v>45870</v>
      </c>
      <c r="I5" s="23">
        <v>48426</v>
      </c>
      <c r="J5" s="13" t="s">
        <v>452</v>
      </c>
      <c r="K5" s="149">
        <v>0.4</v>
      </c>
      <c r="L5" s="25">
        <v>0</v>
      </c>
      <c r="M5" s="25">
        <v>690110</v>
      </c>
      <c r="N5" s="25">
        <v>0</v>
      </c>
      <c r="O5" s="14" t="s">
        <v>453</v>
      </c>
    </row>
    <row r="6" spans="1:15" ht="18" customHeight="1" x14ac:dyDescent="0.35">
      <c r="A6" s="35">
        <v>45809</v>
      </c>
      <c r="B6" s="17" t="s">
        <v>176</v>
      </c>
      <c r="C6" s="88" t="s">
        <v>447</v>
      </c>
      <c r="D6" s="32" t="s">
        <v>175</v>
      </c>
      <c r="E6" s="34">
        <v>116.3</v>
      </c>
      <c r="F6" s="37">
        <v>990</v>
      </c>
      <c r="G6" s="150">
        <v>3.7499999999999999E-2</v>
      </c>
      <c r="H6" s="35">
        <v>45809</v>
      </c>
      <c r="I6" s="35">
        <v>47787</v>
      </c>
      <c r="J6" s="32" t="s">
        <v>454</v>
      </c>
      <c r="K6" s="125">
        <v>0.42</v>
      </c>
      <c r="L6" s="37">
        <v>0</v>
      </c>
      <c r="M6" s="37">
        <v>48357.48</v>
      </c>
      <c r="N6" s="37">
        <v>0</v>
      </c>
      <c r="O6" s="17" t="s">
        <v>455</v>
      </c>
    </row>
    <row r="7" spans="1:15" ht="18" customHeight="1" x14ac:dyDescent="0.35">
      <c r="A7" s="23">
        <v>45762</v>
      </c>
      <c r="B7" s="14" t="s">
        <v>136</v>
      </c>
      <c r="C7" s="88" t="s">
        <v>447</v>
      </c>
      <c r="D7" s="13" t="s">
        <v>135</v>
      </c>
      <c r="E7" s="22">
        <v>451.7</v>
      </c>
      <c r="F7" s="25">
        <v>954.5</v>
      </c>
      <c r="G7" s="148">
        <v>3.7499999999999999E-2</v>
      </c>
      <c r="H7" s="23">
        <v>45762</v>
      </c>
      <c r="I7" s="23">
        <v>47375</v>
      </c>
      <c r="J7" s="13" t="s">
        <v>456</v>
      </c>
      <c r="K7" s="149">
        <v>0.5</v>
      </c>
      <c r="L7" s="25">
        <v>0</v>
      </c>
      <c r="M7" s="25">
        <v>211718.64</v>
      </c>
      <c r="N7" s="25">
        <v>0</v>
      </c>
      <c r="O7" s="14" t="s">
        <v>457</v>
      </c>
    </row>
    <row r="8" spans="1:15" ht="18" customHeight="1" x14ac:dyDescent="0.35">
      <c r="A8" s="35">
        <v>45642</v>
      </c>
      <c r="B8" s="17" t="s">
        <v>201</v>
      </c>
      <c r="C8" s="88" t="s">
        <v>447</v>
      </c>
      <c r="D8" s="32" t="s">
        <v>199</v>
      </c>
      <c r="E8" s="34">
        <v>536</v>
      </c>
      <c r="F8" s="37">
        <v>988</v>
      </c>
      <c r="G8" s="150">
        <v>0.04</v>
      </c>
      <c r="H8" s="35">
        <v>45642</v>
      </c>
      <c r="I8" s="35">
        <v>47832</v>
      </c>
      <c r="J8" s="32" t="s">
        <v>458</v>
      </c>
      <c r="K8" s="125">
        <v>0.35</v>
      </c>
      <c r="L8" s="37">
        <v>762115</v>
      </c>
      <c r="M8" s="37">
        <v>51200.76</v>
      </c>
      <c r="N8" s="37">
        <v>0</v>
      </c>
      <c r="O8" s="17" t="s">
        <v>459</v>
      </c>
    </row>
    <row r="9" spans="1:15" ht="18" customHeight="1" x14ac:dyDescent="0.35">
      <c r="A9" s="23">
        <v>45352</v>
      </c>
      <c r="B9" s="14" t="s">
        <v>129</v>
      </c>
      <c r="C9" s="88" t="s">
        <v>447</v>
      </c>
      <c r="D9" s="13" t="s">
        <v>128</v>
      </c>
      <c r="E9" s="22">
        <v>413.5</v>
      </c>
      <c r="F9" s="25">
        <v>1005.89</v>
      </c>
      <c r="G9" s="148">
        <v>0.04</v>
      </c>
      <c r="H9" s="23">
        <v>45352</v>
      </c>
      <c r="I9" s="23">
        <v>47177</v>
      </c>
      <c r="J9" s="13" t="s">
        <v>450</v>
      </c>
      <c r="K9" s="149">
        <v>0.25</v>
      </c>
      <c r="L9" s="25">
        <v>672971.25</v>
      </c>
      <c r="M9" s="25">
        <v>104594.28</v>
      </c>
      <c r="N9" s="25">
        <v>0</v>
      </c>
      <c r="O9" s="14" t="s">
        <v>460</v>
      </c>
    </row>
    <row r="10" spans="1:15" ht="18" customHeight="1" x14ac:dyDescent="0.35">
      <c r="A10" s="35">
        <v>45444</v>
      </c>
      <c r="B10" s="17" t="s">
        <v>120</v>
      </c>
      <c r="C10" s="13" t="s">
        <v>461</v>
      </c>
      <c r="D10" s="32" t="s">
        <v>119</v>
      </c>
      <c r="E10" s="34">
        <v>229.8</v>
      </c>
      <c r="F10" s="37">
        <v>877.01</v>
      </c>
      <c r="G10" s="150">
        <v>3.5000000000000003E-2</v>
      </c>
      <c r="H10" s="35">
        <v>45444</v>
      </c>
      <c r="I10" s="35">
        <v>47269</v>
      </c>
      <c r="J10" s="32" t="s">
        <v>450</v>
      </c>
      <c r="K10" s="125">
        <v>0</v>
      </c>
      <c r="L10" s="37">
        <v>0</v>
      </c>
      <c r="M10" s="37">
        <v>0</v>
      </c>
      <c r="N10" s="37">
        <v>0</v>
      </c>
      <c r="O10" s="17" t="s">
        <v>462</v>
      </c>
    </row>
    <row r="11" spans="1:15" ht="18" customHeight="1" x14ac:dyDescent="0.35">
      <c r="A11" s="23">
        <v>45992</v>
      </c>
      <c r="B11" s="14" t="s">
        <v>207</v>
      </c>
      <c r="C11" s="88" t="s">
        <v>447</v>
      </c>
      <c r="D11" s="13" t="s">
        <v>206</v>
      </c>
      <c r="E11" s="22">
        <v>186.4</v>
      </c>
      <c r="F11" s="25">
        <v>920</v>
      </c>
      <c r="G11" s="12"/>
      <c r="H11" s="23">
        <v>46204</v>
      </c>
      <c r="I11" s="23">
        <v>48395</v>
      </c>
      <c r="J11" s="13" t="s">
        <v>458</v>
      </c>
      <c r="K11" s="13">
        <v>46.5</v>
      </c>
      <c r="L11" s="151">
        <v>0</v>
      </c>
      <c r="M11" s="152">
        <v>512255</v>
      </c>
      <c r="N11" s="25">
        <v>0</v>
      </c>
      <c r="O11" s="14" t="s">
        <v>463</v>
      </c>
    </row>
    <row r="12" spans="1:15" ht="18" customHeight="1" x14ac:dyDescent="0.35">
      <c r="A12" s="23">
        <v>45931</v>
      </c>
      <c r="B12" s="14" t="s">
        <v>221</v>
      </c>
      <c r="C12" s="88" t="s">
        <v>447</v>
      </c>
      <c r="D12" s="32">
        <v>11.02</v>
      </c>
      <c r="E12" s="34">
        <v>536</v>
      </c>
      <c r="F12" s="37">
        <v>1040</v>
      </c>
      <c r="G12" s="150">
        <v>3.5000000000000003E-2</v>
      </c>
      <c r="H12" s="35">
        <v>46296</v>
      </c>
      <c r="I12" s="35">
        <v>49582</v>
      </c>
      <c r="J12" s="32" t="s">
        <v>458</v>
      </c>
      <c r="K12" s="125">
        <v>0.42499999999999999</v>
      </c>
      <c r="L12" s="151">
        <v>750400</v>
      </c>
      <c r="M12" s="152">
        <v>671072</v>
      </c>
      <c r="N12" s="37">
        <v>0</v>
      </c>
      <c r="O12" s="14" t="s">
        <v>464</v>
      </c>
    </row>
    <row r="13" spans="1:15" ht="18" customHeight="1" x14ac:dyDescent="0.35">
      <c r="A13" s="153"/>
      <c r="B13" s="114"/>
      <c r="C13" s="154"/>
      <c r="D13" s="12"/>
      <c r="E13" s="155"/>
      <c r="F13" s="156"/>
      <c r="G13" s="12"/>
      <c r="H13" s="153"/>
      <c r="I13" s="153"/>
      <c r="J13" s="12"/>
      <c r="K13" s="12"/>
      <c r="L13" s="12"/>
      <c r="M13" s="12"/>
      <c r="N13" s="156"/>
      <c r="O13" s="114"/>
    </row>
    <row r="14" spans="1:15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9.5" customHeight="1" x14ac:dyDescent="0.35">
      <c r="A16" s="216" t="s">
        <v>465</v>
      </c>
      <c r="B16" s="216"/>
      <c r="C16" s="216"/>
      <c r="D16" s="21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234" t="s">
        <v>466</v>
      </c>
      <c r="B17" s="234"/>
      <c r="C17" s="234"/>
      <c r="D17" s="157" t="str">
        <f ca="1">TEXT(Dashboard!E14,"0.0")&amp;" years"</f>
        <v>0.0 years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298" t="s">
        <v>467</v>
      </c>
      <c r="B18" s="298"/>
      <c r="C18" s="298"/>
      <c r="D18" s="16" t="str">
        <f>TEXT('Input Data'!K26,"0.00%")</f>
        <v>88.53%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234" t="s">
        <v>468</v>
      </c>
      <c r="B19" s="234"/>
      <c r="C19" s="234"/>
      <c r="D19" s="157" t="s">
        <v>469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.75" customHeight="1" x14ac:dyDescent="0.35">
      <c r="A20" s="298" t="s">
        <v>470</v>
      </c>
      <c r="B20" s="298"/>
      <c r="C20" s="298"/>
      <c r="D20" s="16" t="s">
        <v>471</v>
      </c>
      <c r="E20" s="6"/>
      <c r="F20" s="6"/>
      <c r="G20" s="6"/>
      <c r="H20" s="6"/>
      <c r="I20" s="6"/>
      <c r="J20" s="6"/>
      <c r="K20" s="59" t="s">
        <v>472</v>
      </c>
      <c r="L20" s="6"/>
      <c r="M20" s="6"/>
      <c r="N20" s="6"/>
      <c r="O20" s="6"/>
    </row>
    <row r="21" spans="1:15" ht="15.75" customHeight="1" x14ac:dyDescent="0.35">
      <c r="A21" s="234" t="s">
        <v>473</v>
      </c>
      <c r="B21" s="234"/>
      <c r="C21" s="234"/>
      <c r="D21" s="157" t="s">
        <v>474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5.75" customHeight="1" x14ac:dyDescent="0.35">
      <c r="A22" s="298" t="s">
        <v>475</v>
      </c>
      <c r="B22" s="298"/>
      <c r="C22" s="298"/>
      <c r="D22" s="16" t="s">
        <v>476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.75" customHeight="1" x14ac:dyDescent="0.35">
      <c r="A23" s="234" t="s">
        <v>477</v>
      </c>
      <c r="B23" s="234"/>
      <c r="C23" s="234"/>
      <c r="D23" s="157" t="str">
        <f>TEXT(SUM(E3:E12),"#,##0")&amp;" sqm leased/renewed"</f>
        <v>3,333 sqm leased/renewed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158"/>
      <c r="L27" s="6"/>
      <c r="M27" s="6"/>
      <c r="N27" s="6"/>
      <c r="O27" s="6"/>
    </row>
  </sheetData>
  <mergeCells count="9">
    <mergeCell ref="A20:C20"/>
    <mergeCell ref="A21:C21"/>
    <mergeCell ref="A22:C22"/>
    <mergeCell ref="A23:C23"/>
    <mergeCell ref="A1:M1"/>
    <mergeCell ref="A16:D16"/>
    <mergeCell ref="A17:C17"/>
    <mergeCell ref="A18:C18"/>
    <mergeCell ref="A19:C1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66" t="s">
        <v>478</v>
      </c>
      <c r="B1" s="266"/>
      <c r="C1" s="266"/>
      <c r="D1" s="266"/>
      <c r="E1" s="266"/>
      <c r="F1" s="266"/>
      <c r="G1" s="266"/>
      <c r="H1" s="266"/>
      <c r="I1" s="266"/>
      <c r="J1" s="266"/>
      <c r="K1" s="6"/>
      <c r="L1" s="6"/>
      <c r="M1" s="6"/>
    </row>
    <row r="2" spans="1:13" ht="15.75" customHeight="1" x14ac:dyDescent="0.35">
      <c r="A2" s="248" t="s">
        <v>479</v>
      </c>
      <c r="B2" s="248"/>
      <c r="C2" s="248"/>
      <c r="D2" s="248"/>
      <c r="E2" s="248"/>
      <c r="F2" s="248"/>
      <c r="G2" s="248"/>
      <c r="H2" s="248"/>
      <c r="I2" s="248"/>
      <c r="J2" s="248"/>
      <c r="K2" s="6"/>
      <c r="L2" s="6"/>
      <c r="M2" s="6"/>
    </row>
    <row r="3" spans="1:13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9.5" customHeight="1" x14ac:dyDescent="0.35">
      <c r="A4" s="6"/>
      <c r="B4" s="204" t="s">
        <v>480</v>
      </c>
      <c r="C4" s="204"/>
      <c r="D4" s="204"/>
      <c r="E4" s="204"/>
      <c r="F4" s="204"/>
      <c r="G4" s="204"/>
      <c r="H4" s="204"/>
      <c r="I4" s="204"/>
      <c r="J4" s="6"/>
      <c r="K4" s="6"/>
      <c r="L4" s="6"/>
      <c r="M4" s="6"/>
    </row>
    <row r="5" spans="1:13" ht="21.75" customHeight="1" x14ac:dyDescent="0.35">
      <c r="A5" s="6"/>
      <c r="B5" s="234" t="s">
        <v>481</v>
      </c>
      <c r="C5" s="234"/>
      <c r="D5" s="234" t="s">
        <v>482</v>
      </c>
      <c r="E5" s="234"/>
      <c r="F5" s="234" t="s">
        <v>483</v>
      </c>
      <c r="G5" s="234"/>
      <c r="H5" s="234" t="s">
        <v>484</v>
      </c>
      <c r="I5" s="234"/>
      <c r="J5" s="6"/>
      <c r="K5" s="6"/>
      <c r="L5" s="6"/>
      <c r="M5" s="6"/>
    </row>
    <row r="6" spans="1:13" ht="21.75" customHeight="1" x14ac:dyDescent="0.35">
      <c r="A6" s="6"/>
      <c r="B6" s="299" t="s">
        <v>4</v>
      </c>
      <c r="C6" s="299"/>
      <c r="D6" s="299" t="s">
        <v>4</v>
      </c>
      <c r="E6" s="299"/>
      <c r="F6" s="299" t="s">
        <v>4</v>
      </c>
      <c r="G6" s="299"/>
      <c r="H6" s="299" t="s">
        <v>4</v>
      </c>
      <c r="I6" s="299"/>
      <c r="J6" s="6"/>
      <c r="K6" s="6"/>
      <c r="L6" s="6"/>
      <c r="M6" s="6"/>
    </row>
    <row r="7" spans="1:13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ht="19.5" customHeight="1" x14ac:dyDescent="0.35">
      <c r="A8" s="6"/>
      <c r="B8" s="204" t="s">
        <v>485</v>
      </c>
      <c r="C8" s="204"/>
      <c r="D8" s="204"/>
      <c r="E8" s="204"/>
      <c r="F8" s="204"/>
      <c r="G8" s="204"/>
      <c r="H8" s="204"/>
      <c r="I8" s="204"/>
      <c r="J8" s="6"/>
      <c r="K8" s="6"/>
      <c r="L8" s="6"/>
      <c r="M8" s="6"/>
    </row>
    <row r="9" spans="1:13" ht="31.5" customHeight="1" x14ac:dyDescent="0.35">
      <c r="A9" s="6"/>
      <c r="B9" s="2" t="s">
        <v>486</v>
      </c>
      <c r="C9" s="2" t="s">
        <v>487</v>
      </c>
      <c r="D9" s="2" t="s">
        <v>63</v>
      </c>
      <c r="E9" s="2" t="s">
        <v>488</v>
      </c>
      <c r="F9" s="2" t="s">
        <v>86</v>
      </c>
      <c r="G9" s="2" t="s">
        <v>489</v>
      </c>
      <c r="H9" s="2" t="s">
        <v>490</v>
      </c>
      <c r="I9" s="2" t="s">
        <v>491</v>
      </c>
      <c r="J9" s="2" t="s">
        <v>492</v>
      </c>
      <c r="K9" s="2" t="s">
        <v>493</v>
      </c>
      <c r="L9" s="2" t="s">
        <v>494</v>
      </c>
      <c r="M9" s="2" t="s">
        <v>85</v>
      </c>
    </row>
    <row r="10" spans="1:13" ht="19.5" customHeight="1" x14ac:dyDescent="0.35">
      <c r="A10" s="6"/>
      <c r="B10" s="13" t="s">
        <v>182</v>
      </c>
      <c r="C10" s="14" t="s">
        <v>495</v>
      </c>
      <c r="D10" s="22">
        <v>453.3</v>
      </c>
      <c r="E10" s="23">
        <v>44746</v>
      </c>
      <c r="F10" s="88" t="s">
        <v>496</v>
      </c>
      <c r="G10" s="25">
        <v>64625.279999999999</v>
      </c>
      <c r="H10" s="25">
        <v>186.24</v>
      </c>
      <c r="I10" s="13">
        <v>0</v>
      </c>
      <c r="J10" s="25">
        <v>64625.279999999999</v>
      </c>
      <c r="K10" s="12"/>
      <c r="L10" s="14" t="s">
        <v>497</v>
      </c>
      <c r="M10" s="13" t="s">
        <v>498</v>
      </c>
    </row>
    <row r="11" spans="1:13" ht="19.5" customHeight="1" x14ac:dyDescent="0.35">
      <c r="A11" s="6"/>
      <c r="B11" s="159" t="s">
        <v>211</v>
      </c>
      <c r="C11" s="19" t="s">
        <v>499</v>
      </c>
      <c r="D11" s="160">
        <v>349</v>
      </c>
      <c r="E11" s="95">
        <v>45292</v>
      </c>
      <c r="F11" s="88" t="s">
        <v>496</v>
      </c>
      <c r="G11" s="161">
        <v>86789.32</v>
      </c>
      <c r="H11" s="161">
        <v>248.68</v>
      </c>
      <c r="I11" s="159">
        <v>0</v>
      </c>
      <c r="J11" s="161">
        <v>86789.32</v>
      </c>
      <c r="K11" s="162"/>
      <c r="L11" s="19" t="s">
        <v>500</v>
      </c>
      <c r="M11" s="159" t="s">
        <v>501</v>
      </c>
    </row>
    <row r="12" spans="1:13" ht="19.5" customHeight="1" x14ac:dyDescent="0.35">
      <c r="A12" s="6"/>
      <c r="B12" s="13" t="s">
        <v>214</v>
      </c>
      <c r="C12" s="14" t="s">
        <v>502</v>
      </c>
      <c r="D12" s="22">
        <v>438</v>
      </c>
      <c r="E12" s="23">
        <v>45292</v>
      </c>
      <c r="F12" s="88" t="s">
        <v>496</v>
      </c>
      <c r="G12" s="25">
        <v>671825</v>
      </c>
      <c r="H12" s="25">
        <v>1547.98</v>
      </c>
      <c r="I12" s="13">
        <v>0</v>
      </c>
      <c r="J12" s="25">
        <v>671825</v>
      </c>
      <c r="K12" s="12"/>
      <c r="L12" s="14" t="s">
        <v>500</v>
      </c>
      <c r="M12" s="13" t="s">
        <v>503</v>
      </c>
    </row>
    <row r="13" spans="1:13" ht="19.5" customHeight="1" x14ac:dyDescent="0.35">
      <c r="A13" s="6"/>
      <c r="B13" s="159" t="s">
        <v>206</v>
      </c>
      <c r="C13" s="19" t="s">
        <v>504</v>
      </c>
      <c r="D13" s="160">
        <v>186.4</v>
      </c>
      <c r="E13" s="95">
        <v>44562</v>
      </c>
      <c r="F13" s="88" t="s">
        <v>496</v>
      </c>
      <c r="G13" s="161">
        <v>170556</v>
      </c>
      <c r="H13" s="161">
        <v>915</v>
      </c>
      <c r="I13" s="159">
        <v>0</v>
      </c>
      <c r="J13" s="161">
        <v>170556</v>
      </c>
      <c r="K13" s="162"/>
      <c r="L13" s="19" t="s">
        <v>497</v>
      </c>
      <c r="M13" s="159" t="s">
        <v>505</v>
      </c>
    </row>
    <row r="14" spans="1:13" ht="19.5" customHeight="1" x14ac:dyDescent="0.35">
      <c r="A14" s="6"/>
      <c r="B14" s="13" t="s">
        <v>189</v>
      </c>
      <c r="C14" s="14" t="s">
        <v>506</v>
      </c>
      <c r="D14" s="22">
        <v>251</v>
      </c>
      <c r="E14" s="23">
        <v>44562</v>
      </c>
      <c r="F14" s="88" t="s">
        <v>496</v>
      </c>
      <c r="G14" s="25">
        <v>248030.67</v>
      </c>
      <c r="H14" s="25">
        <v>988.17</v>
      </c>
      <c r="I14" s="13">
        <v>0</v>
      </c>
      <c r="J14" s="25">
        <v>248030.67</v>
      </c>
      <c r="K14" s="12"/>
      <c r="L14" s="14" t="s">
        <v>507</v>
      </c>
      <c r="M14" s="13" t="s">
        <v>508</v>
      </c>
    </row>
    <row r="15" spans="1:13" ht="19.5" customHeight="1" x14ac:dyDescent="0.35">
      <c r="A15" s="6"/>
      <c r="B15" s="159" t="s">
        <v>175</v>
      </c>
      <c r="C15" s="19" t="s">
        <v>509</v>
      </c>
      <c r="D15" s="160">
        <v>116.3</v>
      </c>
      <c r="E15" s="95">
        <v>45658</v>
      </c>
      <c r="F15" s="88" t="s">
        <v>496</v>
      </c>
      <c r="G15" s="161">
        <v>3023.8</v>
      </c>
      <c r="H15" s="161">
        <v>26</v>
      </c>
      <c r="I15" s="159">
        <v>0</v>
      </c>
      <c r="J15" s="161">
        <v>3023.8</v>
      </c>
      <c r="K15" s="162"/>
      <c r="L15" s="19" t="s">
        <v>510</v>
      </c>
      <c r="M15" s="159" t="s">
        <v>511</v>
      </c>
    </row>
    <row r="16" spans="1:13" ht="19.5" customHeight="1" x14ac:dyDescent="0.35">
      <c r="A16" s="6"/>
      <c r="B16" s="13" t="s">
        <v>512</v>
      </c>
      <c r="C16" s="14" t="s">
        <v>513</v>
      </c>
      <c r="D16" s="22">
        <v>850.4</v>
      </c>
      <c r="E16" s="23">
        <v>45809</v>
      </c>
      <c r="F16" s="13" t="s">
        <v>514</v>
      </c>
      <c r="G16" s="41" t="s">
        <v>4</v>
      </c>
      <c r="H16" s="41" t="s">
        <v>4</v>
      </c>
      <c r="I16" s="41" t="s">
        <v>4</v>
      </c>
      <c r="J16" s="41" t="s">
        <v>4</v>
      </c>
      <c r="K16" s="12"/>
      <c r="L16" s="14" t="s">
        <v>259</v>
      </c>
      <c r="M16" s="13" t="s">
        <v>515</v>
      </c>
    </row>
    <row r="17" spans="1:13" ht="19.5" customHeight="1" x14ac:dyDescent="0.35">
      <c r="A17" s="6"/>
      <c r="B17" s="159" t="s">
        <v>194</v>
      </c>
      <c r="C17" s="19" t="s">
        <v>516</v>
      </c>
      <c r="D17" s="160">
        <v>344.5</v>
      </c>
      <c r="E17" s="95">
        <v>45658</v>
      </c>
      <c r="F17" s="88" t="s">
        <v>496</v>
      </c>
      <c r="G17" s="161">
        <v>64161</v>
      </c>
      <c r="H17" s="161">
        <v>186.24</v>
      </c>
      <c r="I17" s="159">
        <v>0</v>
      </c>
      <c r="J17" s="161">
        <v>64161</v>
      </c>
      <c r="K17" s="162"/>
      <c r="L17" s="19" t="s">
        <v>510</v>
      </c>
      <c r="M17" s="159" t="s">
        <v>517</v>
      </c>
    </row>
    <row r="18" spans="1:13" ht="19.5" customHeight="1" x14ac:dyDescent="0.35">
      <c r="A18" s="6"/>
      <c r="B18" s="13" t="s">
        <v>128</v>
      </c>
      <c r="C18" s="14" t="s">
        <v>518</v>
      </c>
      <c r="D18" s="22">
        <v>413.5</v>
      </c>
      <c r="E18" s="23">
        <v>45352</v>
      </c>
      <c r="F18" s="88" t="s">
        <v>496</v>
      </c>
      <c r="G18" s="41" t="s">
        <v>4</v>
      </c>
      <c r="H18" s="41" t="s">
        <v>4</v>
      </c>
      <c r="I18" s="25">
        <v>672971.25</v>
      </c>
      <c r="J18" s="41" t="s">
        <v>4</v>
      </c>
      <c r="K18" s="12"/>
      <c r="L18" s="14" t="s">
        <v>500</v>
      </c>
      <c r="M18" s="13" t="s">
        <v>519</v>
      </c>
    </row>
    <row r="19" spans="1:13" ht="19.5" customHeight="1" x14ac:dyDescent="0.35">
      <c r="A19" s="6"/>
      <c r="B19" s="100"/>
      <c r="C19" s="100"/>
      <c r="D19" s="100"/>
      <c r="E19" s="100"/>
      <c r="F19" s="70"/>
      <c r="G19" s="70"/>
      <c r="H19" s="70"/>
      <c r="I19" s="70"/>
      <c r="J19" s="70"/>
      <c r="K19" s="70"/>
      <c r="L19" s="100"/>
      <c r="M19" s="100"/>
    </row>
    <row r="20" spans="1:13" ht="19.5" customHeight="1" x14ac:dyDescent="0.35">
      <c r="A20" s="6"/>
      <c r="B20" s="1"/>
      <c r="C20" s="1"/>
      <c r="D20" s="1"/>
      <c r="E20" s="1"/>
      <c r="F20" s="70"/>
      <c r="G20" s="70"/>
      <c r="H20" s="70"/>
      <c r="I20" s="70"/>
      <c r="J20" s="70"/>
      <c r="K20" s="70"/>
      <c r="L20" s="1"/>
      <c r="M20" s="1"/>
    </row>
    <row r="21" spans="1:13" ht="19.5" customHeight="1" x14ac:dyDescent="0.35">
      <c r="A21" s="6"/>
      <c r="B21" s="100"/>
      <c r="C21" s="100"/>
      <c r="D21" s="100"/>
      <c r="E21" s="100"/>
      <c r="F21" s="70"/>
      <c r="G21" s="70"/>
      <c r="H21" s="70"/>
      <c r="I21" s="70"/>
      <c r="J21" s="70"/>
      <c r="K21" s="70"/>
      <c r="L21" s="100"/>
      <c r="M21" s="100"/>
    </row>
    <row r="22" spans="1:13" ht="19.5" customHeight="1" x14ac:dyDescent="0.35">
      <c r="A22" s="6"/>
      <c r="B22" s="1"/>
      <c r="C22" s="1"/>
      <c r="D22" s="1"/>
      <c r="E22" s="1"/>
      <c r="F22" s="70"/>
      <c r="G22" s="70"/>
      <c r="H22" s="70"/>
      <c r="I22" s="70"/>
      <c r="J22" s="70"/>
      <c r="K22" s="70"/>
      <c r="L22" s="1"/>
      <c r="M22" s="1"/>
    </row>
    <row r="23" spans="1:13" ht="19.5" customHeight="1" x14ac:dyDescent="0.35">
      <c r="A23" s="6"/>
      <c r="B23" s="100"/>
      <c r="C23" s="100"/>
      <c r="D23" s="100"/>
      <c r="E23" s="100"/>
      <c r="F23" s="70"/>
      <c r="G23" s="70"/>
      <c r="H23" s="70"/>
      <c r="I23" s="70"/>
      <c r="J23" s="70"/>
      <c r="K23" s="70"/>
      <c r="L23" s="100"/>
      <c r="M23" s="100"/>
    </row>
    <row r="24" spans="1:13" ht="19.5" customHeight="1" x14ac:dyDescent="0.35">
      <c r="A24" s="6"/>
      <c r="B24" s="1"/>
      <c r="C24" s="1"/>
      <c r="D24" s="1"/>
      <c r="E24" s="1"/>
      <c r="F24" s="70"/>
      <c r="G24" s="70"/>
      <c r="H24" s="70"/>
      <c r="I24" s="70"/>
      <c r="J24" s="70"/>
      <c r="K24" s="70"/>
      <c r="L24" s="1"/>
      <c r="M24" s="1"/>
    </row>
    <row r="25" spans="1:13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9.5" customHeight="1" x14ac:dyDescent="0.35">
      <c r="A27" s="6"/>
      <c r="B27" s="204" t="s">
        <v>520</v>
      </c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</row>
    <row r="28" spans="1:13" ht="18" customHeight="1" x14ac:dyDescent="0.35">
      <c r="A28" s="6"/>
      <c r="B28" s="113" t="s">
        <v>521</v>
      </c>
      <c r="C28" s="163" t="s">
        <v>522</v>
      </c>
      <c r="D28" s="163" t="s">
        <v>523</v>
      </c>
      <c r="E28" s="163" t="s">
        <v>524</v>
      </c>
      <c r="F28" s="113" t="s">
        <v>85</v>
      </c>
      <c r="G28" s="6"/>
      <c r="H28" s="6"/>
      <c r="I28" s="6"/>
      <c r="J28" s="6"/>
      <c r="K28" s="6"/>
      <c r="L28" s="6"/>
      <c r="M28" s="6"/>
    </row>
    <row r="29" spans="1:13" ht="18" customHeight="1" x14ac:dyDescent="0.35">
      <c r="A29" s="6"/>
      <c r="B29" s="19" t="s">
        <v>525</v>
      </c>
      <c r="C29" s="159" t="s">
        <v>526</v>
      </c>
      <c r="D29" s="159" t="s">
        <v>527</v>
      </c>
      <c r="E29" s="159" t="s">
        <v>528</v>
      </c>
      <c r="F29" s="19" t="s">
        <v>529</v>
      </c>
      <c r="G29" s="6"/>
      <c r="H29" s="6"/>
      <c r="I29" s="6"/>
      <c r="J29" s="6"/>
      <c r="K29" s="6"/>
      <c r="L29" s="6"/>
      <c r="M29" s="6"/>
    </row>
    <row r="30" spans="1:13" ht="18" customHeight="1" x14ac:dyDescent="0.35">
      <c r="A30" s="6"/>
      <c r="B30" s="14" t="s">
        <v>530</v>
      </c>
      <c r="C30" s="13" t="s">
        <v>531</v>
      </c>
      <c r="D30" s="13" t="s">
        <v>532</v>
      </c>
      <c r="E30" s="13" t="s">
        <v>533</v>
      </c>
      <c r="F30" s="14" t="s">
        <v>534</v>
      </c>
      <c r="G30" s="6"/>
      <c r="H30" s="6"/>
      <c r="I30" s="6"/>
      <c r="J30" s="6"/>
      <c r="K30" s="6"/>
      <c r="L30" s="6"/>
      <c r="M30" s="6"/>
    </row>
    <row r="31" spans="1:13" ht="18" customHeight="1" x14ac:dyDescent="0.35">
      <c r="A31" s="6"/>
      <c r="B31" s="19" t="s">
        <v>535</v>
      </c>
      <c r="C31" s="159" t="s">
        <v>536</v>
      </c>
      <c r="D31" s="159" t="s">
        <v>537</v>
      </c>
      <c r="E31" s="159" t="s">
        <v>538</v>
      </c>
      <c r="F31" s="19" t="s">
        <v>539</v>
      </c>
      <c r="G31" s="6"/>
      <c r="H31" s="6"/>
      <c r="I31" s="6"/>
      <c r="J31" s="6"/>
      <c r="K31" s="6"/>
      <c r="L31" s="6"/>
      <c r="M31" s="6"/>
    </row>
    <row r="32" spans="1:13" ht="18" customHeight="1" x14ac:dyDescent="0.35">
      <c r="A32" s="6"/>
      <c r="B32" s="14" t="s">
        <v>540</v>
      </c>
      <c r="C32" s="13" t="s">
        <v>537</v>
      </c>
      <c r="D32" s="13" t="s">
        <v>541</v>
      </c>
      <c r="E32" s="13" t="s">
        <v>542</v>
      </c>
      <c r="F32" s="14" t="s">
        <v>543</v>
      </c>
      <c r="G32" s="6"/>
      <c r="H32" s="6"/>
      <c r="I32" s="6"/>
      <c r="J32" s="6"/>
      <c r="K32" s="6"/>
      <c r="L32" s="6"/>
      <c r="M32" s="6"/>
    </row>
    <row r="33" spans="1:13" ht="18" customHeight="1" x14ac:dyDescent="0.35">
      <c r="A33" s="6"/>
      <c r="B33" s="19" t="s">
        <v>544</v>
      </c>
      <c r="C33" s="159" t="s">
        <v>545</v>
      </c>
      <c r="D33" s="159" t="s">
        <v>546</v>
      </c>
      <c r="E33" s="159" t="s">
        <v>547</v>
      </c>
      <c r="F33" s="19" t="s">
        <v>548</v>
      </c>
      <c r="G33" s="6"/>
      <c r="H33" s="6"/>
      <c r="I33" s="6"/>
      <c r="J33" s="6"/>
      <c r="K33" s="6"/>
      <c r="L33" s="6"/>
      <c r="M33" s="6"/>
    </row>
    <row r="34" spans="1:13" ht="18" customHeight="1" x14ac:dyDescent="0.35">
      <c r="A34" s="6"/>
      <c r="B34" s="14" t="s">
        <v>549</v>
      </c>
      <c r="C34" s="13" t="s">
        <v>550</v>
      </c>
      <c r="D34" s="13" t="s">
        <v>551</v>
      </c>
      <c r="E34" s="13" t="s">
        <v>552</v>
      </c>
      <c r="F34" s="14" t="s">
        <v>553</v>
      </c>
      <c r="G34" s="6"/>
      <c r="H34" s="6"/>
      <c r="I34" s="6"/>
      <c r="J34" s="6"/>
      <c r="K34" s="6"/>
      <c r="L34" s="6"/>
      <c r="M34" s="6"/>
    </row>
    <row r="35" spans="1:13" ht="18" customHeight="1" x14ac:dyDescent="0.35">
      <c r="A35" s="6"/>
      <c r="B35" s="19" t="s">
        <v>554</v>
      </c>
      <c r="C35" s="159" t="s">
        <v>555</v>
      </c>
      <c r="D35" s="159" t="s">
        <v>556</v>
      </c>
      <c r="E35" s="159" t="s">
        <v>557</v>
      </c>
      <c r="F35" s="19" t="s">
        <v>558</v>
      </c>
      <c r="G35" s="6"/>
      <c r="H35" s="6"/>
      <c r="I35" s="6"/>
      <c r="J35" s="6"/>
      <c r="K35" s="6"/>
      <c r="L35" s="6"/>
      <c r="M35" s="6"/>
    </row>
  </sheetData>
  <mergeCells count="13">
    <mergeCell ref="B27:M27"/>
    <mergeCell ref="B6:C6"/>
    <mergeCell ref="D6:E6"/>
    <mergeCell ref="F6:G6"/>
    <mergeCell ref="H6:I6"/>
    <mergeCell ref="B8:I8"/>
    <mergeCell ref="A1:J1"/>
    <mergeCell ref="A2:J2"/>
    <mergeCell ref="B4:I4"/>
    <mergeCell ref="B5:C5"/>
    <mergeCell ref="D5:E5"/>
    <mergeCell ref="F5:G5"/>
    <mergeCell ref="H5:I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66" t="s">
        <v>559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</row>
    <row r="2" spans="1:14" ht="15.75" customHeight="1" x14ac:dyDescent="0.35">
      <c r="A2" s="248" t="s">
        <v>560</v>
      </c>
      <c r="B2" s="248"/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</row>
    <row r="3" spans="1:14" ht="19.5" customHeight="1" x14ac:dyDescent="0.35">
      <c r="A3" s="6"/>
      <c r="B3" s="204" t="s">
        <v>561</v>
      </c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6"/>
    </row>
    <row r="4" spans="1:14" ht="24" customHeight="1" x14ac:dyDescent="0.35">
      <c r="A4" s="6"/>
      <c r="B4" s="234" t="s">
        <v>562</v>
      </c>
      <c r="C4" s="234"/>
      <c r="D4" s="164" t="s">
        <v>563</v>
      </c>
      <c r="E4" s="234" t="s">
        <v>564</v>
      </c>
      <c r="F4" s="234"/>
      <c r="G4" s="164" t="s">
        <v>565</v>
      </c>
      <c r="H4" s="234" t="s">
        <v>566</v>
      </c>
      <c r="I4" s="234"/>
      <c r="J4" s="164" t="s">
        <v>13</v>
      </c>
      <c r="K4" s="234" t="s">
        <v>567</v>
      </c>
      <c r="L4" s="234"/>
      <c r="M4" s="164" t="s">
        <v>568</v>
      </c>
      <c r="N4" s="6"/>
    </row>
    <row r="5" spans="1:14" ht="7.5" customHeigh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 x14ac:dyDescent="0.35">
      <c r="A6" s="6"/>
      <c r="B6" s="204" t="s">
        <v>569</v>
      </c>
      <c r="C6" s="204"/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6"/>
    </row>
    <row r="7" spans="1:14" ht="31.5" customHeight="1" x14ac:dyDescent="0.35">
      <c r="A7" s="6"/>
      <c r="B7" s="2" t="s">
        <v>267</v>
      </c>
      <c r="C7" s="2" t="s">
        <v>269</v>
      </c>
      <c r="D7" s="2" t="s">
        <v>570</v>
      </c>
      <c r="E7" s="2" t="s">
        <v>571</v>
      </c>
      <c r="F7" s="2" t="s">
        <v>572</v>
      </c>
      <c r="G7" s="2" t="s">
        <v>573</v>
      </c>
      <c r="H7" s="2" t="s">
        <v>574</v>
      </c>
      <c r="I7" s="2" t="s">
        <v>575</v>
      </c>
      <c r="J7" s="2" t="s">
        <v>576</v>
      </c>
      <c r="K7" s="2" t="s">
        <v>577</v>
      </c>
      <c r="L7" s="2" t="s">
        <v>578</v>
      </c>
      <c r="M7" s="6"/>
      <c r="N7" s="6"/>
    </row>
    <row r="8" spans="1:14" ht="19.5" customHeight="1" x14ac:dyDescent="0.35">
      <c r="A8" s="6"/>
      <c r="B8" s="13" t="s">
        <v>206</v>
      </c>
      <c r="C8" s="22">
        <v>186.4</v>
      </c>
      <c r="D8" s="25">
        <v>2796</v>
      </c>
      <c r="E8" s="25">
        <v>3728</v>
      </c>
      <c r="F8" s="25">
        <v>3728</v>
      </c>
      <c r="G8" s="25">
        <v>4660</v>
      </c>
      <c r="H8" s="25">
        <v>915</v>
      </c>
      <c r="I8" s="25">
        <v>955</v>
      </c>
      <c r="J8" s="149">
        <v>0.5</v>
      </c>
      <c r="K8" s="13">
        <v>2</v>
      </c>
      <c r="L8" s="14" t="s">
        <v>579</v>
      </c>
      <c r="M8" s="6"/>
      <c r="N8" s="6"/>
    </row>
    <row r="9" spans="1:14" ht="19.5" customHeight="1" x14ac:dyDescent="0.35">
      <c r="A9" s="6"/>
      <c r="B9" s="159" t="s">
        <v>211</v>
      </c>
      <c r="C9" s="160">
        <v>349</v>
      </c>
      <c r="D9" s="161">
        <v>5235</v>
      </c>
      <c r="E9" s="161">
        <v>6980</v>
      </c>
      <c r="F9" s="161">
        <v>6980</v>
      </c>
      <c r="G9" s="161">
        <v>8725</v>
      </c>
      <c r="H9" s="161">
        <v>248.68</v>
      </c>
      <c r="I9" s="161">
        <v>990</v>
      </c>
      <c r="J9" s="159" t="s">
        <v>4</v>
      </c>
      <c r="K9" s="159">
        <v>2</v>
      </c>
      <c r="L9" s="19" t="s">
        <v>580</v>
      </c>
      <c r="M9" s="6"/>
      <c r="N9" s="6"/>
    </row>
    <row r="10" spans="1:14" ht="19.5" customHeight="1" x14ac:dyDescent="0.35">
      <c r="A10" s="6"/>
      <c r="B10" s="13" t="s">
        <v>214</v>
      </c>
      <c r="C10" s="22">
        <v>438</v>
      </c>
      <c r="D10" s="25">
        <v>6570</v>
      </c>
      <c r="E10" s="25">
        <v>8760</v>
      </c>
      <c r="F10" s="25">
        <v>8760</v>
      </c>
      <c r="G10" s="25">
        <v>10950</v>
      </c>
      <c r="H10" s="25">
        <v>1547.98</v>
      </c>
      <c r="I10" s="25">
        <v>1000</v>
      </c>
      <c r="J10" s="149">
        <v>0.38</v>
      </c>
      <c r="K10" s="13">
        <v>3</v>
      </c>
      <c r="L10" s="14" t="s">
        <v>581</v>
      </c>
      <c r="M10" s="6"/>
      <c r="N10" s="6"/>
    </row>
    <row r="11" spans="1:14" ht="19.5" customHeight="1" x14ac:dyDescent="0.35">
      <c r="A11" s="6"/>
      <c r="B11" s="159" t="s">
        <v>512</v>
      </c>
      <c r="C11" s="160">
        <v>850.4</v>
      </c>
      <c r="D11" s="161">
        <v>12756</v>
      </c>
      <c r="E11" s="161">
        <v>17008</v>
      </c>
      <c r="F11" s="161">
        <v>17008</v>
      </c>
      <c r="G11" s="161">
        <v>21260</v>
      </c>
      <c r="H11" s="159" t="s">
        <v>4</v>
      </c>
      <c r="I11" s="161">
        <v>990</v>
      </c>
      <c r="J11" s="131">
        <v>0.5</v>
      </c>
      <c r="K11" s="159">
        <v>4</v>
      </c>
      <c r="L11" s="19" t="s">
        <v>582</v>
      </c>
      <c r="M11" s="6"/>
      <c r="N11" s="6"/>
    </row>
    <row r="12" spans="1:14" ht="19.5" customHeight="1" x14ac:dyDescent="0.35">
      <c r="A12" s="6"/>
      <c r="B12" s="216" t="s">
        <v>583</v>
      </c>
      <c r="C12" s="216"/>
      <c r="D12" s="102">
        <v>1823.8</v>
      </c>
      <c r="E12" s="63">
        <v>27357</v>
      </c>
      <c r="F12" s="63">
        <v>36476</v>
      </c>
      <c r="G12" s="63">
        <v>36476</v>
      </c>
      <c r="H12" s="63">
        <v>45595</v>
      </c>
      <c r="I12" s="68"/>
      <c r="J12" s="68"/>
      <c r="K12" s="68"/>
      <c r="L12" s="68"/>
      <c r="M12" s="68"/>
      <c r="N12" s="6"/>
    </row>
    <row r="13" spans="1:14" ht="7.5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 x14ac:dyDescent="0.35">
      <c r="A14" s="6"/>
      <c r="B14" s="204" t="s">
        <v>584</v>
      </c>
      <c r="C14" s="204"/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6"/>
    </row>
    <row r="15" spans="1:14" ht="49.5" customHeight="1" x14ac:dyDescent="0.35">
      <c r="A15" s="6"/>
      <c r="B15" s="220" t="s">
        <v>585</v>
      </c>
      <c r="C15" s="220"/>
      <c r="D15" s="220"/>
      <c r="E15" s="220"/>
      <c r="F15" s="220"/>
      <c r="G15" s="220"/>
      <c r="H15" s="220"/>
      <c r="I15" s="220"/>
      <c r="J15" s="220"/>
      <c r="K15" s="220"/>
      <c r="L15" s="220"/>
      <c r="M15" s="220"/>
      <c r="N15" s="6"/>
    </row>
  </sheetData>
  <mergeCells count="11">
    <mergeCell ref="B6:M6"/>
    <mergeCell ref="B12:C12"/>
    <mergeCell ref="B14:M14"/>
    <mergeCell ref="B15:M15"/>
    <mergeCell ref="A1:N1"/>
    <mergeCell ref="A2:N2"/>
    <mergeCell ref="B3:M3"/>
    <mergeCell ref="B4:C4"/>
    <mergeCell ref="E4:F4"/>
    <mergeCell ref="H4:I4"/>
    <mergeCell ref="K4:L4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247" t="s">
        <v>586</v>
      </c>
      <c r="B1" s="247"/>
      <c r="C1" s="247"/>
      <c r="D1" s="247"/>
      <c r="E1" s="247"/>
      <c r="F1" s="247"/>
      <c r="G1" s="247"/>
      <c r="H1" s="247"/>
    </row>
    <row r="2" spans="1:8" ht="15.75" customHeight="1" x14ac:dyDescent="0.35">
      <c r="A2" s="248" t="s">
        <v>587</v>
      </c>
      <c r="B2" s="248"/>
      <c r="C2" s="248"/>
      <c r="D2" s="248"/>
      <c r="E2" s="248"/>
      <c r="F2" s="248"/>
      <c r="G2" s="248"/>
      <c r="H2" s="248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204" t="s">
        <v>588</v>
      </c>
      <c r="C4" s="204"/>
      <c r="D4" s="204"/>
      <c r="E4" s="204"/>
      <c r="F4" s="204"/>
      <c r="G4" s="204"/>
      <c r="H4" s="6"/>
    </row>
    <row r="5" spans="1:8" ht="18" customHeight="1" x14ac:dyDescent="0.35">
      <c r="A5" s="6"/>
      <c r="B5" s="7" t="s">
        <v>589</v>
      </c>
      <c r="C5" s="13" t="s">
        <v>590</v>
      </c>
      <c r="D5" s="165">
        <v>9000.7999999999993</v>
      </c>
      <c r="E5" s="6"/>
      <c r="F5" s="6"/>
      <c r="G5" s="6"/>
      <c r="H5" s="6"/>
    </row>
    <row r="6" spans="1:8" ht="18" customHeight="1" x14ac:dyDescent="0.35">
      <c r="A6" s="6"/>
      <c r="B6" s="9" t="s">
        <v>591</v>
      </c>
      <c r="C6" s="166" t="s">
        <v>592</v>
      </c>
      <c r="D6" s="167">
        <f>D9/D5</f>
        <v>2.7886410096880278E-2</v>
      </c>
      <c r="E6" s="6"/>
      <c r="F6" s="6"/>
      <c r="G6" s="6"/>
      <c r="H6" s="6"/>
    </row>
    <row r="7" spans="1:8" ht="7.5" customHeight="1" x14ac:dyDescent="0.35">
      <c r="A7" s="6"/>
      <c r="B7" s="6"/>
      <c r="C7" s="6"/>
      <c r="D7" s="6"/>
      <c r="E7" s="6"/>
      <c r="F7" s="6"/>
      <c r="G7" s="6"/>
      <c r="H7" s="6"/>
    </row>
    <row r="8" spans="1:8" ht="19.5" customHeight="1" x14ac:dyDescent="0.35">
      <c r="A8" s="6"/>
      <c r="B8" s="204" t="s">
        <v>593</v>
      </c>
      <c r="C8" s="204"/>
      <c r="D8" s="204"/>
      <c r="E8" s="204"/>
      <c r="F8" s="204"/>
      <c r="G8" s="204"/>
      <c r="H8" s="6"/>
    </row>
    <row r="9" spans="1:8" ht="18" customHeight="1" x14ac:dyDescent="0.35">
      <c r="A9" s="6"/>
      <c r="B9" s="7" t="s">
        <v>594</v>
      </c>
      <c r="C9" s="13" t="s">
        <v>590</v>
      </c>
      <c r="D9" s="168">
        <v>251</v>
      </c>
      <c r="E9" s="6"/>
      <c r="F9" s="6"/>
      <c r="G9" s="6"/>
      <c r="H9" s="6"/>
    </row>
    <row r="10" spans="1:8" ht="18" customHeight="1" x14ac:dyDescent="0.35">
      <c r="A10" s="6"/>
      <c r="B10" s="9" t="s">
        <v>595</v>
      </c>
      <c r="C10" s="166" t="s">
        <v>596</v>
      </c>
      <c r="D10" s="169">
        <v>5</v>
      </c>
      <c r="E10" s="6"/>
      <c r="F10" s="6"/>
      <c r="G10" s="6"/>
      <c r="H10" s="6"/>
    </row>
    <row r="11" spans="1:8" ht="18" customHeight="1" x14ac:dyDescent="0.35">
      <c r="A11" s="6"/>
      <c r="B11" s="7" t="s">
        <v>597</v>
      </c>
      <c r="C11" s="13" t="s">
        <v>598</v>
      </c>
      <c r="D11" s="170">
        <v>985</v>
      </c>
      <c r="E11" s="6"/>
      <c r="F11" s="6"/>
      <c r="G11" s="6"/>
      <c r="H11" s="6"/>
    </row>
    <row r="12" spans="1:8" ht="18" customHeight="1" x14ac:dyDescent="0.35">
      <c r="A12" s="6"/>
      <c r="B12" s="9" t="s">
        <v>599</v>
      </c>
      <c r="C12" s="166" t="s">
        <v>600</v>
      </c>
      <c r="D12" s="171">
        <f>D10*D9</f>
        <v>1255</v>
      </c>
      <c r="E12" s="6"/>
      <c r="F12" s="6"/>
      <c r="G12" s="6"/>
      <c r="H12" s="6"/>
    </row>
    <row r="13" spans="1:8" ht="18" customHeight="1" x14ac:dyDescent="0.35">
      <c r="A13" s="6"/>
      <c r="B13" s="7" t="s">
        <v>601</v>
      </c>
      <c r="C13" s="13" t="s">
        <v>602</v>
      </c>
      <c r="D13" s="172">
        <f>D11*D9</f>
        <v>247235</v>
      </c>
      <c r="E13" s="6"/>
      <c r="F13" s="6"/>
      <c r="G13" s="6"/>
      <c r="H13" s="6"/>
    </row>
    <row r="14" spans="1:8" ht="7.5" customHeight="1" x14ac:dyDescent="0.35">
      <c r="A14" s="6"/>
      <c r="B14" s="6"/>
      <c r="C14" s="6"/>
      <c r="D14" s="6"/>
      <c r="E14" s="6"/>
      <c r="F14" s="6"/>
      <c r="G14" s="6"/>
      <c r="H14" s="6"/>
    </row>
    <row r="15" spans="1:8" ht="19.5" customHeight="1" x14ac:dyDescent="0.35">
      <c r="A15" s="6"/>
      <c r="B15" s="204" t="s">
        <v>603</v>
      </c>
      <c r="C15" s="204"/>
      <c r="D15" s="204"/>
      <c r="E15" s="204"/>
      <c r="F15" s="204"/>
      <c r="G15" s="204"/>
      <c r="H15" s="6"/>
    </row>
    <row r="16" spans="1:8" ht="18" customHeight="1" x14ac:dyDescent="0.35">
      <c r="A16" s="6"/>
      <c r="B16" s="7" t="s">
        <v>604</v>
      </c>
      <c r="C16" s="13" t="s">
        <v>592</v>
      </c>
      <c r="D16" s="173">
        <v>0.3</v>
      </c>
      <c r="E16" s="6"/>
      <c r="F16" s="6"/>
      <c r="G16" s="6"/>
      <c r="H16" s="6"/>
    </row>
    <row r="17" spans="1:8" ht="18" customHeight="1" x14ac:dyDescent="0.35">
      <c r="A17" s="6"/>
      <c r="B17" s="72" t="s">
        <v>605</v>
      </c>
      <c r="C17" s="174" t="s">
        <v>602</v>
      </c>
      <c r="D17" s="175">
        <f>D11*D16</f>
        <v>295.5</v>
      </c>
      <c r="E17" s="6"/>
      <c r="F17" s="6"/>
      <c r="G17" s="6"/>
      <c r="H17" s="6"/>
    </row>
    <row r="18" spans="1:8" ht="18" customHeight="1" x14ac:dyDescent="0.35">
      <c r="A18" s="6"/>
      <c r="B18" s="7" t="s">
        <v>606</v>
      </c>
      <c r="C18" s="13" t="s">
        <v>600</v>
      </c>
      <c r="D18" s="172">
        <f>D17/D9</f>
        <v>1.1772908366533865</v>
      </c>
      <c r="E18" s="6"/>
      <c r="F18" s="6"/>
      <c r="G18" s="6"/>
      <c r="H18" s="6"/>
    </row>
    <row r="19" spans="1:8" ht="18" customHeight="1" x14ac:dyDescent="0.35">
      <c r="A19" s="6"/>
      <c r="B19" s="72" t="s">
        <v>607</v>
      </c>
      <c r="C19" s="174" t="s">
        <v>602</v>
      </c>
      <c r="D19" s="175">
        <f>D18/12</f>
        <v>9.8107569721115548E-2</v>
      </c>
      <c r="E19" s="6"/>
      <c r="F19" s="6"/>
      <c r="G19" s="6"/>
      <c r="H19" s="6"/>
    </row>
    <row r="20" spans="1:8" ht="18" customHeight="1" x14ac:dyDescent="0.35">
      <c r="A20" s="6"/>
      <c r="B20" s="7" t="s">
        <v>608</v>
      </c>
      <c r="C20" s="13" t="s">
        <v>596</v>
      </c>
      <c r="D20" s="169">
        <v>0</v>
      </c>
      <c r="E20" s="6"/>
      <c r="F20" s="6"/>
      <c r="G20" s="6"/>
      <c r="H20" s="6"/>
    </row>
    <row r="21" spans="1:8" ht="18" customHeight="1" x14ac:dyDescent="0.35">
      <c r="A21" s="6"/>
      <c r="B21" s="72" t="s">
        <v>609</v>
      </c>
      <c r="C21" s="174" t="s">
        <v>602</v>
      </c>
      <c r="D21" s="175">
        <f>D11/D9/12*D20</f>
        <v>0</v>
      </c>
      <c r="E21" s="6"/>
      <c r="F21" s="6"/>
      <c r="G21" s="6"/>
      <c r="H21" s="6"/>
    </row>
    <row r="22" spans="1:8" ht="18" customHeight="1" x14ac:dyDescent="0.35">
      <c r="A22" s="6"/>
      <c r="B22" s="7" t="s">
        <v>610</v>
      </c>
      <c r="C22" s="13" t="s">
        <v>602</v>
      </c>
      <c r="D22" s="170">
        <v>248030.67</v>
      </c>
      <c r="E22" s="6"/>
      <c r="F22" s="6"/>
      <c r="G22" s="6"/>
      <c r="H22" s="6"/>
    </row>
    <row r="23" spans="1:8" ht="7.5" customHeight="1" x14ac:dyDescent="0.35">
      <c r="A23" s="6"/>
      <c r="B23" s="6"/>
      <c r="C23" s="6"/>
      <c r="D23" s="6"/>
      <c r="E23" s="6"/>
      <c r="F23" s="6"/>
      <c r="G23" s="6"/>
      <c r="H23" s="6"/>
    </row>
    <row r="24" spans="1:8" ht="19.5" customHeight="1" x14ac:dyDescent="0.35">
      <c r="A24" s="6"/>
      <c r="B24" s="204" t="s">
        <v>611</v>
      </c>
      <c r="C24" s="204"/>
      <c r="D24" s="204"/>
      <c r="E24" s="204"/>
      <c r="F24" s="204"/>
      <c r="G24" s="204"/>
      <c r="H24" s="6"/>
    </row>
    <row r="25" spans="1:8" ht="18" customHeight="1" x14ac:dyDescent="0.35">
      <c r="A25" s="6"/>
      <c r="B25" s="7" t="s">
        <v>612</v>
      </c>
      <c r="C25" s="13" t="s">
        <v>592</v>
      </c>
      <c r="D25" s="176">
        <v>3.5000000000000003E-2</v>
      </c>
      <c r="E25" s="6"/>
      <c r="F25" s="6"/>
      <c r="G25" s="6"/>
      <c r="H25" s="6"/>
    </row>
    <row r="26" spans="1:8" ht="18" customHeight="1" x14ac:dyDescent="0.35">
      <c r="A26" s="6"/>
      <c r="B26" s="9" t="s">
        <v>613</v>
      </c>
      <c r="C26" s="166" t="s">
        <v>598</v>
      </c>
      <c r="D26" s="170">
        <v>15.77</v>
      </c>
      <c r="E26" s="6"/>
      <c r="F26" s="6"/>
      <c r="G26" s="6"/>
      <c r="H26" s="6"/>
    </row>
    <row r="27" spans="1:8" ht="18" customHeight="1" x14ac:dyDescent="0.35">
      <c r="A27" s="6"/>
      <c r="B27" s="7" t="s">
        <v>614</v>
      </c>
      <c r="C27" s="13" t="s">
        <v>602</v>
      </c>
      <c r="D27" s="172">
        <f>D10*D26</f>
        <v>78.849999999999994</v>
      </c>
      <c r="E27" s="6"/>
      <c r="F27" s="6"/>
      <c r="G27" s="6"/>
      <c r="H27" s="6"/>
    </row>
    <row r="28" spans="1:8" ht="18" customHeight="1" x14ac:dyDescent="0.35">
      <c r="A28" s="6"/>
      <c r="B28" s="9" t="s">
        <v>615</v>
      </c>
      <c r="C28" s="166" t="s">
        <v>596</v>
      </c>
      <c r="D28" s="169">
        <v>0</v>
      </c>
      <c r="E28" s="6"/>
      <c r="F28" s="6"/>
      <c r="G28" s="6"/>
      <c r="H28" s="6"/>
    </row>
    <row r="29" spans="1:8" ht="18" customHeight="1" x14ac:dyDescent="0.35">
      <c r="A29" s="6"/>
      <c r="B29" s="7" t="s">
        <v>616</v>
      </c>
      <c r="C29" s="13" t="s">
        <v>617</v>
      </c>
      <c r="D29" s="170">
        <v>1000</v>
      </c>
      <c r="E29" s="6"/>
      <c r="F29" s="6"/>
      <c r="G29" s="6"/>
      <c r="H29" s="6"/>
    </row>
    <row r="30" spans="1:8" ht="18" customHeight="1" x14ac:dyDescent="0.35">
      <c r="A30" s="6"/>
      <c r="B30" s="9" t="s">
        <v>618</v>
      </c>
      <c r="C30" s="166" t="s">
        <v>602</v>
      </c>
      <c r="D30" s="171">
        <f>D28*D29</f>
        <v>0</v>
      </c>
      <c r="E30" s="6"/>
      <c r="F30" s="6"/>
      <c r="G30" s="6"/>
      <c r="H30" s="6"/>
    </row>
    <row r="31" spans="1:8" ht="7.5" customHeight="1" x14ac:dyDescent="0.35">
      <c r="A31" s="6"/>
      <c r="B31" s="6"/>
      <c r="C31" s="6"/>
      <c r="D31" s="6"/>
      <c r="E31" s="6"/>
      <c r="F31" s="6"/>
      <c r="G31" s="6"/>
      <c r="H31" s="6"/>
    </row>
    <row r="32" spans="1:8" ht="19.5" customHeight="1" x14ac:dyDescent="0.35">
      <c r="A32" s="6"/>
      <c r="B32" s="204" t="s">
        <v>619</v>
      </c>
      <c r="C32" s="204"/>
      <c r="D32" s="204"/>
      <c r="E32" s="204"/>
      <c r="F32" s="204"/>
      <c r="G32" s="204"/>
      <c r="H32" s="6"/>
    </row>
    <row r="33" spans="1:8" ht="19.5" customHeight="1" x14ac:dyDescent="0.35">
      <c r="A33" s="6"/>
      <c r="B33" s="205" t="s">
        <v>620</v>
      </c>
      <c r="C33" s="205"/>
      <c r="D33" s="205"/>
      <c r="E33" s="2" t="s">
        <v>621</v>
      </c>
      <c r="F33" s="2" t="s">
        <v>622</v>
      </c>
      <c r="G33" s="2" t="s">
        <v>623</v>
      </c>
      <c r="H33" s="2" t="s">
        <v>624</v>
      </c>
    </row>
    <row r="34" spans="1:8" ht="18" customHeight="1" x14ac:dyDescent="0.35">
      <c r="A34" s="6"/>
      <c r="B34" s="249" t="s">
        <v>625</v>
      </c>
      <c r="C34" s="249"/>
      <c r="D34" s="249"/>
      <c r="E34" s="172">
        <f>D11</f>
        <v>985</v>
      </c>
      <c r="F34" s="172">
        <f>E34*(1+D25)</f>
        <v>1019.4749999999999</v>
      </c>
      <c r="G34" s="172">
        <f>F34*(1+D25)</f>
        <v>1055.1566249999998</v>
      </c>
      <c r="H34" s="172">
        <f>G34*(1+D25)</f>
        <v>1092.0871068749998</v>
      </c>
    </row>
    <row r="35" spans="1:8" ht="18" customHeight="1" x14ac:dyDescent="0.35">
      <c r="A35" s="6"/>
      <c r="B35" s="300" t="s">
        <v>626</v>
      </c>
      <c r="C35" s="300"/>
      <c r="D35" s="300"/>
      <c r="E35" s="175">
        <f>D27</f>
        <v>78.849999999999994</v>
      </c>
      <c r="F35" s="175">
        <f t="shared" ref="F35:H36" si="0">E35</f>
        <v>78.849999999999994</v>
      </c>
      <c r="G35" s="175">
        <f t="shared" si="0"/>
        <v>78.849999999999994</v>
      </c>
      <c r="H35" s="175">
        <f t="shared" si="0"/>
        <v>78.849999999999994</v>
      </c>
    </row>
    <row r="36" spans="1:8" ht="18" customHeight="1" x14ac:dyDescent="0.35">
      <c r="A36" s="6"/>
      <c r="B36" s="249" t="s">
        <v>627</v>
      </c>
      <c r="C36" s="249"/>
      <c r="D36" s="249"/>
      <c r="E36" s="172">
        <f>D30</f>
        <v>0</v>
      </c>
      <c r="F36" s="172">
        <f t="shared" si="0"/>
        <v>0</v>
      </c>
      <c r="G36" s="172">
        <f t="shared" si="0"/>
        <v>0</v>
      </c>
      <c r="H36" s="172">
        <f t="shared" si="0"/>
        <v>0</v>
      </c>
    </row>
    <row r="37" spans="1:8" ht="18" customHeight="1" x14ac:dyDescent="0.35">
      <c r="A37" s="6"/>
      <c r="B37" s="300" t="s">
        <v>628</v>
      </c>
      <c r="C37" s="300"/>
      <c r="D37" s="300"/>
      <c r="E37" s="175">
        <f>IF(D20&gt;0,-D11/D9/12*MIN(D20,12),IF(D16&gt;0,-D18,0))</f>
        <v>-1.1772908366533865</v>
      </c>
      <c r="F37" s="175">
        <f>IF(D20&gt;1,-D11/D9/12*MIN(D20-12,12),IF(D16&gt;0,-D18,0))</f>
        <v>-1.1772908366533865</v>
      </c>
      <c r="G37" s="175">
        <f>0</f>
        <v>0</v>
      </c>
      <c r="H37" s="175">
        <f>0</f>
        <v>0</v>
      </c>
    </row>
    <row r="38" spans="1:8" ht="18" customHeight="1" x14ac:dyDescent="0.35">
      <c r="A38" s="6"/>
      <c r="B38" s="204" t="s">
        <v>629</v>
      </c>
      <c r="C38" s="204"/>
      <c r="D38" s="204"/>
      <c r="E38" s="178">
        <f>SUM(E34:E37)</f>
        <v>1062.6727091633466</v>
      </c>
      <c r="F38" s="178">
        <f>SUM(F34:F37)</f>
        <v>1097.1477091633465</v>
      </c>
      <c r="G38" s="178">
        <f>SUM(G34:G37)</f>
        <v>1134.0066249999998</v>
      </c>
      <c r="H38" s="178">
        <f>SUM(H34:H37)</f>
        <v>1170.9371068749997</v>
      </c>
    </row>
    <row r="39" spans="1:8" ht="7.5" customHeight="1" x14ac:dyDescent="0.35">
      <c r="A39" s="6"/>
      <c r="B39" s="6"/>
      <c r="C39" s="6"/>
      <c r="D39" s="6"/>
      <c r="E39" s="6"/>
      <c r="F39" s="6"/>
      <c r="G39" s="6"/>
      <c r="H39" s="6"/>
    </row>
    <row r="40" spans="1:8" ht="19.5" customHeight="1" x14ac:dyDescent="0.35">
      <c r="A40" s="6"/>
      <c r="B40" s="204" t="s">
        <v>630</v>
      </c>
      <c r="C40" s="204"/>
      <c r="D40" s="204"/>
      <c r="E40" s="204"/>
      <c r="F40" s="204"/>
      <c r="G40" s="204"/>
      <c r="H40" s="6"/>
    </row>
    <row r="41" spans="1:8" ht="18" customHeight="1" x14ac:dyDescent="0.35">
      <c r="A41" s="6"/>
      <c r="B41" s="8" t="s">
        <v>631</v>
      </c>
      <c r="C41" s="13" t="s">
        <v>596</v>
      </c>
      <c r="D41" s="169">
        <v>6</v>
      </c>
      <c r="E41" s="6"/>
      <c r="F41" s="6"/>
      <c r="G41" s="6"/>
      <c r="H41" s="6"/>
    </row>
    <row r="42" spans="1:8" ht="18" customHeight="1" x14ac:dyDescent="0.35">
      <c r="A42" s="6"/>
      <c r="B42" s="10" t="s">
        <v>632</v>
      </c>
      <c r="C42" s="166" t="s">
        <v>602</v>
      </c>
      <c r="D42" s="171">
        <f>D9*(D10/12)*D41</f>
        <v>627.5</v>
      </c>
      <c r="E42" s="6"/>
      <c r="F42" s="6"/>
      <c r="G42" s="6"/>
      <c r="H42" s="6"/>
    </row>
    <row r="43" spans="1:8" ht="18" customHeight="1" x14ac:dyDescent="0.35">
      <c r="A43" s="6"/>
      <c r="B43" s="8" t="s">
        <v>613</v>
      </c>
      <c r="C43" s="13" t="s">
        <v>602</v>
      </c>
      <c r="D43" s="172">
        <f>D27/12*D41</f>
        <v>39.424999999999997</v>
      </c>
      <c r="E43" s="6"/>
      <c r="F43" s="6"/>
      <c r="G43" s="6"/>
      <c r="H43" s="6"/>
    </row>
    <row r="44" spans="1:8" ht="18" customHeight="1" x14ac:dyDescent="0.35">
      <c r="A44" s="6"/>
      <c r="B44" s="10" t="s">
        <v>633</v>
      </c>
      <c r="C44" s="166" t="s">
        <v>602</v>
      </c>
      <c r="D44" s="171">
        <f>D30/12*D41</f>
        <v>0</v>
      </c>
      <c r="E44" s="6"/>
      <c r="F44" s="6"/>
      <c r="G44" s="6"/>
      <c r="H44" s="6"/>
    </row>
    <row r="45" spans="1:8" ht="18" customHeight="1" x14ac:dyDescent="0.35">
      <c r="A45" s="6"/>
      <c r="B45" s="7" t="s">
        <v>634</v>
      </c>
      <c r="C45" s="13" t="s">
        <v>602</v>
      </c>
      <c r="D45" s="179">
        <f>SUM(D42:D44)</f>
        <v>666.92499999999995</v>
      </c>
      <c r="E45" s="6"/>
      <c r="F45" s="6"/>
      <c r="G45" s="6"/>
      <c r="H45" s="6"/>
    </row>
    <row r="46" spans="1:8" ht="18" customHeight="1" x14ac:dyDescent="0.35">
      <c r="A46" s="6"/>
      <c r="B46" s="9" t="s">
        <v>635</v>
      </c>
      <c r="C46" s="166" t="s">
        <v>602</v>
      </c>
      <c r="D46" s="179">
        <f>D45*0.1</f>
        <v>66.692499999999995</v>
      </c>
      <c r="E46" s="6"/>
      <c r="F46" s="6"/>
      <c r="G46" s="6"/>
      <c r="H46" s="6"/>
    </row>
    <row r="47" spans="1:8" ht="18" customHeight="1" x14ac:dyDescent="0.35">
      <c r="A47" s="6"/>
      <c r="B47" s="7" t="s">
        <v>636</v>
      </c>
      <c r="C47" s="13" t="s">
        <v>602</v>
      </c>
      <c r="D47" s="179">
        <f>D45+D46</f>
        <v>733.61749999999995</v>
      </c>
      <c r="E47" s="6"/>
      <c r="F47" s="6"/>
      <c r="G47" s="6"/>
      <c r="H47" s="6"/>
    </row>
    <row r="48" spans="1:8" ht="7.5" customHeight="1" x14ac:dyDescent="0.35">
      <c r="A48" s="6"/>
      <c r="B48" s="6"/>
      <c r="C48" s="6"/>
      <c r="D48" s="6"/>
      <c r="E48" s="6"/>
      <c r="F48" s="6"/>
      <c r="G48" s="6"/>
      <c r="H48" s="6"/>
    </row>
    <row r="49" spans="1:8" ht="19.5" customHeight="1" x14ac:dyDescent="0.35">
      <c r="A49" s="6"/>
      <c r="B49" s="204" t="s">
        <v>637</v>
      </c>
      <c r="C49" s="204"/>
      <c r="D49" s="204"/>
      <c r="E49" s="204"/>
      <c r="F49" s="204"/>
      <c r="G49" s="204"/>
      <c r="H49" s="6"/>
    </row>
    <row r="50" spans="1:8" ht="18" customHeight="1" x14ac:dyDescent="0.35">
      <c r="A50" s="6"/>
      <c r="B50" s="8" t="s">
        <v>638</v>
      </c>
      <c r="C50" s="13" t="s">
        <v>602</v>
      </c>
      <c r="D50" s="172">
        <f>D34</f>
        <v>0</v>
      </c>
      <c r="E50" s="6"/>
      <c r="F50" s="6"/>
      <c r="G50" s="6"/>
      <c r="H50" s="6"/>
    </row>
    <row r="51" spans="1:8" ht="18" customHeight="1" x14ac:dyDescent="0.35">
      <c r="A51" s="6"/>
      <c r="B51" s="177" t="s">
        <v>639</v>
      </c>
      <c r="C51" s="174" t="s">
        <v>602</v>
      </c>
      <c r="D51" s="175">
        <f>D35</f>
        <v>0</v>
      </c>
      <c r="E51" s="6"/>
      <c r="F51" s="6"/>
      <c r="G51" s="6"/>
      <c r="H51" s="6"/>
    </row>
    <row r="52" spans="1:8" ht="18" customHeight="1" x14ac:dyDescent="0.35">
      <c r="A52" s="6"/>
      <c r="B52" s="8" t="s">
        <v>640</v>
      </c>
      <c r="C52" s="13" t="s">
        <v>602</v>
      </c>
      <c r="D52" s="172">
        <f>D36</f>
        <v>0</v>
      </c>
      <c r="E52" s="6"/>
      <c r="F52" s="6"/>
      <c r="G52" s="6"/>
      <c r="H52" s="6"/>
    </row>
    <row r="53" spans="1:8" ht="18" customHeight="1" x14ac:dyDescent="0.35">
      <c r="A53" s="6"/>
      <c r="B53" s="177" t="s">
        <v>641</v>
      </c>
      <c r="C53" s="174" t="s">
        <v>602</v>
      </c>
      <c r="D53" s="175">
        <f>D37</f>
        <v>0</v>
      </c>
      <c r="E53" s="6"/>
      <c r="F53" s="6"/>
      <c r="G53" s="6"/>
      <c r="H53" s="6"/>
    </row>
    <row r="54" spans="1:8" ht="18" customHeight="1" x14ac:dyDescent="0.35">
      <c r="A54" s="6"/>
      <c r="B54" s="7" t="s">
        <v>642</v>
      </c>
      <c r="C54" s="13" t="s">
        <v>602</v>
      </c>
      <c r="D54" s="179">
        <f>SUM(D50:D53)</f>
        <v>0</v>
      </c>
      <c r="E54" s="6"/>
      <c r="F54" s="6"/>
      <c r="G54" s="6"/>
      <c r="H54" s="6"/>
    </row>
    <row r="55" spans="1:8" ht="18" customHeight="1" x14ac:dyDescent="0.35">
      <c r="A55" s="6"/>
      <c r="B55" s="72" t="s">
        <v>643</v>
      </c>
      <c r="C55" s="174" t="s">
        <v>602</v>
      </c>
      <c r="D55" s="179">
        <f>D54/D10</f>
        <v>0</v>
      </c>
      <c r="E55" s="6"/>
      <c r="F55" s="6"/>
      <c r="G55" s="6"/>
      <c r="H55" s="6"/>
    </row>
    <row r="56" spans="1:8" ht="18" customHeight="1" x14ac:dyDescent="0.35">
      <c r="A56" s="6"/>
      <c r="B56" s="7" t="s">
        <v>644</v>
      </c>
      <c r="C56" s="13" t="s">
        <v>602</v>
      </c>
      <c r="D56" s="179">
        <f>D54/12</f>
        <v>0</v>
      </c>
      <c r="E56" s="6"/>
      <c r="F56" s="6"/>
      <c r="G56" s="6"/>
      <c r="H56" s="6"/>
    </row>
    <row r="57" spans="1:8" x14ac:dyDescent="0.35">
      <c r="A57" s="6"/>
      <c r="B57" s="6"/>
      <c r="C57" s="6"/>
      <c r="D57" s="6"/>
      <c r="E57" s="6"/>
      <c r="F57" s="6"/>
      <c r="G57" s="6"/>
      <c r="H57" s="6"/>
    </row>
    <row r="58" spans="1:8" ht="19.5" customHeight="1" x14ac:dyDescent="0.35">
      <c r="A58" s="6"/>
      <c r="B58" s="204" t="s">
        <v>645</v>
      </c>
      <c r="C58" s="204"/>
      <c r="D58" s="204"/>
      <c r="E58" s="204"/>
      <c r="F58" s="204"/>
      <c r="G58" s="204"/>
      <c r="H58" s="6"/>
    </row>
    <row r="59" spans="1:8" ht="18" customHeight="1" x14ac:dyDescent="0.35">
      <c r="A59" s="6"/>
      <c r="B59" s="8" t="s">
        <v>646</v>
      </c>
      <c r="C59" s="13" t="s">
        <v>602</v>
      </c>
      <c r="D59" s="172">
        <f>D17</f>
        <v>295.5</v>
      </c>
      <c r="E59" s="6"/>
      <c r="F59" s="6"/>
      <c r="G59" s="6"/>
      <c r="H59" s="6"/>
    </row>
    <row r="60" spans="1:8" ht="18" customHeight="1" x14ac:dyDescent="0.35">
      <c r="A60" s="6"/>
      <c r="B60" s="10" t="s">
        <v>647</v>
      </c>
      <c r="C60" s="166" t="s">
        <v>602</v>
      </c>
      <c r="D60" s="171">
        <f>D21</f>
        <v>0</v>
      </c>
      <c r="E60" s="6"/>
      <c r="F60" s="6"/>
      <c r="G60" s="6"/>
      <c r="H60" s="6"/>
    </row>
    <row r="61" spans="1:8" ht="18" customHeight="1" x14ac:dyDescent="0.35">
      <c r="A61" s="6"/>
      <c r="B61" s="8" t="s">
        <v>610</v>
      </c>
      <c r="C61" s="13" t="s">
        <v>602</v>
      </c>
      <c r="D61" s="172">
        <f>D22</f>
        <v>248030.67</v>
      </c>
      <c r="E61" s="6"/>
      <c r="F61" s="6"/>
      <c r="G61" s="6"/>
      <c r="H61" s="6"/>
    </row>
    <row r="62" spans="1:8" ht="18" customHeight="1" x14ac:dyDescent="0.35">
      <c r="A62" s="6"/>
      <c r="B62" s="9" t="s">
        <v>648</v>
      </c>
      <c r="C62" s="166" t="s">
        <v>602</v>
      </c>
      <c r="D62" s="179">
        <f>SUM(D59:D61)</f>
        <v>248326.17</v>
      </c>
      <c r="E62" s="6"/>
      <c r="F62" s="6"/>
      <c r="G62" s="6"/>
      <c r="H62" s="6"/>
    </row>
    <row r="63" spans="1:8" ht="18" customHeight="1" x14ac:dyDescent="0.35">
      <c r="A63" s="6"/>
      <c r="B63" s="7" t="s">
        <v>649</v>
      </c>
      <c r="C63" s="13" t="s">
        <v>602</v>
      </c>
      <c r="D63" s="179">
        <f>D62/D10</f>
        <v>49665.234000000004</v>
      </c>
      <c r="E63" s="6"/>
      <c r="F63" s="6"/>
      <c r="G63" s="6"/>
      <c r="H63" s="6"/>
    </row>
    <row r="64" spans="1:8" ht="18" customHeight="1" x14ac:dyDescent="0.35">
      <c r="A64" s="6"/>
      <c r="B64" s="9" t="s">
        <v>650</v>
      </c>
      <c r="C64" s="166" t="s">
        <v>592</v>
      </c>
      <c r="D64" s="180">
        <f>D62/D13</f>
        <v>1.0044134932351811</v>
      </c>
      <c r="E64" s="6"/>
      <c r="F64" s="6"/>
      <c r="G64" s="6"/>
      <c r="H64" s="6"/>
    </row>
    <row r="65" spans="1:8" x14ac:dyDescent="0.35">
      <c r="A65" s="6"/>
      <c r="B65" s="6"/>
      <c r="C65" s="6"/>
      <c r="D65" s="6"/>
      <c r="E65" s="6"/>
      <c r="F65" s="6"/>
      <c r="G65" s="6"/>
      <c r="H65" s="6"/>
    </row>
    <row r="66" spans="1:8" ht="19.5" customHeight="1" x14ac:dyDescent="0.35">
      <c r="A66" s="6"/>
      <c r="B66" s="264" t="s">
        <v>651</v>
      </c>
      <c r="C66" s="264"/>
      <c r="D66" s="264"/>
      <c r="E66" s="264"/>
      <c r="F66" s="264"/>
      <c r="G66" s="264"/>
      <c r="H66" s="264"/>
    </row>
  </sheetData>
  <mergeCells count="17">
    <mergeCell ref="B58:G58"/>
    <mergeCell ref="B66:H66"/>
    <mergeCell ref="B36:D36"/>
    <mergeCell ref="B37:D37"/>
    <mergeCell ref="B38:D38"/>
    <mergeCell ref="B40:G40"/>
    <mergeCell ref="B49:G49"/>
    <mergeCell ref="B24:G24"/>
    <mergeCell ref="B32:G32"/>
    <mergeCell ref="B33:D33"/>
    <mergeCell ref="B34:D34"/>
    <mergeCell ref="B35:D35"/>
    <mergeCell ref="A1:H1"/>
    <mergeCell ref="A2:H2"/>
    <mergeCell ref="B4:G4"/>
    <mergeCell ref="B8:G8"/>
    <mergeCell ref="B15:G1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0</cp:revision>
  <dcterms:created xsi:type="dcterms:W3CDTF">2026-05-05T04:42:50Z</dcterms:created>
  <dcterms:modified xsi:type="dcterms:W3CDTF">2026-06-30T01:24:57Z</dcterms:modified>
  <dc:language>en-US</dc:language>
</cp:coreProperties>
</file>