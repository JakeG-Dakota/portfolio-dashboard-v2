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Cover" sheetId="1" state="visible" r:id="rId3"/>
    <sheet name="Last Updated" sheetId="2" state="visible" r:id="rId4"/>
    <sheet name="Input Data" sheetId="3" state="visible" r:id="rId5"/>
    <sheet name="Dashboard" sheetId="4" state="visible" r:id="rId6"/>
    <sheet name="Valuations" sheetId="5" state="visible" r:id="rId7"/>
    <sheet name="Market Rents 26-27" sheetId="6" state="visible" r:id="rId8"/>
    <sheet name="Expiry Profile" sheetId="7" state="visible" r:id="rId9"/>
    <sheet name="Leases" sheetId="8" state="visible" r:id="rId10"/>
    <sheet name="Make Good Obligations" sheetId="9" state="visible" r:id="rId11"/>
    <sheet name="Stack Plan" sheetId="10" state="visible" r:id="rId12"/>
    <sheet name="Leasing Activity" sheetId="11" state="visible" r:id="rId13"/>
    <sheet name="Fitout Costs" sheetId="12" state="visible" r:id="rId14"/>
    <sheet name="Leasing Fees" sheetId="13" state="visible" r:id="rId15"/>
    <sheet name="Rental Analysis" sheetId="14" state="visible" r:id="rId1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<sst xmlns="http://schemas.openxmlformats.org/spreadsheetml/2006/main" count="1256" uniqueCount="723">
  <si>
    <t xml:space="preserve">GOLDBERG FAMILY OFFICE</t>
  </si>
  <si>
    <t xml:space="preserve">1 Elizabeth Plaza</t>
  </si>
  <si>
    <t xml:space="preserve">Asset Summary — Tenancy Schedule</t>
  </si>
  <si>
    <t xml:space="preserve">As at 29 June 2026</t>
  </si>
  <si>
    <t xml:space="preserve">—</t>
  </si>
  <si>
    <t xml:space="preserve">Prepared by jake goldberg</t>
  </si>
  <si>
    <t xml:space="preserve">1 ELIZABETH PLAZA, NORTH SYDNEY  —  TRACKER VERSION CONTROL</t>
  </si>
  <si>
    <t xml:space="preserve">Update Input Data tab each month from the tenancy schedule. All other tabs recalculate automatically.</t>
  </si>
  <si>
    <t xml:space="preserve">  CURRENT TRACKER STATUS</t>
  </si>
  <si>
    <t xml:space="preserve">  Property</t>
  </si>
  <si>
    <t xml:space="preserve">1 Elizabeth Plaza, North Sydney</t>
  </si>
  <si>
    <t xml:space="preserve">  Current As At</t>
  </si>
  <si>
    <t xml:space="preserve">  Total NLA</t>
  </si>
  <si>
    <t xml:space="preserve">9,000.8 sqm</t>
  </si>
  <si>
    <t xml:space="preserve">  Occupancy</t>
  </si>
  <si>
    <t xml:space="preserve">  Vacancy</t>
  </si>
  <si>
    <t xml:space="preserve">  WALE by NLA</t>
  </si>
  <si>
    <t xml:space="preserve">  Gross Income PA</t>
  </si>
  <si>
    <t xml:space="preserve">  Occupied Suites</t>
  </si>
  <si>
    <t xml:space="preserve">17  |  4 Vacant</t>
  </si>
  <si>
    <t xml:space="preserve">  Car Parks</t>
  </si>
  <si>
    <t xml:space="preserve">Monthly + individual licences</t>
  </si>
  <si>
    <t xml:space="preserve">  Last Updated By</t>
  </si>
  <si>
    <t xml:space="preserve">  Next Update Due</t>
  </si>
  <si>
    <t xml:space="preserve">  Notes / Changes</t>
  </si>
  <si>
    <t xml:space="preserve">  UPDATE LOG</t>
  </si>
  <si>
    <t xml:space="preserve">Date Updated</t>
  </si>
  <si>
    <t xml:space="preserve">Updated By</t>
  </si>
  <si>
    <t xml:space="preserve">As At Date</t>
  </si>
  <si>
    <t xml:space="preserve">Occupancy</t>
  </si>
  <si>
    <t xml:space="preserve">WALE (NLA)</t>
  </si>
  <si>
    <t xml:space="preserve">Key Changes</t>
  </si>
  <si>
    <t xml:space="preserve">30/04/2026</t>
  </si>
  <si>
    <t xml:space="preserve">79.74%</t>
  </si>
  <si>
    <t xml:space="preserve">~4.0 yrs</t>
  </si>
  <si>
    <t xml:space="preserve">Initial build from April 2026 tenancy schedule</t>
  </si>
  <si>
    <t xml:space="preserve">Jake</t>
  </si>
  <si>
    <t xml:space="preserve">30/09/2026</t>
  </si>
  <si>
    <t xml:space="preserve">Refreshed from Sept26 TS (dated 01/10/26): FIXED reviews applied for Sydney Smiletree, Keeping Company, Elekta, Can Too Foundation, Pitt &amp; Sherry, Vanderlande (all PSM ups); outgoings/cleaning refreshed across most tenants. Asterx (0503) lease dates corrected (01/07/24–30/06/29, was 01/06/24–31/05/29) plus abatement/car park/cleaning/outgoings now confirmed. IMPORTANT correction: Smile Partners (0902) and Hulsbosch Design (1201) had swapped NLA/financials in this file — 0902 is actually 344.5 sqm, 1201 is actually 251 sqm — now fixed, cross-checked against the Fitout Costs register. Sungrow L7 (0701/0702) combined rent reset to $925,326 pa total, an 82% jump — flagged in row notes for verification. Caladas Constructions renamed to correct spelling 'Caldas', lease start corrected to 01/07/26. Luxasia (1101) entered as occupied per Jake's instruction: outgoings $9,728.72 pa, cleaning $4,015.80 pa, fitout contribution $369,812.50 (added to Fitout Costs register), abatement $192,787.50 over term (Yr1-3 $25,705 pa now reflected; Yr4-5 $57,836.25 pa needs manual update at the Yr4 anniversary). New ROOF1 (Pipe Networks/Vocus) comms licence ($2,500 pa) identified on the TS but NOT added to this table (zero NLA, would need a new row/range change) — flagged for Jake's decision on where to capture it. Note: TS's own vacancy count still shows 1101 as vacant (lease not yet in the PM system) — this file now diverges from that by design. Cross-tab sweep: corrected the same Smile Partners/Hulsbosch swap in the Leasing Activity log; moved Luxasia out of the 'vacant suites' sections in Expiry Profile/Leases into its proper occupied row; updated Make Good Obligations, Dashboard (critical dates, suite count, header), Market Rents (hardcoded NLA), Leasing Fees (vacancy register — removed 6.01/11.01/11.02, now leased) and Stack Plan (roof tenant name corrected to Pipe Networks/Vocus, portfolio summary refreshed) so all tabs now agree with Input Data.</t>
  </si>
  <si>
    <t xml:space="preserve">  MONTHLY UPDATE CHECKLIST</t>
  </si>
  <si>
    <t xml:space="preserve">1</t>
  </si>
  <si>
    <t xml:space="preserve">  Download tenancy schedule from property management system (Strata/SHP2)</t>
  </si>
  <si>
    <t xml:space="preserve">2</t>
  </si>
  <si>
    <t xml:space="preserve">  Update Input Data — check rent, dates, PSM, abatement, outgoings per suite</t>
  </si>
  <si>
    <t xml:space="preserve">3</t>
  </si>
  <si>
    <t xml:space="preserve">  Update Market Rents section in Dashboard if market has moved</t>
  </si>
  <si>
    <t xml:space="preserve">4</t>
  </si>
  <si>
    <t xml:space="preserve">  Check Dashboard KPIs reconcile with tenancy schedule totals</t>
  </si>
  <si>
    <t xml:space="preserve">5</t>
  </si>
  <si>
    <t xml:space="preserve">  Update Leasing Activity tab with new deals, HOAs, renewals</t>
  </si>
  <si>
    <t xml:space="preserve">6</t>
  </si>
  <si>
    <t xml:space="preserve">  Update Fitout Costs with any new capex approved or completed</t>
  </si>
  <si>
    <t xml:space="preserve">7</t>
  </si>
  <si>
    <t xml:space="preserve">  Update Leasing Fees with current vacancy and asking rents</t>
  </si>
  <si>
    <t xml:space="preserve">8</t>
  </si>
  <si>
    <t xml:space="preserve">  Update Rental Analysis for any new deals being analysed</t>
  </si>
  <si>
    <t xml:space="preserve">9</t>
  </si>
  <si>
    <t xml:space="preserve">  Record update in Log above — date, occupancy, WALE, key changes</t>
  </si>
  <si>
    <t xml:space="preserve">10</t>
  </si>
  <si>
    <t xml:space="preserve">  Save as 1ElizabethPlaza_[MonthYY].xlsx</t>
  </si>
  <si>
    <t xml:space="preserve">1 ELIZABETH PLAZA, NORTH SYDNEY  —  TENANCY SCHEDULE INPUT  |  As at 30.9.2026</t>
  </si>
  <si>
    <t xml:space="preserve">Suite ID</t>
  </si>
  <si>
    <t xml:space="preserve">Floor</t>
  </si>
  <si>
    <t xml:space="preserve">Suite #</t>
  </si>
  <si>
    <t xml:space="preserve">Tenant Name</t>
  </si>
  <si>
    <t xml:space="preserve">Trading Name</t>
  </si>
  <si>
    <t xml:space="preserve">NLA (sqm)</t>
  </si>
  <si>
    <t xml:space="preserve">Lease Start</t>
  </si>
  <si>
    <t xml:space="preserve">Lease Expiry</t>
  </si>
  <si>
    <t xml:space="preserve">Term (Yrs)</t>
  </si>
  <si>
    <t xml:space="preserve">Face PSM ($)</t>
  </si>
  <si>
    <t xml:space="preserve">Office Rent PA ($)</t>
  </si>
  <si>
    <t xml:space="preserve">Abatement PA ($)</t>
  </si>
  <si>
    <t xml:space="preserve">Outgoings PA ($)</t>
  </si>
  <si>
    <t xml:space="preserve">Cleaning PA ($)</t>
  </si>
  <si>
    <t xml:space="preserve">Car Park Rent PA ($)</t>
  </si>
  <si>
    <t xml:space="preserve">Car Park Levy PA ($)</t>
  </si>
  <si>
    <t xml:space="preserve">Net Effective PA ($)</t>
  </si>
  <si>
    <t xml:space="preserve">Car Parks</t>
  </si>
  <si>
    <t xml:space="preserve">Review Type</t>
  </si>
  <si>
    <t xml:space="preserve">Next Review</t>
  </si>
  <si>
    <t xml:space="preserve">Lease Type</t>
  </si>
  <si>
    <t xml:space="preserve">WALE (yrs)</t>
  </si>
  <si>
    <t xml:space="preserve">Wtd NLA</t>
  </si>
  <si>
    <t xml:space="preserve">Market PSM ($)</t>
  </si>
  <si>
    <t xml:space="preserve">Var to Mkt ($)</t>
  </si>
  <si>
    <t xml:space="preserve">Var to Mkt (%)</t>
  </si>
  <si>
    <t xml:space="preserve">Bank Guarantee ($)</t>
  </si>
  <si>
    <t xml:space="preserve">Notes</t>
  </si>
  <si>
    <t xml:space="preserve">Status</t>
  </si>
  <si>
    <t xml:space="preserve">Expiry Source
(Enter Here)</t>
  </si>
  <si>
    <t xml:space="preserve">PSM Source</t>
  </si>
  <si>
    <t xml:space="preserve">Display Name</t>
  </si>
  <si>
    <t xml:space="preserve">0301</t>
  </si>
  <si>
    <t xml:space="preserve">L03</t>
  </si>
  <si>
    <t xml:space="preserve">3.01</t>
  </si>
  <si>
    <t xml:space="preserve">Sydney Smiletree Pty Ltd</t>
  </si>
  <si>
    <t xml:space="preserve">The Trustee for Sydney Smiletree Unit Trust</t>
  </si>
  <si>
    <t xml:space="preserve">FIXED 4%</t>
  </si>
  <si>
    <t xml:space="preserve">Net</t>
  </si>
  <si>
    <t xml:space="preserve">86814.00</t>
  </si>
  <si>
    <t xml:space="preserve">Option: 5 yrs. BG: $86,814. Car Space 16.</t>
  </si>
  <si>
    <t xml:space="preserve">Sydney Smiletree</t>
  </si>
  <si>
    <t xml:space="preserve">0302</t>
  </si>
  <si>
    <t xml:space="preserve">3.02</t>
  </si>
  <si>
    <t xml:space="preserve">Fitness First Australia Pty Limited</t>
  </si>
  <si>
    <t xml:space="preserve">Gross</t>
  </si>
  <si>
    <t xml:space="preserve">300000.40</t>
  </si>
  <si>
    <t xml:space="preserve">Gross lease - Nil outgoings. Includes direct AC recovery $108.09 psm. Option: 5 yrs (01/07/26-30/06/31).</t>
  </si>
  <si>
    <t xml:space="preserve">Fitness First (L3)</t>
  </si>
  <si>
    <t xml:space="preserve">0401</t>
  </si>
  <si>
    <t xml:space="preserve">L04</t>
  </si>
  <si>
    <t xml:space="preserve">4.01</t>
  </si>
  <si>
    <t xml:space="preserve">Gross lease - Nil outgoings. 1 car space.</t>
  </si>
  <si>
    <t xml:space="preserve">Fitness First (L4)</t>
  </si>
  <si>
    <t xml:space="preserve">0501</t>
  </si>
  <si>
    <t xml:space="preserve">L05</t>
  </si>
  <si>
    <t xml:space="preserve">5.01</t>
  </si>
  <si>
    <t xml:space="preserve">Fitness First North Sydney</t>
  </si>
  <si>
    <t xml:space="preserve">Gross lease - Nil outgoings. Car park levy only.</t>
  </si>
  <si>
    <t xml:space="preserve">Fitness First N. Sydney</t>
  </si>
  <si>
    <t xml:space="preserve">0503</t>
  </si>
  <si>
    <t xml:space="preserve">5.03</t>
  </si>
  <si>
    <t xml:space="preserve">Asterx Pty Ltd</t>
  </si>
  <si>
    <t xml:space="preserve">Asterx Pty Ltd (MediRecords)</t>
  </si>
  <si>
    <t xml:space="preserve">FIXED 3.5%</t>
  </si>
  <si>
    <t xml:space="preserve">Semi-Gross</t>
  </si>
  <si>
    <t xml:space="preserve">135234.00</t>
  </si>
  <si>
    <t xml:space="preserve">Semi-gross base year FY24. BG: $135,234. 1 car space. Lease start/expiry corrected to 01/07/24–30/06/29 per Sept26 TS (previously recorded as 01/06/24–31/05/29). Abatement, car park rent, cleaning and outgoings all confirmed/updated per Sept26 TS.</t>
  </si>
  <si>
    <t xml:space="preserve">Asterx (MediRecords)</t>
  </si>
  <si>
    <t xml:space="preserve">0504</t>
  </si>
  <si>
    <t xml:space="preserve">5.04</t>
  </si>
  <si>
    <t xml:space="preserve">Auctionsplus Pty Ltd</t>
  </si>
  <si>
    <t xml:space="preserve">199187.44</t>
  </si>
  <si>
    <t xml:space="preserve">Semi-gross base year FY24 2.4%. BG equiv $199,187 incl GST. Incentive: fitout contribution $672,971.</t>
  </si>
  <si>
    <t xml:space="preserve">Auctionsplus</t>
  </si>
  <si>
    <t xml:space="preserve">0602</t>
  </si>
  <si>
    <t xml:space="preserve">L06</t>
  </si>
  <si>
    <t xml:space="preserve">6.02</t>
  </si>
  <si>
    <t xml:space="preserve">Sungrow Australia Group</t>
  </si>
  <si>
    <t xml:space="preserve">Sungrow Australia Group Pty Ltd</t>
  </si>
  <si>
    <t xml:space="preserve">FIXED 3.75%</t>
  </si>
  <si>
    <t xml:space="preserve">291050.49</t>
  </si>
  <si>
    <t xml:space="preserve">BG: $291,050 (6 mths last yr gross rent). Incentive: 50% of rent as abatement. Make Good: $200 psm.</t>
  </si>
  <si>
    <t xml:space="preserve">Sungrow (L6)</t>
  </si>
  <si>
    <t xml:space="preserve">0603</t>
  </si>
  <si>
    <t xml:space="preserve">6.03</t>
  </si>
  <si>
    <t xml:space="preserve">Keeping Company Pty Ltd</t>
  </si>
  <si>
    <t xml:space="preserve">110738.92</t>
  </si>
  <si>
    <t xml:space="preserve">2 car spaces. BG: $110,739. Incentive: fitout $177,810 + abatement. Base year FY2021.</t>
  </si>
  <si>
    <t xml:space="preserve">Keeping Company</t>
  </si>
  <si>
    <t xml:space="preserve">0604</t>
  </si>
  <si>
    <t xml:space="preserve">6.04</t>
  </si>
  <si>
    <t xml:space="preserve">Elekta Pty Limited</t>
  </si>
  <si>
    <t xml:space="preserve">FIXED (3.75%)</t>
  </si>
  <si>
    <t xml:space="preserve">210969.39</t>
  </si>
  <si>
    <t xml:space="preserve">New lease 01/08/25. BG: $210,969. Abatement: $2,576 psm over term. Outgoings 2.95% base FY2025.</t>
  </si>
  <si>
    <t xml:space="preserve">Elekta</t>
  </si>
  <si>
    <t xml:space="preserve">0701</t>
  </si>
  <si>
    <t xml:space="preserve">L07</t>
  </si>
  <si>
    <t xml:space="preserve">7.01</t>
  </si>
  <si>
    <t xml:space="preserve">536314.24</t>
  </si>
  <si>
    <t xml:space="preserve">Tandem bays x2. BG: $536,314. Base year FY2021 9.41%. Sept26 TS shows office rent reset to a combined total of $925,326 pa across 7.01+7.02 (849.6 sqm) — PSM above is a blended rate ($925,326/484.1 sqm) to keep this in the existing K=PSM×NLA formula; not a genuine per-sqm market rate, so Var to Mkt for this row is not meaningful. This is an 82% jump on the prior $508k combined rent — flagging for verification against the lease before relying on it.</t>
  </si>
  <si>
    <t xml:space="preserve">Sungrow (L7 Main)</t>
  </si>
  <si>
    <t xml:space="preserve">0702</t>
  </si>
  <si>
    <t xml:space="preserve">7.02</t>
  </si>
  <si>
    <t xml:space="preserve">Additional Space (Sungrow)</t>
  </si>
  <si>
    <t xml:space="preserve">0</t>
  </si>
  <si>
    <t xml:space="preserve">Additional space - office rent included in Suite 7.01 totals (same lease). Sept26 TS now shows a separate Outgoings Recoverable charge of $37,146.72 pa billed against this suite.</t>
  </si>
  <si>
    <t xml:space="preserve">Sungrow (L7 Add.)</t>
  </si>
  <si>
    <t xml:space="preserve">0801</t>
  </si>
  <si>
    <t xml:space="preserve">L08</t>
  </si>
  <si>
    <t xml:space="preserve">8.01</t>
  </si>
  <si>
    <t xml:space="preserve">Vanderlande Industries Australia Pty Ltd</t>
  </si>
  <si>
    <t xml:space="preserve">288500.00</t>
  </si>
  <si>
    <t xml:space="preserve">Base year FY2015 7.57%. BG: $288,500. Make good: full open plan. Cleaning $15 psm.</t>
  </si>
  <si>
    <t xml:space="preserve">Vanderlande Industries</t>
  </si>
  <si>
    <t xml:space="preserve">0803</t>
  </si>
  <si>
    <t xml:space="preserve">8.03</t>
  </si>
  <si>
    <t xml:space="preserve">Can Too Foundation Limited</t>
  </si>
  <si>
    <t xml:space="preserve">74933.60</t>
  </si>
  <si>
    <t xml:space="preserve">BG: $74,934. Base year 2025 1.29%. Cleaning $15.77 psm.</t>
  </si>
  <si>
    <t xml:space="preserve">Can Too Foundation</t>
  </si>
  <si>
    <t xml:space="preserve">0901</t>
  </si>
  <si>
    <t xml:space="preserve">L09</t>
  </si>
  <si>
    <t xml:space="preserve">9.01</t>
  </si>
  <si>
    <t xml:space="preserve">Pitt &amp; Sherry (Operations) Pty Ltd</t>
  </si>
  <si>
    <t xml:space="preserve">281758.41</t>
  </si>
  <si>
    <t xml:space="preserve">Option: 5 yrs (04/07/27-03/07/32). BG: $281,758. Base year FY2021 5%.</t>
  </si>
  <si>
    <t xml:space="preserve">Pitt &amp; Sherry</t>
  </si>
  <si>
    <t xml:space="preserve">1201</t>
  </si>
  <si>
    <t xml:space="preserve">L12</t>
  </si>
  <si>
    <t xml:space="preserve">12.01</t>
  </si>
  <si>
    <t xml:space="preserve">Hulsbosch Design Pty Ltd</t>
  </si>
  <si>
    <t xml:space="preserve">Base year FY25 3.8%. Corrected per Sept26 TS: this row's NLA/financials were previously swapped with Smile Partners (0902) in the master file. Suite 1201 (Hulsbosch) is actually 251 sqm, 01/11/25–31/10/30, 5 yr term — not 344.5 sqm/4.1 yrs as previously recorded. No car park charges shown for this suite on the TS.</t>
  </si>
  <si>
    <t xml:space="preserve">Hulsbosch Design</t>
  </si>
  <si>
    <t xml:space="preserve">0902</t>
  </si>
  <si>
    <t xml:space="preserve">9.02</t>
  </si>
  <si>
    <t xml:space="preserve">Smile Partners Australia</t>
  </si>
  <si>
    <t xml:space="preserve">Smile Partners Australia Pty Ltd</t>
  </si>
  <si>
    <t xml:space="preserve">Corrected per Sept26 TS: this row's NLA/financials were previously swapped with Hulsbosch Design (1201) in the master file. Suite 0902 (Smile Partners) is actually 344.5 sqm, 01/12/25–31/12/29, 4.1 yr term, 2 car spaces ($6,060 pa levy) — not 251 sqm/5 yrs/no car parks as previously recorded.</t>
  </si>
  <si>
    <t xml:space="preserve">1202</t>
  </si>
  <si>
    <t xml:space="preserve">12.02</t>
  </si>
  <si>
    <t xml:space="preserve">Aei Insurance Group Pty Ltd</t>
  </si>
  <si>
    <t xml:space="preserve">AEI Insurance Group Pty Ltd</t>
  </si>
  <si>
    <t xml:space="preserve">440704.03</t>
  </si>
  <si>
    <t xml:space="preserve">Option: 6 mths. BG: $440,704 (no expiry). 10 car spaces. Formerly Austbrokers.</t>
  </si>
  <si>
    <t xml:space="preserve">AEI Insurance Group</t>
  </si>
  <si>
    <t xml:space="preserve">0601</t>
  </si>
  <si>
    <t xml:space="preserve">6.01</t>
  </si>
  <si>
    <t xml:space="preserve">Caldas Constructions Pty Ltd</t>
  </si>
  <si>
    <t xml:space="preserve">Caldas Constructions — new lease 01/07/26 (corrected from 30/06/26), 6 yr term, $920 psm. Prepaid rent held (no BG). Outgoings/cleaning/car park still TBC pending TS confirmation (still NIL on Sept26 TS). Tenant legal name corrected to "Caldas" (previously "Caladas").</t>
  </si>
  <si>
    <t xml:space="preserve">Caldas Constructions</t>
  </si>
  <si>
    <t xml:space="preserve">1001</t>
  </si>
  <si>
    <t xml:space="preserve">L10</t>
  </si>
  <si>
    <t xml:space="preserve">10.01</t>
  </si>
  <si>
    <t xml:space="preserve">VACANT</t>
  </si>
  <si>
    <t xml:space="preserve">1002</t>
  </si>
  <si>
    <t xml:space="preserve">10.02</t>
  </si>
  <si>
    <t xml:space="preserve">1101</t>
  </si>
  <si>
    <t xml:space="preserve">L11</t>
  </si>
  <si>
    <t xml:space="preserve">11.01</t>
  </si>
  <si>
    <t xml:space="preserve">Luxasia</t>
  </si>
  <si>
    <t xml:space="preserve">LUXASIA</t>
  </si>
  <si>
    <t xml:space="preserve">Break at 3 years. Lease commenced 1/10/26, 5 yr term, $1,060 psm. Incentive: landlord fitout contribution $369,812.50 (see Fitout Costs register) + rent abatement totalling $192,787.50 over the term — Yr 1-3 $25,705 pa (reflected in Abatement PA), Yr 4-5 $57,836.25 pa. Abatement PA will need manual updating to -$57,836.25 from the Yr 4 anniversary (1/10/29).</t>
  </si>
  <si>
    <t xml:space="preserve">1102</t>
  </si>
  <si>
    <t xml:space="preserve">11.02</t>
  </si>
  <si>
    <t xml:space="preserve">Haskoning Australia Pty Ltd</t>
  </si>
  <si>
    <t xml:space="preserve">Haskoning Australia Pty Ltd — new lease commencing 01/10/26, 6 yr term, $1,040 psm, fixed 3.5% review. Fitout contribution $750,400 (landlord funded). Outgoings/cleaning/car park TBC pending TS confirmation. Next review date estimated.</t>
  </si>
  <si>
    <t xml:space="preserve">Haskoning Australia</t>
  </si>
  <si>
    <t xml:space="preserve">TOTALS / BUILDING SUMMARY</t>
  </si>
  <si>
    <t xml:space="preserve">OCCUPANCY %</t>
  </si>
  <si>
    <t xml:space="preserve">Occupied NLA</t>
  </si>
  <si>
    <t xml:space="preserve">Vacant NLA</t>
  </si>
  <si>
    <t xml:space="preserve">Total NLA</t>
  </si>
  <si>
    <t xml:space="preserve">Occupancy %</t>
  </si>
  <si>
    <t xml:space="preserve">Vacancy %</t>
  </si>
  <si>
    <t xml:space="preserve">1 ELIZABETH PLAZA, NORTH SYDNEY  —  ASSET MANAGEMENT DASHBOARD</t>
  </si>
  <si>
    <t xml:space="preserve">As at 30 September 2026  |  Data sourced from Input Data tab  |  All amounts in AUD</t>
  </si>
  <si>
    <t xml:space="preserve">TOTAL NLA</t>
  </si>
  <si>
    <t xml:space="preserve">OCCUPIED NLA</t>
  </si>
  <si>
    <t xml:space="preserve">VACANT NLA</t>
  </si>
  <si>
    <t xml:space="preserve">OCCUPANCY</t>
  </si>
  <si>
    <t xml:space="preserve">VACANCY</t>
  </si>
  <si>
    <t xml:space="preserve">SUITES</t>
  </si>
  <si>
    <t xml:space="preserve">20 occ  |  2 vacant</t>
  </si>
  <si>
    <t xml:space="preserve">GROSS INCOME PA</t>
  </si>
  <si>
    <t xml:space="preserve">NET EFFECTIVE PA</t>
  </si>
  <si>
    <t xml:space="preserve">ABATEMENT PA</t>
  </si>
  <si>
    <t xml:space="preserve">WALE by NLA</t>
  </si>
  <si>
    <t xml:space="preserve">WALE by Income</t>
  </si>
  <si>
    <t xml:space="preserve">OUTGOINGS %</t>
  </si>
  <si>
    <t xml:space="preserve">92.3%</t>
  </si>
  <si>
    <t xml:space="preserve">  WEIGHTED AVERAGE LEASE EXPIRY (WALE)</t>
  </si>
  <si>
    <t xml:space="preserve">Measure</t>
  </si>
  <si>
    <t xml:space="preserve">WALE</t>
  </si>
  <si>
    <t xml:space="preserve">Basis</t>
  </si>
  <si>
    <t xml:space="preserve">Area-weighted average of remaining lease terms (occupied suites only)</t>
  </si>
  <si>
    <t xml:space="preserve">Income-weighted average of remaining lease terms</t>
  </si>
  <si>
    <t xml:space="preserve">  LEASE EXPIRY PROFILE  —  BY INCOME &amp; AREA (5 YEAR FORWARD VIEW)</t>
  </si>
  <si>
    <t xml:space="preserve">Expiry Year</t>
  </si>
  <si>
    <t xml:space="preserve">Net Effective ($)</t>
  </si>
  <si>
    <t xml:space="preserve">Income %</t>
  </si>
  <si>
    <t xml:space="preserve">Area %</t>
  </si>
  <si>
    <t xml:space="preserve"># Leases</t>
  </si>
  <si>
    <t xml:space="preserve">Tenants Expiring</t>
  </si>
  <si>
    <t xml:space="preserve">2026</t>
  </si>
  <si>
    <t xml:space="preserve">2027</t>
  </si>
  <si>
    <t xml:space="preserve">2028</t>
  </si>
  <si>
    <t xml:space="preserve">2029</t>
  </si>
  <si>
    <t xml:space="preserve">2030</t>
  </si>
  <si>
    <t xml:space="preserve">2031+</t>
  </si>
  <si>
    <t xml:space="preserve">TOTAL</t>
  </si>
  <si>
    <t xml:space="preserve">  PASSING RENT vs MARKET RENT  —  By Suite</t>
  </si>
  <si>
    <t xml:space="preserve">Suite</t>
  </si>
  <si>
    <t xml:space="preserve">Tenant</t>
  </si>
  <si>
    <t xml:space="preserve">NLA</t>
  </si>
  <si>
    <t xml:space="preserve">Face PSM</t>
  </si>
  <si>
    <t xml:space="preserve">Market PSM</t>
  </si>
  <si>
    <t xml:space="preserve">Var ($)</t>
  </si>
  <si>
    <t xml:space="preserve">Var (%)</t>
  </si>
  <si>
    <t xml:space="preserve">Position</t>
  </si>
  <si>
    <t xml:space="preserve">  UPCOMING CRITICAL DATES  —  Next 18 Months</t>
  </si>
  <si>
    <t xml:space="preserve">Suite / Tenant</t>
  </si>
  <si>
    <t xml:space="preserve">Event</t>
  </si>
  <si>
    <t xml:space="preserve">Due Date</t>
  </si>
  <si>
    <t xml:space="preserve">Days Away</t>
  </si>
  <si>
    <t xml:space="preserve">Action Required</t>
  </si>
  <si>
    <t xml:space="preserve">6.01/Caldas</t>
  </si>
  <si>
    <t xml:space="preserve">New Lease Commences</t>
  </si>
  <si>
    <t xml:space="preserve">Ensure fitout complete, BG received, rent commences</t>
  </si>
  <si>
    <t xml:space="preserve">6.03/Keeping Co</t>
  </si>
  <si>
    <t xml:space="preserve">Renewal negotiations — 13 months away, engage tenant</t>
  </si>
  <si>
    <t xml:space="preserve">5.04/Auctionsplus</t>
  </si>
  <si>
    <t xml:space="preserve">Rent Review 4%</t>
  </si>
  <si>
    <t xml:space="preserve">Fixed review — calculate and issue notice</t>
  </si>
  <si>
    <t xml:space="preserve">5.03/Asterx</t>
  </si>
  <si>
    <t xml:space="preserve">Rent Review 3.5%</t>
  </si>
  <si>
    <t xml:space="preserve">Fixed review — confirm calculation</t>
  </si>
  <si>
    <t xml:space="preserve">Fixed review — imminent, action now</t>
  </si>
  <si>
    <t xml:space="preserve">8.01/Vanderlande</t>
  </si>
  <si>
    <t xml:space="preserve">Fixed review — imminent</t>
  </si>
  <si>
    <t xml:space="preserve">9.01/Pitt &amp; Sherry</t>
  </si>
  <si>
    <t xml:space="preserve">Rent Review 3.75%</t>
  </si>
  <si>
    <t xml:space="preserve">Fixed review — action now</t>
  </si>
  <si>
    <t xml:space="preserve">3.01/Smiletree</t>
  </si>
  <si>
    <t xml:space="preserve">Fixed review on lease extension</t>
  </si>
  <si>
    <t xml:space="preserve">Option available — engage tenant in advance</t>
  </si>
  <si>
    <t xml:space="preserve">8.03/Can Too</t>
  </si>
  <si>
    <t xml:space="preserve">LEVEL 10/Vacant</t>
  </si>
  <si>
    <t xml:space="preserve">Vacancy Risk</t>
  </si>
  <si>
    <t xml:space="preserve">TBC</t>
  </si>
  <si>
    <t xml:space="preserve">Long vacancy — 787 sqm, marketing required urgently</t>
  </si>
  <si>
    <t xml:space="preserve">11.01/Luxasia</t>
  </si>
  <si>
    <t xml:space="preserve">New Lease Commenced</t>
  </si>
  <si>
    <t xml:space="preserve">Confirm fitout contribution paid, BG/condition received, abatement schedule tracked (steps up 1/10/29)</t>
  </si>
  <si>
    <t xml:space="preserve">11.02/Haskoning</t>
  </si>
  <si>
    <t xml:space="preserve">Ensure fitout contribution paid, lease execution complete</t>
  </si>
  <si>
    <t xml:space="preserve">  INCOME ANALYSIS  —  By Floor</t>
  </si>
  <si>
    <t xml:space="preserve">Tenants</t>
  </si>
  <si>
    <t xml:space="preserve">Net Eff PA ($)</t>
  </si>
  <si>
    <t xml:space="preserve">Expiry Yr</t>
  </si>
  <si>
    <t xml:space="preserve">TOTAL / BUILDING</t>
  </si>
  <si>
    <t xml:space="preserve">100.0%</t>
  </si>
  <si>
    <t xml:space="preserve">  ASSET VALUATION SUMMARY</t>
  </si>
  <si>
    <t xml:space="preserve">Latest Valuation
(Val 1)</t>
  </si>
  <si>
    <t xml:space="preserve">Previous
(Val 2)</t>
  </si>
  <si>
    <t xml:space="preserve">Prior
(Val 3)</t>
  </si>
  <si>
    <t xml:space="preserve">Movement (Val 1 vs Val 2)</t>
  </si>
  <si>
    <t xml:space="preserve">  Valuation Amount ($)</t>
  </si>
  <si>
    <t xml:space="preserve">  Date of Valuation</t>
  </si>
  <si>
    <t xml:space="preserve">  Valuer / Firm</t>
  </si>
  <si>
    <t xml:space="preserve">  Capitalisation Rate</t>
  </si>
  <si>
    <t xml:space="preserve">  Passing Yield</t>
  </si>
  <si>
    <t xml:space="preserve">  Land Value</t>
  </si>
  <si>
    <t xml:space="preserve">  Valuation Basis</t>
  </si>
  <si>
    <t xml:space="preserve">  LAND TAX SUMMARY  —  NSW</t>
  </si>
  <si>
    <t xml:space="preserve">Assessment 1
(Latest)</t>
  </si>
  <si>
    <t xml:space="preserve">Assessment 2</t>
  </si>
  <si>
    <t xml:space="preserve">Assessment 3</t>
  </si>
  <si>
    <t xml:space="preserve">Land Value Movement</t>
  </si>
  <si>
    <t xml:space="preserve">  Land Tax Year</t>
  </si>
  <si>
    <t xml:space="preserve">  Assessed Land Value ($)</t>
  </si>
  <si>
    <t xml:space="preserve">  Land Tax Payable ($)</t>
  </si>
  <si>
    <t xml:space="preserve">  Assessment Date</t>
  </si>
  <si>
    <t xml:space="preserve">  Mortgage details recorded in Valuations tab only  |  Update Valuations tab after each new valuation or land tax assessment</t>
  </si>
  <si>
    <t xml:space="preserve">1 ELIZABETH PLAZA, NORTH SYDNEY  —  VALUATIONS, LAND TAX &amp; MORTGAGE REGISTER</t>
  </si>
  <si>
    <t xml:space="preserve">Yellow cells = input. All Dashboard valuation figures pull from this tab automatically. Update each time a new valuation or assessment is received.</t>
  </si>
  <si>
    <t xml:space="preserve">  PROPERTY VALUATIONS</t>
  </si>
  <si>
    <t xml:space="preserve">Valuation 1
(Most Recent)</t>
  </si>
  <si>
    <t xml:space="preserve">Valuation 2</t>
  </si>
  <si>
    <t xml:space="preserve">Valuation 3</t>
  </si>
  <si>
    <t xml:space="preserve">  Valuation Amount</t>
  </si>
  <si>
    <t xml:space="preserve">  Capitalisation Rate (%)</t>
  </si>
  <si>
    <t xml:space="preserve">  Passing Yield (%)</t>
  </si>
  <si>
    <t xml:space="preserve">  Land Value ($)</t>
  </si>
  <si>
    <t xml:space="preserve">  Improvement Value ($)</t>
  </si>
  <si>
    <t xml:space="preserve">  VALUATION MOVEMENT</t>
  </si>
  <si>
    <t xml:space="preserve">  Val 1 vs Val 2 ($)</t>
  </si>
  <si>
    <t xml:space="preserve">  Val 2 vs Val 3 ($)</t>
  </si>
  <si>
    <t xml:space="preserve">  LAND TAX ASSESSMENTS  —  NSW</t>
  </si>
  <si>
    <t xml:space="preserve">Assessment 1
(Most Recent)</t>
  </si>
  <si>
    <t xml:space="preserve">  Threshold Applied ($)</t>
  </si>
  <si>
    <t xml:space="preserve">  Tax Rate Applied (%)</t>
  </si>
  <si>
    <t xml:space="preserve">  Payment Due Date</t>
  </si>
  <si>
    <t xml:space="preserve">  Assessment Reference / Notice</t>
  </si>
  <si>
    <t xml:space="preserve">  LAND VALUE MOVEMENT</t>
  </si>
  <si>
    <t xml:space="preserve">  Assessment 1 vs 2 Land Value Change</t>
  </si>
  <si>
    <t xml:space="preserve">  Assessment 2 vs 3 Land Value Change</t>
  </si>
  <si>
    <t xml:space="preserve">  MORTGAGE / DEBT DETAILS  —  (Not displayed on Dashboard)</t>
  </si>
  <si>
    <t xml:space="preserve">Field</t>
  </si>
  <si>
    <t xml:space="preserve">Current</t>
  </si>
  <si>
    <t xml:space="preserve">Prior</t>
  </si>
  <si>
    <t xml:space="preserve">  Lender / Bank</t>
  </si>
  <si>
    <t xml:space="preserve">  Loan Amount ($)</t>
  </si>
  <si>
    <t xml:space="preserve">  As at Date</t>
  </si>
  <si>
    <t xml:space="preserve">  Interest Rate (%)</t>
  </si>
  <si>
    <t xml:space="preserve">  Loan Type</t>
  </si>
  <si>
    <t xml:space="preserve">  Facility Expiry / Review Date</t>
  </si>
  <si>
    <t xml:space="preserve">  LVR (%)</t>
  </si>
  <si>
    <t xml:space="preserve">  Interest Cover Ratio (ICR)</t>
  </si>
  <si>
    <t xml:space="preserve">  Covenants / Notes</t>
  </si>
  <si>
    <t xml:space="preserve">  LEGEND:  Yellow = input  |  Teal = calculated  |  Valuation 1 = most recent  |  LVR auto-calculates from Loan Amount ÷ Latest Valuation</t>
  </si>
  <si>
    <t xml:space="preserve">1 ELIZABETH PLAZA, NORTH SYDNEY — MARKET RENTS 2026-27  |  Face Rent PSM ($)  |  Update annually or when market moves materially</t>
  </si>
  <si>
    <t xml:space="preserve">Source: Market assessment 2026  |  Update annually or when market moves  |  Market PSM (col E) feeds Var to Mkt analysis in Input Data tab  |  Yellow = input cells</t>
  </si>
  <si>
    <t xml:space="preserve">Size
(sqm)</t>
  </si>
  <si>
    <t xml:space="preserve">Current Tenant</t>
  </si>
  <si>
    <t xml:space="preserve">Passing
PSM ($)</t>
  </si>
  <si>
    <t xml:space="preserve">Market
Rent PSM ($)</t>
  </si>
  <si>
    <t xml:space="preserve">New Tenant Incentive
3yr</t>
  </si>
  <si>
    <t xml:space="preserve">4yr</t>
  </si>
  <si>
    <t xml:space="preserve">5yr</t>
  </si>
  <si>
    <t xml:space="preserve">Renewal Incentive
3yr</t>
  </si>
  <si>
    <t xml:space="preserve">35-45%</t>
  </si>
  <si>
    <t xml:space="preserve">38-45%</t>
  </si>
  <si>
    <t xml:space="preserve">40-45%</t>
  </si>
  <si>
    <t xml:space="preserve">28-32%</t>
  </si>
  <si>
    <t xml:space="preserve">35-42%</t>
  </si>
  <si>
    <t xml:space="preserve">PORTFOLIO MARKET RENT SUMMARY</t>
  </si>
  <si>
    <t xml:space="preserve">  LEGEND:  Yellow = input (update market PSM and incentive rates each assessment)  |  Red rows = expired/vacant suites  |  Var $ and % auto-calculate from Input Data  |  Incentive rates = gross incentive as % of gross rent</t>
  </si>
  <si>
    <t xml:space="preserve">1 ELIZABETH PLAZA  —  LEASE EXPIRY PROFILE  |  As at 30/09/2026  |  ALL DATA SOURCED FROM INPUT DATA TAB</t>
  </si>
  <si>
    <t xml:space="preserve">Tenant / Suite</t>
  </si>
  <si>
    <t xml:space="preserve">Rem. (Yrs)</t>
  </si>
  <si>
    <t xml:space="preserve">Cars</t>
  </si>
  <si>
    <t xml:space="preserve">  EXPIRY 2027</t>
  </si>
  <si>
    <t xml:space="preserve">  EXPIRY 2028</t>
  </si>
  <si>
    <t xml:space="preserve">  EXPIRY 2029</t>
  </si>
  <si>
    <t xml:space="preserve">  EXPIRY 2030</t>
  </si>
  <si>
    <t xml:space="preserve">  EXPIRY 2031+</t>
  </si>
  <si>
    <t xml:space="preserve">  VACANT SUITES</t>
  </si>
  <si>
    <t xml:space="preserve">BUILDING TOTALS</t>
  </si>
  <si>
    <t xml:space="preserve">1 ELIZABETH PLAZA  —  LEASE REGISTER  |  As at 30/09/2026  |  ALL DATA SOURCED FROM INPUT DATA TAB</t>
  </si>
  <si>
    <t xml:space="preserve">Mkt PSM ($)</t>
  </si>
  <si>
    <t xml:space="preserve">Car Park PA ($)</t>
  </si>
  <si>
    <t xml:space="preserve">WALE Contrib (sqm.yr)</t>
  </si>
  <si>
    <t xml:space="preserve">  VACANT SUITES  —  787 sqm available</t>
  </si>
  <si>
    <t xml:space="preserve">1 ELIZABETH PLAZA, NORTH SYDNEY  —  MAKE GOOD OBLIGATIONS REGISTER  |  As at 30 September 2026</t>
  </si>
  <si>
    <t xml:space="preserve">Track make-good obligations, notice periods and estimated costs for each suite. Update when leases are signed or when condition changes.</t>
  </si>
  <si>
    <t xml:space="preserve">  MAKE GOOD SUMMARY</t>
  </si>
  <si>
    <t xml:space="preserve">  Leases with Make Good Obligation</t>
  </si>
  <si>
    <t xml:space="preserve">  Total Estimated Cost ($)</t>
  </si>
  <si>
    <t xml:space="preserve">  High Risk (expiring &lt;12 mths)</t>
  </si>
  <si>
    <t xml:space="preserve">  Make Good Notice Period</t>
  </si>
  <si>
    <t xml:space="preserve">See per lease</t>
  </si>
  <si>
    <t xml:space="preserve">  MAKE GOOD OBLIGATIONS  —  Per Lease  (update from lease schedule &amp; inspections)</t>
  </si>
  <si>
    <t xml:space="preserve">Lease
Expiry</t>
  </si>
  <si>
    <t xml:space="preserve">Notice
Period</t>
  </si>
  <si>
    <t xml:space="preserve">MG Obligation
in Lease?</t>
  </si>
  <si>
    <t xml:space="preserve">Estimated
Cost ($)</t>
  </si>
  <si>
    <t xml:space="preserve">Cost
PSM ($)</t>
  </si>
  <si>
    <t xml:space="preserve">Last
Inspected</t>
  </si>
  <si>
    <t xml:space="preserve">Condition
Rating</t>
  </si>
  <si>
    <t xml:space="preserve">MG
Status</t>
  </si>
  <si>
    <t xml:space="preserve">Action
Required</t>
  </si>
  <si>
    <t xml:space="preserve">Notes / Scope of Works</t>
  </si>
  <si>
    <t xml:space="preserve">Further detail</t>
  </si>
  <si>
    <t xml:space="preserve">NA</t>
  </si>
  <si>
    <t xml:space="preserve">Yes</t>
  </si>
  <si>
    <t xml:space="preserve">Not Inspected</t>
  </si>
  <si>
    <t xml:space="preserve">None</t>
  </si>
  <si>
    <t xml:space="preserve">Payment in Lieu $300 /sqm + GST ($32,310 + GST)</t>
  </si>
  <si>
    <t xml:space="preserve">Fitness First gross lease — no specific make-good clause captured in the tenancy schedule extract; confirm scope against executed lease.</t>
  </si>
  <si>
    <t xml:space="preserve">Fitness First (North Sydney) gross lease — no specific make-good clause captured in the tenancy schedule extract; confirm scope against executed lease.</t>
  </si>
  <si>
    <t xml:space="preserve">Clause 10 — tenant to make good any damage, remove tenant property and existing fit-out, and hand back the premises (including landlord-directed works) at expiry.</t>
  </si>
  <si>
    <t xml:space="preserve">Under Clause 10 the tenant must make good any damage existing in the premises and remove tenant property/fitout, unless the landlord directs otherwise.</t>
  </si>
  <si>
    <t xml:space="preserve">Clause 6.7(c) — tenant may elect to pay the Lessor $250/sqm + GST in lieu of undertaking make-good works.</t>
  </si>
  <si>
    <t xml:space="preserve">Payment in lieu of $250/sqm + GST (≈$103,375 ex GST based on current NLA).</t>
  </si>
  <si>
    <t xml:space="preserve">Clause 10.2 (pg 53) — remove tenant property, reinstate alterations, restore ceiling &amp; carpet tiles (fair wear &amp; tear excepted), professionally steam-clean carpet, repaint.</t>
  </si>
  <si>
    <t xml:space="preserve">Full reinstatement clause — no fixed $/sqm payment-in-lieu rate specified; obtain make-good quote closer to expiry (30/06/2032).</t>
  </si>
  <si>
    <t xml:space="preserve">Make-good noted at $200/sqm against the lease summary (BG/incentive notes) — confirm exact clause reference against executed lease.</t>
  </si>
  <si>
    <t xml:space="preserve">Payment in lieu of $200/sqm + GST (≈$90,340 ex GST based on current NLA).</t>
  </si>
  <si>
    <t xml:space="preserve">Keeping Company — no specific make-good clause captured in the tenancy schedule extract; confirm scope against executed lease.</t>
  </si>
  <si>
    <t xml:space="preserve">Elekta — no specific make-good clause captured in the tenancy schedule extract; confirm scope against executed lease.</t>
  </si>
  <si>
    <t xml:space="preserve">Clause 6.7 — return suite to landlord in open-plan layout; recarpet worn areas, make good all damage, repaint walls (min. 2 coats), remove signage. Clause 6.8 — payment in lieu available at $200/sqm.</t>
  </si>
  <si>
    <t xml:space="preserve">Payment in lieu of $200/sqm + GST (≈$96,820 ex GST based on current NLA).</t>
  </si>
  <si>
    <t xml:space="preserve">Additional space under the same lease as Suite 0701 (001445) — same make-good terms (Clause 6.7/6.8) apply to this suite.</t>
  </si>
  <si>
    <t xml:space="preserve">Payment in lieu of $200/sqm + GST (≈$73,100 ex GST based on current NLA — same lease as 0701).</t>
  </si>
  <si>
    <t xml:space="preserve">Clause 6.7 — full make-good back to open-plan layout (base build reinstatement).</t>
  </si>
  <si>
    <t xml:space="preserve">Full reinstatement clause — no fixed $/sqm payment-in-lieu rate specified; obtain make-good quote closer to expiry (30/06/2028).</t>
  </si>
  <si>
    <t xml:space="preserve">0802</t>
  </si>
  <si>
    <t xml:space="preserve">30/06/2028</t>
  </si>
  <si>
    <t xml:space="preserve">Ancillary suite (0 sqm) under the same lease as Suite 0801 (001442) — same make-good obligation (Clause 6.7, full open-plan reinstatement) applies.</t>
  </si>
  <si>
    <t xml:space="preserve">Can Too Foundation — no specific make-good clause captured in the tenancy schedule extract; confirm scope against executed lease.</t>
  </si>
  <si>
    <t xml:space="preserve">Clause 6.7 — return suite in open-plan layout, recarpet, make good all damage, repaint. Clause 6.8 — payment in lieu available at $175 + GST.</t>
  </si>
  <si>
    <t xml:space="preserve">Payment in lieu of $175/sqm + GST (≈$79,328 ex GST based on current NLA).</t>
  </si>
  <si>
    <t xml:space="preserve">Smile Partners Australia — new lease (01/11/25); no specific make-good clause captured in the tenancy schedule extract; confirm scope against executed lease.</t>
  </si>
  <si>
    <t xml:space="preserve">N/A</t>
  </si>
  <si>
    <t xml:space="preserve">Vacant suite — no current lease or make-good obligation.</t>
  </si>
  <si>
    <t xml:space="preserve">Luxasia — new lease commenced 01/10/2026; make-good clause not yet captured in the tenancy schedule extract; confirm scope against lease.</t>
  </si>
  <si>
    <t xml:space="preserve">Haskoning Australia — new lease commencing 01/10/2026; make-good clause not yet captured in the tenancy schedule extract; confirm scope once lease is finalised.</t>
  </si>
  <si>
    <t xml:space="preserve">Hulsbosch Design — no specific make-good clause captured in the tenancy schedule extract; confirm scope against executed lease.</t>
  </si>
  <si>
    <t xml:space="preserve">Aei Insurance Group — no specific make-good clause captured in the tenancy schedule extract; confirm scope against executed lease.</t>
  </si>
  <si>
    <t xml:space="preserve">  KEY  |  Amber cells = user input required   |   Status automatically set from expiry date</t>
  </si>
  <si>
    <t xml:space="preserve">LIGHT_RED (expired/overdue)</t>
  </si>
  <si>
    <t xml:space="preserve">LT_ORANGE (&lt;6 mths)</t>
  </si>
  <si>
    <t xml:space="preserve">LT_AMBER (&lt;12 mths)</t>
  </si>
  <si>
    <t xml:space="preserve">Blue/White (&gt;12 mths)</t>
  </si>
  <si>
    <t xml:space="preserve">1 ELIZABETH PLAZA, NORTH SYDNEY  —  BUILDING STACK PLAN  |  As at 30/09/2026</t>
  </si>
  <si>
    <t xml:space="preserve">Blocks proportional to NLA  |  Colour = lease expiry year  |  Scale ≈ 360 sqm per column</t>
  </si>
  <si>
    <t xml:space="preserve">NLA
(sqm)</t>
  </si>
  <si>
    <t xml:space="preserve">◄───────────────────────────────────  BUILDING STACK PLAN  ───────────────────────────────────►</t>
  </si>
  <si>
    <t xml:space="preserve">Level 12</t>
  </si>
  <si>
    <t xml:space="preserve">Level 11</t>
  </si>
  <si>
    <t xml:space="preserve">Level 10</t>
  </si>
  <si>
    <t xml:space="preserve">438 sqm</t>
  </si>
  <si>
    <t xml:space="preserve">349 sqm</t>
  </si>
  <si>
    <t xml:space="preserve">⬤ AVAILABLE NOW</t>
  </si>
  <si>
    <t xml:space="preserve">Level 9</t>
  </si>
  <si>
    <t xml:space="preserve">Level 8</t>
  </si>
  <si>
    <t xml:space="preserve">Level 7</t>
  </si>
  <si>
    <t xml:space="preserve">Level 6</t>
  </si>
  <si>
    <t xml:space="preserve">Level 5</t>
  </si>
  <si>
    <t xml:space="preserve">Level 4</t>
  </si>
  <si>
    <t xml:space="preserve">Level 3</t>
  </si>
  <si>
    <t xml:space="preserve">Roof</t>
  </si>
  <si>
    <t xml:space="preserve">Pipe Networks Pty Ltd (Vocus)</t>
  </si>
  <si>
    <t xml:space="preserve">ROOF — Roof</t>
  </si>
  <si>
    <t xml:space="preserve">Face $— | Net $2,500 pa</t>
  </si>
  <si>
    <t xml:space="preserve">Outg $— | Rev: —</t>
  </si>
  <si>
    <t xml:space="preserve">Exp: Aug-27 (1.3 yrs)</t>
  </si>
  <si>
    <t xml:space="preserve">1.3 yrs remaining</t>
  </si>
  <si>
    <t xml:space="preserve">  LEGEND — Expiry Year Colour Code</t>
  </si>
  <si>
    <t xml:space="preserve">Expiring 2026 ⚠</t>
  </si>
  <si>
    <t xml:space="preserve">Vacant</t>
  </si>
  <si>
    <t xml:space="preserve">  PORTFOLIO SUMMARY  |  As at 30/09/2026  |  Total NLA: 8,940.9 sqm  |  Occupied: 8,153.9 sqm (91.2%)  |  Vacant: 787.0 sqm (8.8%)  |  Gross Income PA: ~$8.0M</t>
  </si>
  <si>
    <t xml:space="preserve">1 ELIZABETH PLAZA  —  LEASING ACTIVITY LOG  |  Since June 2024</t>
  </si>
  <si>
    <t xml:space="preserve">Date</t>
  </si>
  <si>
    <t xml:space="preserve">Type</t>
  </si>
  <si>
    <t xml:space="preserve">Review</t>
  </si>
  <si>
    <t xml:space="preserve">Commencement</t>
  </si>
  <si>
    <t xml:space="preserve">Expiry</t>
  </si>
  <si>
    <t xml:space="preserve">Term</t>
  </si>
  <si>
    <t xml:space="preserve">Incentive %</t>
  </si>
  <si>
    <t xml:space="preserve">Fitout ($)</t>
  </si>
  <si>
    <t xml:space="preserve">Abatement ($)</t>
  </si>
  <si>
    <t xml:space="preserve">TR Fee ($)</t>
  </si>
  <si>
    <t xml:space="preserve">New Lease</t>
  </si>
  <si>
    <t xml:space="preserve">5 Years</t>
  </si>
  <si>
    <t xml:space="preserve">Suite 12.01. BG: 6 mths.</t>
  </si>
  <si>
    <t xml:space="preserve">4.1 Years</t>
  </si>
  <si>
    <t xml:space="preserve">Suite 9.02. </t>
  </si>
  <si>
    <t xml:space="preserve">7 Years</t>
  </si>
  <si>
    <t xml:space="preserve">Suite 6.04. $2,576 psm abatement over 7 yr term. BG $210,969.</t>
  </si>
  <si>
    <t xml:space="preserve">5.4 Years</t>
  </si>
  <si>
    <t xml:space="preserve">Suite 8.03. BG: $74,934.</t>
  </si>
  <si>
    <t xml:space="preserve">4.4 Years</t>
  </si>
  <si>
    <t xml:space="preserve">Suite 6.02. 50% incentive as abatement. BG $291,050.</t>
  </si>
  <si>
    <t xml:space="preserve">6 Years</t>
  </si>
  <si>
    <t xml:space="preserve">Suite 12.02. Formerly Austbrokers. 10 car spaces. BG $440,704.</t>
  </si>
  <si>
    <t xml:space="preserve">Suite 5.04. Incentive as fitout + abatement. BG equiv $199k incl GST.</t>
  </si>
  <si>
    <t xml:space="preserve">Renewal</t>
  </si>
  <si>
    <t xml:space="preserve">Suite 5.03 (MediRecords). Continuation. BG $135,234.</t>
  </si>
  <si>
    <t xml:space="preserve">Caladas Constructions</t>
  </si>
  <si>
    <t xml:space="preserve">PROSPECT — New lease commencing 01/07/26. Prepaid rent held.</t>
  </si>
  <si>
    <t xml:space="preserve">PROSPECT — New lease commencing 01/10/26. </t>
  </si>
  <si>
    <t xml:space="preserve">LEASING ACTIVITY SUMMARY</t>
  </si>
  <si>
    <t xml:space="preserve">WALE by NLA (Current)</t>
  </si>
  <si>
    <t xml:space="preserve">Occupancy (Current)</t>
  </si>
  <si>
    <t xml:space="preserve">WALE by NLA (May 2025)</t>
  </si>
  <si>
    <t xml:space="preserve">3.34 years</t>
  </si>
  <si>
    <t xml:space="preserve">Occupancy (May 2025)</t>
  </si>
  <si>
    <t xml:space="preserve">76.9%</t>
  </si>
  <si>
    <t xml:space="preserve">r</t>
  </si>
  <si>
    <t xml:space="preserve">WALE by NLA (May 2024)</t>
  </si>
  <si>
    <t xml:space="preserve">3.20 years</t>
  </si>
  <si>
    <t xml:space="preserve">Occupancy (May 2024)</t>
  </si>
  <si>
    <t xml:space="preserve">68.1%</t>
  </si>
  <si>
    <t xml:space="preserve">Total NLA Leased (Since Jun 24)</t>
  </si>
  <si>
    <t xml:space="preserve">1 ELIZABETH PLAZA  —  SPEC FITOUT &amp; LANDLORD WORKS REGISTER  |  As at 30/04/2026</t>
  </si>
  <si>
    <t xml:space="preserve">Track approved and completed fitout works, spec fitouts and landlord contributions. All costs ex-GST unless noted.</t>
  </si>
  <si>
    <t xml:space="preserve">  SPEC FITOUT SUMMARY</t>
  </si>
  <si>
    <t xml:space="preserve">  Total Approved Budget</t>
  </si>
  <si>
    <t xml:space="preserve">  Total Spent</t>
  </si>
  <si>
    <t xml:space="preserve">  Avg Cost PSM</t>
  </si>
  <si>
    <t xml:space="preserve">  Suites In Progress</t>
  </si>
  <si>
    <t xml:space="preserve">  FITOUT DETAILS  —  Per Suite / Project</t>
  </si>
  <si>
    <t xml:space="preserve">Floor/Suite</t>
  </si>
  <si>
    <t xml:space="preserve">Description</t>
  </si>
  <si>
    <t xml:space="preserve">Date Approved</t>
  </si>
  <si>
    <t xml:space="preserve">Total Budget ($)</t>
  </si>
  <si>
    <t xml:space="preserve">Cost PSM ($)</t>
  </si>
  <si>
    <t xml:space="preserve">Fitout Allow ($)</t>
  </si>
  <si>
    <t xml:space="preserve">Net Cost ($)</t>
  </si>
  <si>
    <t xml:space="preserve">Contractor</t>
  </si>
  <si>
    <t xml:space="preserve">Date Complete</t>
  </si>
  <si>
    <t xml:space="preserve">Landlord fitout contribution / partials</t>
  </si>
  <si>
    <t xml:space="preserve">Completed</t>
  </si>
  <si>
    <t xml:space="preserve">2022</t>
  </si>
  <si>
    <t xml:space="preserve">Fitout cost psm $186.24</t>
  </si>
  <si>
    <t xml:space="preserve">Spec fitout — Level 10 (10.01)</t>
  </si>
  <si>
    <t xml:space="preserve">2024</t>
  </si>
  <si>
    <t xml:space="preserve">Spec fitted: Level 10 (completed 2025)</t>
  </si>
  <si>
    <t xml:space="preserve">Spec fitout — Level 10 (10.02)</t>
  </si>
  <si>
    <t xml:space="preserve">Full spec fitout incl MG 10.02. Lift lobby, electrical box etc.</t>
  </si>
  <si>
    <t xml:space="preserve">Spec fitout — Level 6 (6.01)</t>
  </si>
  <si>
    <t xml:space="preserve">Fitout completed 2022. Rate: $915 psm</t>
  </si>
  <si>
    <t xml:space="preserve">Spec fitout — Level 12 (12.01)</t>
  </si>
  <si>
    <t xml:space="preserve">2023</t>
  </si>
  <si>
    <t xml:space="preserve">Fitout completed. $988 psm</t>
  </si>
  <si>
    <t xml:space="preserve">Spec fitout — Level 8 (8.03)</t>
  </si>
  <si>
    <t xml:space="preserve">2025</t>
  </si>
  <si>
    <t xml:space="preserve">Minor works $26 psm</t>
  </si>
  <si>
    <t xml:space="preserve">11.01/11.02</t>
  </si>
  <si>
    <t xml:space="preserve">Spec fitout — Level 11</t>
  </si>
  <si>
    <t xml:space="preserve">In Progress</t>
  </si>
  <si>
    <t xml:space="preserve">Spec fitted Level 11 — to be completed June 2026</t>
  </si>
  <si>
    <t xml:space="preserve">Refurbishment — Suite 9.02</t>
  </si>
  <si>
    <t xml:space="preserve">Refurb completed 2025. Rate $186.24 psm (power, blinds, works, vinyl, MG)</t>
  </si>
  <si>
    <t xml:space="preserve">Fitout — Auctionsplus (5.04)</t>
  </si>
  <si>
    <t xml:space="preserve">Landlord contribution $672,971 + GST. Tenant's fitout.</t>
  </si>
  <si>
    <t xml:space="preserve">Fitout — Luxasia (11.01)</t>
  </si>
  <si>
    <t xml:space="preserve">Landlord contribution $369,812.50 + GST. Plus rent abatement $192,787.50 over term (Yr1-3 $25,705 pa, Yr4-5 $57,836.25 pa) tracked in Input Data tab.</t>
  </si>
  <si>
    <t xml:space="preserve">  COST REFERENCE GUIDE  —  Typical Fitout Costs (ex-GST)</t>
  </si>
  <si>
    <t xml:space="preserve">Category</t>
  </si>
  <si>
    <t xml:space="preserve">Low psm</t>
  </si>
  <si>
    <t xml:space="preserve">Mid psm</t>
  </si>
  <si>
    <t xml:space="preserve">High psm</t>
  </si>
  <si>
    <t xml:space="preserve">Partition offices + open plan</t>
  </si>
  <si>
    <t xml:space="preserve">$350</t>
  </si>
  <si>
    <t xml:space="preserve">$550</t>
  </si>
  <si>
    <t xml:space="preserve">$750</t>
  </si>
  <si>
    <t xml:space="preserve">Demolition, new partitions, doors</t>
  </si>
  <si>
    <t xml:space="preserve">Carpet / floor coverings</t>
  </si>
  <si>
    <t xml:space="preserve">$65</t>
  </si>
  <si>
    <t xml:space="preserve">$90</t>
  </si>
  <si>
    <t xml:space="preserve">$130</t>
  </si>
  <si>
    <t xml:space="preserve">Commercial carpet tiles</t>
  </si>
  <si>
    <t xml:space="preserve">Painting — full repaint</t>
  </si>
  <si>
    <t xml:space="preserve">$25</t>
  </si>
  <si>
    <t xml:space="preserve">$40</t>
  </si>
  <si>
    <t xml:space="preserve">$55</t>
  </si>
  <si>
    <t xml:space="preserve">Per sqm NLA</t>
  </si>
  <si>
    <t xml:space="preserve">Lighting upgrade (LED)</t>
  </si>
  <si>
    <t xml:space="preserve">$70</t>
  </si>
  <si>
    <t xml:space="preserve">$110</t>
  </si>
  <si>
    <t xml:space="preserve">Assume if &gt;10 years old</t>
  </si>
  <si>
    <t xml:space="preserve">Kitchen / joinery</t>
  </si>
  <si>
    <t xml:space="preserve">$15,000</t>
  </si>
  <si>
    <t xml:space="preserve">$25,000</t>
  </si>
  <si>
    <t xml:space="preserve">$40,000</t>
  </si>
  <si>
    <t xml:space="preserve">Per kitchen</t>
  </si>
  <si>
    <t xml:space="preserve">Full blank canvas spec</t>
  </si>
  <si>
    <t xml:space="preserve">$600</t>
  </si>
  <si>
    <t xml:space="preserve">$900</t>
  </si>
  <si>
    <t xml:space="preserve">$1,500</t>
  </si>
  <si>
    <t xml:space="preserve">Complete stripped + fitted</t>
  </si>
  <si>
    <t xml:space="preserve">Cosmetic refresh only</t>
  </si>
  <si>
    <t xml:space="preserve">$100</t>
  </si>
  <si>
    <t xml:space="preserve">$180</t>
  </si>
  <si>
    <t xml:space="preserve">$260</t>
  </si>
  <si>
    <t xml:space="preserve">Carpet + paint + lighting only</t>
  </si>
  <si>
    <t xml:space="preserve">1 ELIZABETH PLAZA  —  LEASING FEES REGISTER  |  As at 30/09/2026</t>
  </si>
  <si>
    <t xml:space="preserve">Leasing fees based on NLA. 3-5yr: $15/sqm (single agency), $20/sqm (split). 5yr+: $20/sqm (single), $25/sqm (split). Car space fees negotiated separately.</t>
  </si>
  <si>
    <t xml:space="preserve">  BUILDING VACANCY STATUS  |  As at 30/09/2026</t>
  </si>
  <si>
    <t xml:space="preserve">  VACANCY</t>
  </si>
  <si>
    <t xml:space="preserve">8.8%</t>
  </si>
  <si>
    <t xml:space="preserve">  OCCUPANCY</t>
  </si>
  <si>
    <t xml:space="preserve">91.2%</t>
  </si>
  <si>
    <t xml:space="preserve">  TOTAL NLA</t>
  </si>
  <si>
    <t xml:space="preserve">8,940.9 sqm</t>
  </si>
  <si>
    <t xml:space="preserve">  VACANT NLA</t>
  </si>
  <si>
    <t xml:space="preserve">787.0 sqm</t>
  </si>
  <si>
    <t xml:space="preserve">  LEASING FEES  —  By Suite (Vacant)</t>
  </si>
  <si>
    <t xml:space="preserve">3-5yr
(Single)</t>
  </si>
  <si>
    <t xml:space="preserve">5yr+
(Single)</t>
  </si>
  <si>
    <t xml:space="preserve">3-5yr
(Split)</t>
  </si>
  <si>
    <t xml:space="preserve">5yr+
(Split)</t>
  </si>
  <si>
    <t xml:space="preserve">Fitout
Spent ($)</t>
  </si>
  <si>
    <t xml:space="preserve">Asking
PSM ($)</t>
  </si>
  <si>
    <t xml:space="preserve">Incentive
%</t>
  </si>
  <si>
    <t xml:space="preserve">Car Spaces</t>
  </si>
  <si>
    <t xml:space="preserve">Comments</t>
  </si>
  <si>
    <t xml:space="preserve">Level 10 spec fitted</t>
  </si>
  <si>
    <t xml:space="preserve">Spec fitout complete. Full level 10</t>
  </si>
  <si>
    <t xml:space="preserve">TOTALS</t>
  </si>
  <si>
    <t xml:space="preserve">  AGENT INCENTIVE PROGRAMME  |  Current Conditions</t>
  </si>
  <si>
    <t xml:space="preserve">Condition: Executed lease + complying BG by required date. Introduction must be made on or after specified date. Not applicable to TRs.
3-5 year leases: $3,000 incentive (gift card)  |  5+ year leases: $6,000 incentive (gift card)
1 tandem car space offered with Levys only. Incentives between $15k-$30k.</t>
  </si>
  <si>
    <t xml:space="preserve">1 ELIZABETH PLAZA  —  RENTAL ANALYSIS  |  Deal Analyser Template</t>
  </si>
  <si>
    <t xml:space="preserve">Enter deal terms in the yellow input cells. All outputs calculate automatically. Use one copy per deal being analysed.</t>
  </si>
  <si>
    <t xml:space="preserve">  BUILDING &amp; SUITE OVERVIEW</t>
  </si>
  <si>
    <t xml:space="preserve">	Building Net Lettable Area</t>
  </si>
  <si>
    <t xml:space="preserve">sqm</t>
  </si>
  <si>
    <t xml:space="preserve">	Suite Proportional Share</t>
  </si>
  <si>
    <t xml:space="preserve">%</t>
  </si>
  <si>
    <t xml:space="preserve">  LEASE TERMS  —  Input Fields (Yellow)</t>
  </si>
  <si>
    <t xml:space="preserve">	Area</t>
  </si>
  <si>
    <t xml:space="preserve">	Lease Term Years</t>
  </si>
  <si>
    <t xml:space="preserve">#</t>
  </si>
  <si>
    <t xml:space="preserve">	Gross Rent (Face)</t>
  </si>
  <si>
    <t xml:space="preserve">$ / sqm</t>
  </si>
  <si>
    <t xml:space="preserve">	Gross Rent</t>
  </si>
  <si>
    <t xml:space="preserve">$ p.a.</t>
  </si>
  <si>
    <t xml:space="preserve">	Lease Value (Face)</t>
  </si>
  <si>
    <t xml:space="preserve">$</t>
  </si>
  <si>
    <t xml:space="preserve">  INCENTIVE TERMS</t>
  </si>
  <si>
    <t xml:space="preserve">	Rental Abatement %</t>
  </si>
  <si>
    <t xml:space="preserve">	Rental Abatement Value</t>
  </si>
  <si>
    <t xml:space="preserve">	Annual Abatement</t>
  </si>
  <si>
    <t xml:space="preserve">	Monthly Abatement</t>
  </si>
  <si>
    <t xml:space="preserve">	Rent Free (Months)</t>
  </si>
  <si>
    <t xml:space="preserve">	Rent Free Value</t>
  </si>
  <si>
    <t xml:space="preserve">	Landlord Contribution</t>
  </si>
  <si>
    <t xml:space="preserve">  OTHER COSTS &amp; INCOME</t>
  </si>
  <si>
    <t xml:space="preserve">	Rent Reviews</t>
  </si>
  <si>
    <t xml:space="preserve">	Cleaning</t>
  </si>
  <si>
    <t xml:space="preserve">	Total Cleaning PA</t>
  </si>
  <si>
    <t xml:space="preserve">	Tandem Car Spaces</t>
  </si>
  <si>
    <t xml:space="preserve">	Cost per Tandem Space</t>
  </si>
  <si>
    <t xml:space="preserve">$ / space</t>
  </si>
  <si>
    <t xml:space="preserve">	Total Carparking</t>
  </si>
  <si>
    <t xml:space="preserve">  ANNUAL CASH FLOW  (Years 1-5)</t>
  </si>
  <si>
    <t xml:space="preserve">Item</t>
  </si>
  <si>
    <t xml:space="preserve">Year 1</t>
  </si>
  <si>
    <t xml:space="preserve">Year 2</t>
  </si>
  <si>
    <t xml:space="preserve">Year 3</t>
  </si>
  <si>
    <t xml:space="preserve">Year 4</t>
  </si>
  <si>
    <t xml:space="preserve">Rental Income</t>
  </si>
  <si>
    <t xml:space="preserve">Cleaning</t>
  </si>
  <si>
    <t xml:space="preserve">Carparking</t>
  </si>
  <si>
    <t xml:space="preserve">Incentive (Abatement)</t>
  </si>
  <si>
    <t xml:space="preserve">NET TOTAL</t>
  </si>
  <si>
    <t xml:space="preserve">  BANK GUARANTEE</t>
  </si>
  <si>
    <t xml:space="preserve">	BG Months</t>
  </si>
  <si>
    <t xml:space="preserve">	Rent</t>
  </si>
  <si>
    <t xml:space="preserve">	Parking</t>
  </si>
  <si>
    <t xml:space="preserve">	Total BG (Ex GST)</t>
  </si>
  <si>
    <t xml:space="preserve">	GST</t>
  </si>
  <si>
    <t xml:space="preserve">	Total BG (Inc GST)</t>
  </si>
  <si>
    <t xml:space="preserve">  EFFECTIVE RENT ANALYSIS</t>
  </si>
  <si>
    <t xml:space="preserve">	Rent Year 1</t>
  </si>
  <si>
    <t xml:space="preserve">	Cleaning Year 1</t>
  </si>
  <si>
    <t xml:space="preserve">	Carparking Year 1</t>
  </si>
  <si>
    <t xml:space="preserve">	Abatement Year 1</t>
  </si>
  <si>
    <t xml:space="preserve">	Effective Rent Year 1</t>
  </si>
  <si>
    <t xml:space="preserve">	Eff. Rent Year 1 PSQM</t>
  </si>
  <si>
    <t xml:space="preserve">	Eff. Rent Monthly Year 1</t>
  </si>
  <si>
    <t xml:space="preserve">  TOTAL INCENTIVE SUMMARY</t>
  </si>
  <si>
    <t xml:space="preserve">	Total Abatement Value</t>
  </si>
  <si>
    <t xml:space="preserve">	Total Rent Free Value</t>
  </si>
  <si>
    <t xml:space="preserve">	TOTAL INCENTIVES</t>
  </si>
  <si>
    <t xml:space="preserve">	Total Incentive PSQM</t>
  </si>
  <si>
    <t xml:space="preserve">	Incentive % of Lease Value</t>
  </si>
  <si>
    <t xml:space="preserve">  LEGEND:  Yellow cells = user input  |  White/Blue cells = formula outputs  |  Green cells = key results  |  Do not edit non-yellow cells</t>
  </si>
</sst>
</file>

<file path=xl/styles.xml><?xml version="1.0" encoding="utf-8"?>
<styleSheet xmlns="http://schemas.openxmlformats.org/spreadsheetml/2006/main">
  <numFmts count="27">
    <numFmt numFmtId="164" formatCode="General"/>
    <numFmt numFmtId="165" formatCode="d/mm/yyyy"/>
    <numFmt numFmtId="166" formatCode="General"/>
    <numFmt numFmtId="167" formatCode="yyyy\-mm\-dd\ h:mm:ss"/>
    <numFmt numFmtId="168" formatCode="0.00%"/>
    <numFmt numFmtId="169" formatCode="0.00&quot; yrs (WALE)&quot;"/>
    <numFmt numFmtId="170" formatCode="#,##0.0"/>
    <numFmt numFmtId="171" formatCode="0.0"/>
    <numFmt numFmtId="172" formatCode="\$#,##0"/>
    <numFmt numFmtId="173" formatCode="0.00"/>
    <numFmt numFmtId="174" formatCode="0.0%"/>
    <numFmt numFmtId="175" formatCode="\$#,##0.00"/>
    <numFmt numFmtId="176" formatCode="dd/mm/yyyy"/>
    <numFmt numFmtId="177" formatCode="#,##0.0&quot; sqm&quot;"/>
    <numFmt numFmtId="178" formatCode="&quot;($&quot;#,##0\)"/>
    <numFmt numFmtId="179" formatCode="0.00&quot; yrs&quot;"/>
    <numFmt numFmtId="180" formatCode="0&quot; days&quot;"/>
    <numFmt numFmtId="181" formatCode="0.000%"/>
    <numFmt numFmtId="182" formatCode="0.00\x"/>
    <numFmt numFmtId="183" formatCode="0%"/>
    <numFmt numFmtId="184" formatCode="\$#,##0&quot; (wtd avg passing)&quot;"/>
    <numFmt numFmtId="185" formatCode="\$#,##0&quot; (wtd avg market)&quot;"/>
    <numFmt numFmtId="186" formatCode="\$#,##0&quot; psm (avg)&quot;"/>
    <numFmt numFmtId="187" formatCode="0.00&quot; yrs (WALE NLA)&quot;"/>
    <numFmt numFmtId="188" formatCode="_-\$* #,##0.00_-;&quot;-$&quot;* #,##0.00_-;_-\$* \-??_-;_-@_-"/>
    <numFmt numFmtId="189" formatCode="\$#,##0;[RED]&quot;-$&quot;#,##0"/>
    <numFmt numFmtId="190" formatCode="0"/>
  </numFmts>
  <fonts count="3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4"/>
      <color rgb="FF6B5E52"/>
      <name val="Georgia"/>
      <family val="1"/>
      <charset val="1"/>
    </font>
    <font>
      <b val="true"/>
      <sz val="32"/>
      <color rgb="FF2C2925"/>
      <name val="Georgia"/>
      <family val="1"/>
      <charset val="1"/>
    </font>
    <font>
      <i val="true"/>
      <sz val="16"/>
      <color rgb="FF6B5E52"/>
      <name val="Georgia"/>
      <family val="1"/>
      <charset val="1"/>
    </font>
    <font>
      <sz val="11"/>
      <color rgb="FF6B5E52"/>
      <name val="Georgia"/>
      <family val="1"/>
      <charset val="1"/>
    </font>
    <font>
      <b val="true"/>
      <sz val="14"/>
      <color rgb="FFB5A494"/>
      <name val="Georgia"/>
      <family val="1"/>
      <charset val="1"/>
    </font>
    <font>
      <b val="true"/>
      <sz val="13"/>
      <color rgb="FFF5F0EA"/>
      <name val="Georgia"/>
      <family val="1"/>
      <charset val="1"/>
    </font>
    <font>
      <i val="true"/>
      <sz val="9"/>
      <color rgb="FF6B5E52"/>
      <name val="Georgia"/>
      <family val="1"/>
      <charset val="1"/>
    </font>
    <font>
      <sz val="11"/>
      <color rgb="FF2C2925"/>
      <name val="Georgia"/>
      <family val="1"/>
      <charset val="1"/>
    </font>
    <font>
      <b val="true"/>
      <sz val="10"/>
      <color rgb="FFF5F0EA"/>
      <name val="Georgia"/>
      <family val="1"/>
      <charset val="1"/>
    </font>
    <font>
      <b val="true"/>
      <sz val="10"/>
      <color rgb="FF2C2925"/>
      <name val="Georgia"/>
      <family val="1"/>
      <charset val="1"/>
    </font>
    <font>
      <sz val="10"/>
      <color rgb="FF2C2925"/>
      <name val="Georgia"/>
      <family val="1"/>
      <charset val="1"/>
    </font>
    <font>
      <sz val="9"/>
      <color rgb="FF2C2925"/>
      <name val="Georgia"/>
      <family val="1"/>
      <charset val="1"/>
    </font>
    <font>
      <b val="true"/>
      <sz val="8"/>
      <color rgb="FFF5F0EA"/>
      <name val="Georgia"/>
      <family val="1"/>
      <charset val="1"/>
    </font>
    <font>
      <b val="true"/>
      <sz val="9"/>
      <color rgb="FF2C2925"/>
      <name val="Georgia"/>
      <family val="1"/>
      <charset val="1"/>
    </font>
    <font>
      <sz val="7"/>
      <color rgb="FF2C2925"/>
      <name val="Georgia"/>
      <family val="1"/>
      <charset val="1"/>
    </font>
    <font>
      <b val="true"/>
      <sz val="15"/>
      <color rgb="FFF5F0EA"/>
      <name val="Georgia"/>
      <family val="1"/>
      <charset val="1"/>
    </font>
    <font>
      <i val="true"/>
      <sz val="10"/>
      <color rgb="FFF5F0EA"/>
      <name val="Georgia"/>
      <family val="1"/>
      <charset val="1"/>
    </font>
    <font>
      <b val="true"/>
      <sz val="9"/>
      <color rgb="FFF5F0EA"/>
      <name val="Georgia"/>
      <family val="1"/>
      <charset val="1"/>
    </font>
    <font>
      <sz val="11"/>
      <color rgb="FFF5F0EA"/>
      <name val="Georgia"/>
      <family val="1"/>
      <charset val="1"/>
    </font>
    <font>
      <b val="true"/>
      <sz val="12"/>
      <color rgb="FFF5F0EA"/>
      <name val="Georgia"/>
      <family val="1"/>
      <charset val="1"/>
    </font>
    <font>
      <b val="true"/>
      <sz val="11"/>
      <color rgb="FF2C2925"/>
      <name val="Georgia"/>
      <family val="1"/>
      <charset val="1"/>
    </font>
    <font>
      <sz val="9"/>
      <color rgb="FF6B5E52"/>
      <name val="Georgia"/>
      <family val="1"/>
      <charset val="1"/>
    </font>
    <font>
      <sz val="9"/>
      <color rgb="FF8A6E45"/>
      <name val="Georgia"/>
      <family val="1"/>
      <charset val="1"/>
    </font>
    <font>
      <b val="true"/>
      <sz val="11"/>
      <color rgb="FFF5F0EA"/>
      <name val="Georgia"/>
      <family val="1"/>
      <charset val="1"/>
    </font>
    <font>
      <i val="true"/>
      <sz val="8"/>
      <color rgb="FF2C2925"/>
      <name val="Georgia"/>
      <family val="1"/>
      <charset val="1"/>
    </font>
    <font>
      <i val="true"/>
      <sz val="9"/>
      <color rgb="FF2C2925"/>
      <name val="Georgia"/>
      <family val="1"/>
      <charset val="1"/>
    </font>
    <font>
      <b val="true"/>
      <sz val="12"/>
      <color rgb="FF2C2925"/>
      <name val="Georgia"/>
      <family val="1"/>
      <charset val="1"/>
    </font>
    <font>
      <sz val="8"/>
      <color rgb="FF6B5E52"/>
      <name val="Georgia"/>
      <family val="1"/>
      <charset val="1"/>
    </font>
    <font>
      <b val="true"/>
      <sz val="14"/>
      <color rgb="FFF5F0EA"/>
      <name val="Georgia"/>
      <family val="1"/>
      <charset val="1"/>
    </font>
    <font>
      <sz val="8"/>
      <color rgb="FFF5F0EA"/>
      <name val="Georgia"/>
      <family val="1"/>
      <charset val="1"/>
    </font>
    <font>
      <b val="true"/>
      <sz val="8"/>
      <color rgb="FF6B5E52"/>
      <name val="Georgia"/>
      <family val="1"/>
      <charset val="1"/>
    </font>
    <font>
      <i val="true"/>
      <sz val="8"/>
      <color rgb="FF6B5E52"/>
      <name val="Georgia"/>
      <family val="1"/>
      <charset val="1"/>
    </font>
  </fonts>
  <fills count="18">
    <fill>
      <patternFill patternType="none"/>
    </fill>
    <fill>
      <patternFill patternType="gray125"/>
    </fill>
    <fill>
      <patternFill patternType="solid">
        <fgColor rgb="FFF5F0EA"/>
        <bgColor rgb="FFEDE7DE"/>
      </patternFill>
    </fill>
    <fill>
      <patternFill patternType="solid">
        <fgColor rgb="FF2C2925"/>
        <bgColor rgb="FF333300"/>
      </patternFill>
    </fill>
    <fill>
      <patternFill patternType="solid">
        <fgColor rgb="FFDCD9D2"/>
        <bgColor rgb="FFDCD5C9"/>
      </patternFill>
    </fill>
    <fill>
      <patternFill patternType="solid">
        <fgColor rgb="FFEBDFC4"/>
        <bgColor rgb="FFDDE2D0"/>
      </patternFill>
    </fill>
    <fill>
      <patternFill patternType="solid">
        <fgColor rgb="FFEDE7DE"/>
        <bgColor rgb="FFF5F0EA"/>
      </patternFill>
    </fill>
    <fill>
      <patternFill patternType="solid">
        <fgColor rgb="FFDDE2D0"/>
        <bgColor rgb="FFDCD9D2"/>
      </patternFill>
    </fill>
    <fill>
      <patternFill patternType="solid">
        <fgColor rgb="FFE3D2CC"/>
        <bgColor rgb="FFDCD5C9"/>
      </patternFill>
    </fill>
    <fill>
      <patternFill patternType="solid">
        <fgColor rgb="FF5B6E7A"/>
        <bgColor rgb="FF4F7A6E"/>
      </patternFill>
    </fill>
    <fill>
      <patternFill patternType="solid">
        <fgColor rgb="FF5B6650"/>
        <bgColor rgb="FF6B5E52"/>
      </patternFill>
    </fill>
    <fill>
      <patternFill patternType="solid">
        <fgColor rgb="FF7A4F47"/>
        <bgColor rgb="FF6B5E52"/>
      </patternFill>
    </fill>
    <fill>
      <patternFill patternType="solid">
        <fgColor rgb="FF8A6E45"/>
        <bgColor rgb="FF6B5E52"/>
      </patternFill>
    </fill>
    <fill>
      <patternFill patternType="solid">
        <fgColor rgb="FF6B5E52"/>
        <bgColor rgb="FF5B6650"/>
      </patternFill>
    </fill>
    <fill>
      <patternFill patternType="solid">
        <fgColor rgb="FF6B5670"/>
        <bgColor rgb="FF6B5E52"/>
      </patternFill>
    </fill>
    <fill>
      <patternFill patternType="solid">
        <fgColor rgb="FFDCD5C9"/>
        <bgColor rgb="FFDCD9D2"/>
      </patternFill>
    </fill>
    <fill>
      <patternFill patternType="solid">
        <fgColor rgb="FF4F7A6E"/>
        <bgColor rgb="FF5B6E7A"/>
      </patternFill>
    </fill>
    <fill>
      <patternFill patternType="solid">
        <fgColor rgb="FF9C9486"/>
        <bgColor rgb="FFB5A494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6B5E52"/>
      </bottom>
      <diagonal/>
    </border>
    <border diagonalUp="false" diagonalDown="false">
      <left/>
      <right/>
      <top/>
      <bottom style="thin">
        <color rgb="FFB5A49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64" fontId="6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2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4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4" fillId="2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5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5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5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2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6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0" fontId="15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5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5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15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15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15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4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5" fontId="18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4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2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0" fontId="15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5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5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15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15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15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4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0" fontId="15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5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15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3" fontId="15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15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5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15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3" fontId="15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15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5" fillId="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4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4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6" fontId="14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2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12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2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4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7" fontId="13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3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1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9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9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9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9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9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1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7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8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23" fillId="1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23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8" fontId="23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9" fontId="23" fillId="1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1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9" fontId="24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6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9" fontId="24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6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14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14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4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4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8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1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14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14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4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4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5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2" fontId="14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14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4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4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7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2" fontId="14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14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4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4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4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12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8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5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7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0" fontId="15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15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15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0" fontId="15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5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0" fontId="15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0" fontId="15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5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0" fontId="15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1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14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12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2" fontId="13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13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13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4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4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4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4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9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14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4" fillId="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4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4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4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2" fontId="14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1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5" fillId="4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81" fontId="14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7" fillId="6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1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4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1" fontId="1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1" fontId="14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14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82" fontId="1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2" fontId="14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9" fillId="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3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1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11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17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11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3" fontId="15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1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11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17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11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3" fontId="15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1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11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11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4" fontId="21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5" fontId="21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7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5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5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15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6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1" fillId="6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1" fillId="6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11" fillId="6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11" fillId="6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11" fillId="6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11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0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1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11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1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6" fontId="12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11" fillId="6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8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5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87" fontId="12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4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30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30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21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5" fillId="6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15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5" fillId="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2" fontId="15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5" fillId="6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4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15" fillId="4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15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5" fillId="4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0" fillId="8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1" fillId="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2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3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1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3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" fillId="1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3" fillId="1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4" fillId="1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1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1" fillId="1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" fillId="1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1" fillId="1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3" fillId="1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5" fillId="1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3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3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1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1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1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5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3" fontId="15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5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8" fontId="15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9" fontId="15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15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2" fontId="15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3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8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5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15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1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3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5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3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14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90" fontId="14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14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14" fillId="2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14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83" fontId="14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5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14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4" fontId="14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4" fillId="6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2" fontId="12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4" fillId="2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2" fontId="13" fillId="7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4" fontId="13" fillId="7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5F0EA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B6650"/>
      <rgbColor rgb="FF800080"/>
      <rgbColor rgb="FF008080"/>
      <rgbColor rgb="FFDCD5C9"/>
      <rgbColor rgb="FF8A6E45"/>
      <rgbColor rgb="FF9999FF"/>
      <rgbColor rgb="FF7A4F47"/>
      <rgbColor rgb="FFEDE7DE"/>
      <rgbColor rgb="FFE3D2CC"/>
      <rgbColor rgb="FF660066"/>
      <rgbColor rgb="FFFF8080"/>
      <rgbColor rgb="FF0066CC"/>
      <rgbColor rgb="FFDCD9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2D0"/>
      <rgbColor rgb="FFFFFF99"/>
      <rgbColor rgb="FF99CCFF"/>
      <rgbColor rgb="FFFF99CC"/>
      <rgbColor rgb="FFB5A494"/>
      <rgbColor rgb="FFEBDFC4"/>
      <rgbColor rgb="FF3366FF"/>
      <rgbColor rgb="FF33CCCC"/>
      <rgbColor rgb="FF99CC00"/>
      <rgbColor rgb="FFFFCC00"/>
      <rgbColor rgb="FFFF9900"/>
      <rgbColor rgb="FFFF6600"/>
      <rgbColor rgb="FF5B6E7A"/>
      <rgbColor rgb="FF9C9486"/>
      <rgbColor rgb="FF003366"/>
      <rgbColor rgb="FF4F7A6E"/>
      <rgbColor rgb="FF003300"/>
      <rgbColor rgb="FF333300"/>
      <rgbColor rgb="FF6B5E52"/>
      <rgbColor rgb="FF6B5670"/>
      <rgbColor rgb="FF333399"/>
      <rgbColor rgb="FF2C292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1" width="4"/>
    <col collapsed="false" customWidth="true" hidden="false" outlineLevel="0" max="8" min="2" style="1" width="14"/>
    <col collapsed="false" customWidth="true" hidden="false" outlineLevel="0" max="9" min="9" style="1" width="4"/>
  </cols>
  <sheetData>
    <row r="1" customFormat="false" ht="14.25" hidden="false" customHeight="true" outlineLevel="0" collapsed="false">
      <c r="A1" s="2"/>
      <c r="B1" s="2"/>
      <c r="C1" s="2"/>
      <c r="D1" s="2"/>
      <c r="E1" s="2"/>
      <c r="F1" s="2"/>
      <c r="G1" s="2"/>
      <c r="H1" s="2"/>
      <c r="I1" s="2"/>
    </row>
    <row r="2" customFormat="false" ht="14.25" hidden="false" customHeight="true" outlineLevel="0" collapsed="false">
      <c r="A2" s="2"/>
      <c r="B2" s="2"/>
      <c r="C2" s="2"/>
      <c r="D2" s="2"/>
      <c r="E2" s="2"/>
      <c r="F2" s="2"/>
      <c r="G2" s="2"/>
      <c r="H2" s="2"/>
      <c r="I2" s="2"/>
    </row>
    <row r="3" customFormat="false" ht="17.25" hidden="false" customHeight="true" outlineLevel="0" collapsed="false">
      <c r="A3" s="2"/>
      <c r="B3" s="3" t="s">
        <v>0</v>
      </c>
      <c r="C3" s="2"/>
      <c r="D3" s="2"/>
      <c r="E3" s="2"/>
      <c r="F3" s="2"/>
      <c r="G3" s="2"/>
      <c r="H3" s="2"/>
      <c r="I3" s="2"/>
    </row>
    <row r="4" customFormat="false" ht="14.25" hidden="false" customHeight="true" outlineLevel="0" collapsed="false">
      <c r="A4" s="2"/>
      <c r="B4" s="2"/>
      <c r="C4" s="2"/>
      <c r="D4" s="2"/>
      <c r="E4" s="2"/>
      <c r="F4" s="2"/>
      <c r="G4" s="2"/>
      <c r="H4" s="2"/>
      <c r="I4" s="2"/>
    </row>
    <row r="5" customFormat="false" ht="14.25" hidden="false" customHeight="true" outlineLevel="0" collapsed="false">
      <c r="A5" s="2"/>
      <c r="B5" s="2"/>
      <c r="C5" s="2"/>
      <c r="D5" s="2"/>
      <c r="E5" s="2"/>
      <c r="F5" s="2"/>
      <c r="G5" s="2"/>
      <c r="H5" s="2"/>
      <c r="I5" s="2"/>
    </row>
    <row r="6" customFormat="false" ht="14.25" hidden="false" customHeight="true" outlineLevel="0" collapsed="false">
      <c r="A6" s="2"/>
      <c r="B6" s="2"/>
      <c r="C6" s="2"/>
      <c r="D6" s="2"/>
      <c r="E6" s="2"/>
      <c r="F6" s="2"/>
      <c r="G6" s="2"/>
      <c r="H6" s="2"/>
      <c r="I6" s="2"/>
    </row>
    <row r="7" customFormat="false" ht="14.25" hidden="false" customHeight="true" outlineLevel="0" collapsed="false">
      <c r="A7" s="2"/>
      <c r="B7" s="2"/>
      <c r="C7" s="2"/>
      <c r="D7" s="2"/>
      <c r="E7" s="2"/>
      <c r="F7" s="2"/>
      <c r="G7" s="2"/>
      <c r="H7" s="2"/>
      <c r="I7" s="2"/>
    </row>
    <row r="8" customFormat="false" ht="14.25" hidden="false" customHeight="true" outlineLevel="0" collapsed="false">
      <c r="A8" s="2"/>
      <c r="B8" s="2"/>
      <c r="C8" s="2"/>
      <c r="D8" s="2"/>
      <c r="E8" s="2"/>
      <c r="F8" s="2"/>
      <c r="G8" s="2"/>
      <c r="H8" s="2"/>
      <c r="I8" s="2"/>
    </row>
    <row r="9" customFormat="false" ht="14.25" hidden="false" customHeight="true" outlineLevel="0" collapsed="false">
      <c r="A9" s="2"/>
      <c r="B9" s="4" t="s">
        <v>1</v>
      </c>
      <c r="C9" s="4"/>
      <c r="D9" s="4"/>
      <c r="E9" s="4"/>
      <c r="F9" s="4"/>
      <c r="G9" s="4"/>
      <c r="H9" s="4"/>
      <c r="I9" s="2"/>
    </row>
    <row r="10" customFormat="false" ht="14.25" hidden="false" customHeight="true" outlineLevel="0" collapsed="false">
      <c r="A10" s="2"/>
      <c r="B10" s="4"/>
      <c r="C10" s="4"/>
      <c r="D10" s="4"/>
      <c r="E10" s="4"/>
      <c r="F10" s="4"/>
      <c r="G10" s="4"/>
      <c r="H10" s="4"/>
      <c r="I10" s="2"/>
    </row>
    <row r="11" customFormat="false" ht="14.25" hidden="false" customHeight="true" outlineLevel="0" collapsed="false">
      <c r="A11" s="2"/>
      <c r="B11" s="4"/>
      <c r="C11" s="4"/>
      <c r="D11" s="4"/>
      <c r="E11" s="4"/>
      <c r="F11" s="4"/>
      <c r="G11" s="4"/>
      <c r="H11" s="4"/>
      <c r="I11" s="2"/>
    </row>
    <row r="12" customFormat="false" ht="14.25" hidden="false" customHeight="true" outlineLevel="0" collapsed="false">
      <c r="A12" s="2"/>
      <c r="B12" s="4"/>
      <c r="C12" s="4"/>
      <c r="D12" s="4"/>
      <c r="E12" s="4"/>
      <c r="F12" s="4"/>
      <c r="G12" s="4"/>
      <c r="H12" s="4"/>
      <c r="I12" s="2"/>
    </row>
    <row r="13" customFormat="false" ht="14.25" hidden="false" customHeight="true" outlineLevel="0" collapsed="false">
      <c r="A13" s="2"/>
      <c r="B13" s="4"/>
      <c r="C13" s="4"/>
      <c r="D13" s="4"/>
      <c r="E13" s="4"/>
      <c r="F13" s="4"/>
      <c r="G13" s="4"/>
      <c r="H13" s="4"/>
      <c r="I13" s="2"/>
    </row>
    <row r="14" customFormat="false" ht="14.25" hidden="false" customHeight="true" outlineLevel="0" collapsed="false">
      <c r="A14" s="2"/>
      <c r="B14" s="4"/>
      <c r="C14" s="4"/>
      <c r="D14" s="4"/>
      <c r="E14" s="4"/>
      <c r="F14" s="4"/>
      <c r="G14" s="4"/>
      <c r="H14" s="4"/>
      <c r="I14" s="2"/>
    </row>
    <row r="15" customFormat="false" ht="14.25" hidden="false" customHeight="true" outlineLevel="0" collapsed="false">
      <c r="A15" s="2"/>
      <c r="B15" s="2"/>
      <c r="C15" s="2"/>
      <c r="D15" s="2"/>
      <c r="E15" s="2"/>
      <c r="F15" s="2"/>
      <c r="G15" s="2"/>
      <c r="H15" s="2"/>
      <c r="I15" s="2"/>
    </row>
    <row r="16" customFormat="false" ht="19.5" hidden="false" customHeight="true" outlineLevel="0" collapsed="false">
      <c r="A16" s="2"/>
      <c r="B16" s="5" t="s">
        <v>2</v>
      </c>
      <c r="C16" s="5"/>
      <c r="D16" s="5"/>
      <c r="E16" s="5"/>
      <c r="F16" s="5"/>
      <c r="G16" s="5"/>
      <c r="H16" s="5"/>
      <c r="I16" s="2"/>
    </row>
    <row r="17" customFormat="false" ht="14.25" hidden="false" customHeight="true" outlineLevel="0" collapsed="false">
      <c r="A17" s="2"/>
      <c r="B17" s="2"/>
      <c r="C17" s="2"/>
      <c r="D17" s="2"/>
      <c r="E17" s="2"/>
      <c r="F17" s="2"/>
      <c r="G17" s="2"/>
      <c r="H17" s="2"/>
      <c r="I17" s="2"/>
    </row>
    <row r="18" customFormat="false" ht="14.25" hidden="false" customHeight="true" outlineLevel="0" collapsed="false">
      <c r="A18" s="2"/>
      <c r="B18" s="6" t="s">
        <v>3</v>
      </c>
      <c r="C18" s="6"/>
      <c r="D18" s="6"/>
      <c r="E18" s="6"/>
      <c r="F18" s="6"/>
      <c r="G18" s="6"/>
      <c r="H18" s="6"/>
      <c r="I18" s="2"/>
    </row>
    <row r="19" customFormat="false" ht="14.25" hidden="false" customHeight="true" outlineLevel="0" collapsed="false">
      <c r="A19" s="2"/>
      <c r="B19" s="2"/>
      <c r="C19" s="2"/>
      <c r="D19" s="2"/>
      <c r="E19" s="2"/>
      <c r="F19" s="2"/>
      <c r="G19" s="2"/>
      <c r="H19" s="2"/>
      <c r="I19" s="2"/>
    </row>
    <row r="20" customFormat="false" ht="14.25" hidden="false" customHeight="true" outlineLevel="0" collapsed="false">
      <c r="A20" s="2"/>
      <c r="B20" s="2"/>
      <c r="C20" s="2"/>
      <c r="D20" s="2"/>
      <c r="E20" s="2"/>
      <c r="F20" s="2"/>
      <c r="G20" s="2"/>
      <c r="H20" s="2"/>
      <c r="I20" s="2"/>
    </row>
    <row r="21" customFormat="false" ht="14.25" hidden="false" customHeight="true" outlineLevel="0" collapsed="false">
      <c r="A21" s="2"/>
      <c r="B21" s="2"/>
      <c r="C21" s="2"/>
      <c r="D21" s="2"/>
      <c r="E21" s="2"/>
      <c r="F21" s="2"/>
      <c r="G21" s="2"/>
      <c r="H21" s="2"/>
      <c r="I21" s="2"/>
    </row>
    <row r="22" customFormat="false" ht="14.25" hidden="false" customHeight="true" outlineLevel="0" collapsed="false">
      <c r="A22" s="2"/>
      <c r="B22" s="2"/>
      <c r="C22" s="2"/>
      <c r="D22" s="2"/>
      <c r="E22" s="2"/>
      <c r="F22" s="2"/>
      <c r="G22" s="2"/>
      <c r="H22" s="2"/>
      <c r="I22" s="2"/>
    </row>
    <row r="23" customFormat="false" ht="14.25" hidden="false" customHeight="true" outlineLevel="0" collapsed="false">
      <c r="A23" s="2"/>
      <c r="B23" s="2"/>
      <c r="C23" s="2"/>
      <c r="D23" s="2"/>
      <c r="E23" s="2"/>
      <c r="F23" s="2"/>
      <c r="G23" s="2"/>
      <c r="H23" s="2"/>
      <c r="I23" s="2"/>
    </row>
    <row r="24" customFormat="false" ht="14.25" hidden="false" customHeight="true" outlineLevel="0" collapsed="false">
      <c r="A24" s="2"/>
      <c r="B24" s="2"/>
      <c r="C24" s="2"/>
      <c r="D24" s="2"/>
      <c r="E24" s="2"/>
      <c r="F24" s="2"/>
      <c r="G24" s="2"/>
      <c r="H24" s="2"/>
      <c r="I24" s="2"/>
    </row>
    <row r="25" customFormat="false" ht="14.25" hidden="false" customHeight="true" outlineLevel="0" collapsed="false">
      <c r="A25" s="2"/>
      <c r="B25" s="2"/>
      <c r="C25" s="2"/>
      <c r="D25" s="2"/>
      <c r="E25" s="2"/>
      <c r="F25" s="2"/>
      <c r="G25" s="2"/>
      <c r="H25" s="2"/>
      <c r="I25" s="2"/>
    </row>
    <row r="26" customFormat="false" ht="14.25" hidden="false" customHeight="true" outlineLevel="0" collapsed="false">
      <c r="A26" s="2"/>
      <c r="B26" s="2"/>
      <c r="C26" s="2"/>
      <c r="D26" s="2"/>
      <c r="E26" s="2"/>
      <c r="F26" s="2"/>
      <c r="G26" s="2"/>
      <c r="H26" s="2"/>
      <c r="I26" s="2"/>
    </row>
    <row r="27" customFormat="false" ht="17.25" hidden="false" customHeight="true" outlineLevel="0" collapsed="false">
      <c r="A27" s="2"/>
      <c r="B27" s="7" t="s">
        <v>4</v>
      </c>
      <c r="C27" s="6" t="s">
        <v>5</v>
      </c>
      <c r="D27" s="6"/>
      <c r="E27" s="6"/>
      <c r="F27" s="6"/>
      <c r="G27" s="6"/>
      <c r="H27" s="6"/>
      <c r="I27" s="2"/>
    </row>
    <row r="28" customFormat="false" ht="14.25" hidden="false" customHeight="true" outlineLevel="0" collapsed="false">
      <c r="A28" s="2"/>
      <c r="B28" s="2"/>
      <c r="C28" s="2"/>
      <c r="D28" s="2"/>
      <c r="E28" s="2"/>
      <c r="F28" s="2"/>
      <c r="G28" s="2"/>
      <c r="H28" s="2"/>
      <c r="I28" s="2"/>
    </row>
    <row r="29" customFormat="false" ht="14.25" hidden="false" customHeight="true" outlineLevel="0" collapsed="false">
      <c r="A29" s="2"/>
      <c r="B29" s="2"/>
      <c r="C29" s="2"/>
      <c r="D29" s="2"/>
      <c r="E29" s="2"/>
      <c r="F29" s="2"/>
      <c r="G29" s="2"/>
      <c r="H29" s="2"/>
      <c r="I29" s="2"/>
    </row>
    <row r="30" customFormat="false" ht="14.25" hidden="false" customHeight="true" outlineLevel="0" collapsed="false">
      <c r="A30" s="2"/>
      <c r="B30" s="2"/>
      <c r="C30" s="2"/>
      <c r="D30" s="2"/>
      <c r="E30" s="2"/>
      <c r="F30" s="2"/>
      <c r="G30" s="2"/>
      <c r="H30" s="2"/>
      <c r="I30" s="2"/>
    </row>
  </sheetData>
  <mergeCells count="4">
    <mergeCell ref="B9:H14"/>
    <mergeCell ref="B16:H16"/>
    <mergeCell ref="B18:H18"/>
    <mergeCell ref="C27:H27"/>
  </mergeCells>
  <printOptions headings="false" gridLines="false" gridLinesSet="true" horizontalCentered="false" verticalCentered="false"/>
  <pageMargins left="0.75" right="0.75" top="1" bottom="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&amp;C&amp;"Georgia,Regular"Goldberg Family Office</oddHeader>
    <oddFooter>&amp;C&amp;"Georgia,Regular"Prepared by jake goldberg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26" activeCellId="0" sqref="F26"/>
    </sheetView>
  </sheetViews>
  <sheetFormatPr defaultColWidth="8.6328125" defaultRowHeight="14.25" zeroHeight="false" outlineLevelRow="0" outlineLevelCol="0"/>
  <cols>
    <col collapsed="false" customWidth="true" hidden="false" outlineLevel="0" max="1" min="1" style="1" width="1.45"/>
    <col collapsed="false" customWidth="true" hidden="false" outlineLevel="0" max="2" min="2" style="1" width="16"/>
    <col collapsed="false" customWidth="true" hidden="false" outlineLevel="0" max="4" min="3" style="1" width="20"/>
    <col collapsed="false" customWidth="true" hidden="false" outlineLevel="0" max="6" min="5" style="1" width="14"/>
    <col collapsed="false" customWidth="true" hidden="false" outlineLevel="0" max="7" min="7" style="1" width="50"/>
    <col collapsed="false" customWidth="true" hidden="false" outlineLevel="0" max="8" min="8" style="1" width="1.45"/>
  </cols>
  <sheetData>
    <row r="1" customFormat="false" ht="30" hidden="false" customHeight="true" outlineLevel="0" collapsed="false">
      <c r="A1" s="8" t="s">
        <v>6</v>
      </c>
      <c r="B1" s="8"/>
      <c r="C1" s="8"/>
      <c r="D1" s="8"/>
      <c r="E1" s="8"/>
      <c r="F1" s="8"/>
      <c r="G1" s="8"/>
      <c r="H1" s="8"/>
    </row>
    <row r="2" customFormat="false" ht="15.75" hidden="false" customHeight="true" outlineLevel="0" collapsed="false">
      <c r="A2" s="9" t="s">
        <v>7</v>
      </c>
      <c r="B2" s="9"/>
      <c r="C2" s="9"/>
      <c r="D2" s="9"/>
      <c r="E2" s="9"/>
      <c r="F2" s="9"/>
      <c r="G2" s="9"/>
      <c r="H2" s="9"/>
    </row>
    <row r="3" customFormat="false" ht="7.5" hidden="false" customHeight="true" outlineLevel="0" collapsed="false">
      <c r="A3" s="10"/>
      <c r="B3" s="10"/>
      <c r="C3" s="10"/>
      <c r="D3" s="10"/>
      <c r="E3" s="10"/>
      <c r="F3" s="10"/>
      <c r="G3" s="10"/>
      <c r="H3" s="10"/>
    </row>
    <row r="4" customFormat="false" ht="19.5" hidden="false" customHeight="true" outlineLevel="0" collapsed="false">
      <c r="A4" s="10"/>
      <c r="B4" s="11" t="s">
        <v>8</v>
      </c>
      <c r="C4" s="11"/>
      <c r="D4" s="11"/>
      <c r="E4" s="11"/>
      <c r="F4" s="11"/>
      <c r="G4" s="11"/>
      <c r="H4" s="10"/>
    </row>
    <row r="5" customFormat="false" ht="18" hidden="false" customHeight="true" outlineLevel="0" collapsed="false">
      <c r="A5" s="10"/>
      <c r="B5" s="12" t="s">
        <v>9</v>
      </c>
      <c r="C5" s="12"/>
      <c r="D5" s="13" t="s">
        <v>10</v>
      </c>
      <c r="E5" s="13"/>
      <c r="F5" s="13"/>
      <c r="G5" s="13"/>
      <c r="H5" s="10"/>
    </row>
    <row r="6" customFormat="false" ht="18" hidden="false" customHeight="true" outlineLevel="0" collapsed="false">
      <c r="A6" s="10"/>
      <c r="B6" s="14" t="s">
        <v>11</v>
      </c>
      <c r="C6" s="14"/>
      <c r="D6" s="15" t="n">
        <v>46295</v>
      </c>
      <c r="E6" s="15"/>
      <c r="F6" s="15"/>
      <c r="G6" s="15"/>
      <c r="H6" s="10"/>
    </row>
    <row r="7" customFormat="false" ht="18" hidden="false" customHeight="true" outlineLevel="0" collapsed="false">
      <c r="A7" s="10"/>
      <c r="B7" s="12" t="s">
        <v>12</v>
      </c>
      <c r="C7" s="12"/>
      <c r="D7" s="13" t="s">
        <v>13</v>
      </c>
      <c r="E7" s="13"/>
      <c r="F7" s="13"/>
      <c r="G7" s="13"/>
      <c r="H7" s="10"/>
    </row>
    <row r="8" customFormat="false" ht="18" hidden="false" customHeight="true" outlineLevel="0" collapsed="false">
      <c r="A8" s="10"/>
      <c r="B8" s="14" t="s">
        <v>14</v>
      </c>
      <c r="C8" s="14"/>
      <c r="D8" s="16" t="n">
        <f aca="false">'Input Data'!B53</f>
        <v>0</v>
      </c>
      <c r="E8" s="16"/>
      <c r="F8" s="16"/>
      <c r="G8" s="16"/>
      <c r="H8" s="10"/>
    </row>
    <row r="9" customFormat="false" ht="18" hidden="false" customHeight="true" outlineLevel="0" collapsed="false">
      <c r="A9" s="10"/>
      <c r="B9" s="12" t="s">
        <v>15</v>
      </c>
      <c r="C9" s="12"/>
      <c r="D9" s="13" t="n">
        <f aca="false">'Input Data'!B54</f>
        <v>0</v>
      </c>
      <c r="E9" s="13"/>
      <c r="F9" s="13"/>
      <c r="G9" s="13"/>
      <c r="H9" s="10"/>
    </row>
    <row r="10" customFormat="false" ht="18" hidden="false" customHeight="true" outlineLevel="0" collapsed="false">
      <c r="A10" s="10"/>
      <c r="B10" s="14" t="s">
        <v>16</v>
      </c>
      <c r="C10" s="14"/>
      <c r="D10" s="16" t="n">
        <f aca="false">'Input Data'!V53</f>
        <v>0</v>
      </c>
      <c r="E10" s="16"/>
      <c r="F10" s="16"/>
      <c r="G10" s="16"/>
      <c r="H10" s="10"/>
    </row>
    <row r="11" customFormat="false" ht="18" hidden="false" customHeight="true" outlineLevel="0" collapsed="false">
      <c r="A11" s="10"/>
      <c r="B11" s="12" t="s">
        <v>17</v>
      </c>
      <c r="C11" s="12"/>
      <c r="D11" s="13" t="n">
        <f aca="false">'Input Data'!K53</f>
        <v>0</v>
      </c>
      <c r="E11" s="13"/>
      <c r="F11" s="13"/>
      <c r="G11" s="13"/>
      <c r="H11" s="10"/>
    </row>
    <row r="12" customFormat="false" ht="18" hidden="false" customHeight="true" outlineLevel="0" collapsed="false">
      <c r="A12" s="10"/>
      <c r="B12" s="14" t="s">
        <v>18</v>
      </c>
      <c r="C12" s="14"/>
      <c r="D12" s="16" t="s">
        <v>19</v>
      </c>
      <c r="E12" s="16"/>
      <c r="F12" s="16"/>
      <c r="G12" s="16"/>
      <c r="H12" s="10"/>
    </row>
    <row r="13" customFormat="false" ht="18" hidden="false" customHeight="true" outlineLevel="0" collapsed="false">
      <c r="A13" s="10"/>
      <c r="B13" s="12" t="s">
        <v>20</v>
      </c>
      <c r="C13" s="12"/>
      <c r="D13" s="13" t="s">
        <v>21</v>
      </c>
      <c r="E13" s="13"/>
      <c r="F13" s="13"/>
      <c r="G13" s="13"/>
      <c r="H13" s="10"/>
    </row>
    <row r="14" customFormat="false" ht="18" hidden="false" customHeight="true" outlineLevel="0" collapsed="false">
      <c r="A14" s="10"/>
      <c r="B14" s="14" t="s">
        <v>22</v>
      </c>
      <c r="C14" s="14"/>
      <c r="D14" s="17"/>
      <c r="E14" s="17"/>
      <c r="F14" s="17"/>
      <c r="G14" s="17"/>
      <c r="H14" s="10"/>
    </row>
    <row r="15" customFormat="false" ht="18" hidden="false" customHeight="true" outlineLevel="0" collapsed="false">
      <c r="A15" s="10"/>
      <c r="B15" s="12" t="s">
        <v>23</v>
      </c>
      <c r="C15" s="12"/>
      <c r="D15" s="17"/>
      <c r="E15" s="17"/>
      <c r="F15" s="17"/>
      <c r="G15" s="17"/>
      <c r="H15" s="10"/>
    </row>
    <row r="16" customFormat="false" ht="18" hidden="false" customHeight="true" outlineLevel="0" collapsed="false">
      <c r="A16" s="10"/>
      <c r="B16" s="14" t="s">
        <v>24</v>
      </c>
      <c r="C16" s="14"/>
      <c r="D16" s="18"/>
      <c r="E16" s="18"/>
      <c r="F16" s="18"/>
      <c r="G16" s="18"/>
      <c r="H16" s="10"/>
    </row>
    <row r="17" customFormat="false" ht="7.5" hidden="false" customHeight="true" outlineLevel="0" collapsed="false">
      <c r="A17" s="10"/>
      <c r="B17" s="10"/>
      <c r="C17" s="10"/>
      <c r="D17" s="10"/>
      <c r="E17" s="10"/>
      <c r="F17" s="10"/>
      <c r="G17" s="10"/>
      <c r="H17" s="10"/>
    </row>
    <row r="18" customFormat="false" ht="19.5" hidden="false" customHeight="true" outlineLevel="0" collapsed="false">
      <c r="A18" s="10"/>
      <c r="B18" s="11" t="s">
        <v>25</v>
      </c>
      <c r="C18" s="11"/>
      <c r="D18" s="11"/>
      <c r="E18" s="11"/>
      <c r="F18" s="11"/>
      <c r="G18" s="11"/>
      <c r="H18" s="10"/>
    </row>
    <row r="19" customFormat="false" ht="24" hidden="false" customHeight="true" outlineLevel="0" collapsed="false">
      <c r="A19" s="10"/>
      <c r="B19" s="19" t="s">
        <v>26</v>
      </c>
      <c r="C19" s="19" t="s">
        <v>27</v>
      </c>
      <c r="D19" s="19" t="s">
        <v>28</v>
      </c>
      <c r="E19" s="19" t="s">
        <v>29</v>
      </c>
      <c r="F19" s="19" t="s">
        <v>30</v>
      </c>
      <c r="G19" s="19" t="s">
        <v>31</v>
      </c>
      <c r="H19" s="10"/>
    </row>
    <row r="20" customFormat="false" ht="18" hidden="false" customHeight="true" outlineLevel="0" collapsed="false">
      <c r="A20" s="10"/>
      <c r="B20" s="20" t="n">
        <v>46142</v>
      </c>
      <c r="C20" s="21"/>
      <c r="D20" s="22" t="s">
        <v>32</v>
      </c>
      <c r="E20" s="22" t="s">
        <v>33</v>
      </c>
      <c r="F20" s="22" t="s">
        <v>34</v>
      </c>
      <c r="G20" s="23" t="s">
        <v>35</v>
      </c>
      <c r="H20" s="10"/>
    </row>
    <row r="21" customFormat="false" ht="18" hidden="false" customHeight="true" outlineLevel="0" collapsed="false">
      <c r="A21" s="10"/>
      <c r="B21" s="24" t="n">
        <v>46296</v>
      </c>
      <c r="C21" s="25" t="s">
        <v>36</v>
      </c>
      <c r="D21" s="25" t="s">
        <v>37</v>
      </c>
      <c r="E21" s="26" t="n">
        <f aca="false">'Input Data'!K26</f>
        <v>0.91197754141082</v>
      </c>
      <c r="F21" s="27" t="n">
        <f aca="false">'Input Data'!V25</f>
        <v>8.99383983572895</v>
      </c>
      <c r="G21" s="25" t="s">
        <v>38</v>
      </c>
      <c r="H21" s="10"/>
    </row>
    <row r="22" customFormat="false" ht="18" hidden="false" customHeight="true" outlineLevel="0" collapsed="false">
      <c r="A22" s="10"/>
      <c r="B22" s="28"/>
      <c r="C22" s="28"/>
      <c r="D22" s="28"/>
      <c r="E22" s="28"/>
      <c r="F22" s="28"/>
      <c r="G22" s="28"/>
      <c r="H22" s="10"/>
    </row>
    <row r="23" customFormat="false" ht="18" hidden="false" customHeight="true" outlineLevel="0" collapsed="false">
      <c r="A23" s="10"/>
      <c r="B23" s="25"/>
      <c r="C23" s="25"/>
      <c r="D23" s="25"/>
      <c r="E23" s="25"/>
      <c r="F23" s="25"/>
      <c r="G23" s="25"/>
      <c r="H23" s="10"/>
    </row>
    <row r="24" customFormat="false" ht="18" hidden="false" customHeight="true" outlineLevel="0" collapsed="false">
      <c r="A24" s="10"/>
      <c r="B24" s="28"/>
      <c r="C24" s="28"/>
      <c r="D24" s="28"/>
      <c r="E24" s="28"/>
      <c r="F24" s="28"/>
      <c r="G24" s="28"/>
      <c r="H24" s="10"/>
    </row>
    <row r="25" customFormat="false" ht="18" hidden="false" customHeight="true" outlineLevel="0" collapsed="false">
      <c r="A25" s="10"/>
      <c r="B25" s="25"/>
      <c r="C25" s="25"/>
      <c r="D25" s="25"/>
      <c r="E25" s="25"/>
      <c r="F25" s="25"/>
      <c r="G25" s="25"/>
      <c r="H25" s="10"/>
    </row>
    <row r="26" customFormat="false" ht="18" hidden="false" customHeight="true" outlineLevel="0" collapsed="false">
      <c r="A26" s="10"/>
      <c r="B26" s="28"/>
      <c r="C26" s="28"/>
      <c r="D26" s="28"/>
      <c r="E26" s="28"/>
      <c r="F26" s="28"/>
      <c r="G26" s="28"/>
      <c r="H26" s="10"/>
    </row>
    <row r="27" customFormat="false" ht="18" hidden="false" customHeight="true" outlineLevel="0" collapsed="false">
      <c r="A27" s="10"/>
      <c r="B27" s="25"/>
      <c r="C27" s="25"/>
      <c r="D27" s="25"/>
      <c r="E27" s="25"/>
      <c r="F27" s="25"/>
      <c r="G27" s="25"/>
      <c r="H27" s="10"/>
    </row>
    <row r="28" customFormat="false" ht="18" hidden="false" customHeight="true" outlineLevel="0" collapsed="false">
      <c r="A28" s="10"/>
      <c r="B28" s="28"/>
      <c r="C28" s="28"/>
      <c r="D28" s="28"/>
      <c r="E28" s="28"/>
      <c r="F28" s="28"/>
      <c r="G28" s="28"/>
      <c r="H28" s="10"/>
    </row>
    <row r="29" customFormat="false" ht="18" hidden="false" customHeight="true" outlineLevel="0" collapsed="false">
      <c r="A29" s="10"/>
      <c r="B29" s="25"/>
      <c r="C29" s="25"/>
      <c r="D29" s="25"/>
      <c r="E29" s="25"/>
      <c r="F29" s="25"/>
      <c r="G29" s="25"/>
      <c r="H29" s="10"/>
    </row>
    <row r="30" customFormat="false" ht="18" hidden="false" customHeight="true" outlineLevel="0" collapsed="false">
      <c r="A30" s="10"/>
      <c r="B30" s="28"/>
      <c r="C30" s="28"/>
      <c r="D30" s="28"/>
      <c r="E30" s="28"/>
      <c r="F30" s="28"/>
      <c r="G30" s="28"/>
      <c r="H30" s="10"/>
    </row>
    <row r="31" customFormat="false" ht="18" hidden="false" customHeight="true" outlineLevel="0" collapsed="false">
      <c r="A31" s="10"/>
      <c r="B31" s="25"/>
      <c r="C31" s="25"/>
      <c r="D31" s="25"/>
      <c r="E31" s="25"/>
      <c r="F31" s="25"/>
      <c r="G31" s="25"/>
      <c r="H31" s="10"/>
    </row>
    <row r="32" customFormat="false" ht="18" hidden="false" customHeight="true" outlineLevel="0" collapsed="false">
      <c r="A32" s="10"/>
      <c r="B32" s="28"/>
      <c r="C32" s="28"/>
      <c r="D32" s="28"/>
      <c r="E32" s="28"/>
      <c r="F32" s="28"/>
      <c r="G32" s="28"/>
      <c r="H32" s="10"/>
    </row>
    <row r="33" customFormat="false" ht="18" hidden="false" customHeight="true" outlineLevel="0" collapsed="false">
      <c r="A33" s="10"/>
      <c r="B33" s="25"/>
      <c r="C33" s="25"/>
      <c r="D33" s="25"/>
      <c r="E33" s="25"/>
      <c r="F33" s="25"/>
      <c r="G33" s="25"/>
      <c r="H33" s="10"/>
    </row>
    <row r="34" customFormat="false" ht="18" hidden="false" customHeight="true" outlineLevel="0" collapsed="false">
      <c r="A34" s="10"/>
      <c r="B34" s="28"/>
      <c r="C34" s="28"/>
      <c r="D34" s="28"/>
      <c r="E34" s="28"/>
      <c r="F34" s="28"/>
      <c r="G34" s="28"/>
      <c r="H34" s="10"/>
    </row>
    <row r="35" customFormat="false" ht="18" hidden="false" customHeight="true" outlineLevel="0" collapsed="false">
      <c r="A35" s="10"/>
      <c r="B35" s="25"/>
      <c r="C35" s="25"/>
      <c r="D35" s="25"/>
      <c r="E35" s="25"/>
      <c r="F35" s="25"/>
      <c r="G35" s="25"/>
      <c r="H35" s="10"/>
    </row>
    <row r="36" customFormat="false" ht="18" hidden="false" customHeight="true" outlineLevel="0" collapsed="false">
      <c r="A36" s="10"/>
      <c r="B36" s="28"/>
      <c r="C36" s="28"/>
      <c r="D36" s="28"/>
      <c r="E36" s="28"/>
      <c r="F36" s="28"/>
      <c r="G36" s="28"/>
      <c r="H36" s="10"/>
    </row>
    <row r="37" customFormat="false" ht="18" hidden="false" customHeight="true" outlineLevel="0" collapsed="false">
      <c r="A37" s="10"/>
      <c r="B37" s="25"/>
      <c r="C37" s="25"/>
      <c r="D37" s="25"/>
      <c r="E37" s="25"/>
      <c r="F37" s="25"/>
      <c r="G37" s="25"/>
      <c r="H37" s="10"/>
    </row>
    <row r="38" customFormat="false" ht="7.5" hidden="false" customHeight="true" outlineLevel="0" collapsed="false">
      <c r="A38" s="10"/>
      <c r="B38" s="10"/>
      <c r="C38" s="10"/>
      <c r="D38" s="10"/>
      <c r="E38" s="10"/>
      <c r="F38" s="10"/>
      <c r="G38" s="10"/>
      <c r="H38" s="10"/>
    </row>
    <row r="39" customFormat="false" ht="19.5" hidden="false" customHeight="true" outlineLevel="0" collapsed="false">
      <c r="A39" s="10"/>
      <c r="B39" s="11" t="s">
        <v>39</v>
      </c>
      <c r="C39" s="11"/>
      <c r="D39" s="11"/>
      <c r="E39" s="11"/>
      <c r="F39" s="11"/>
      <c r="G39" s="11"/>
      <c r="H39" s="10"/>
    </row>
    <row r="40" customFormat="false" ht="18" hidden="false" customHeight="true" outlineLevel="0" collapsed="false">
      <c r="A40" s="10"/>
      <c r="B40" s="29" t="s">
        <v>40</v>
      </c>
      <c r="C40" s="30" t="s">
        <v>41</v>
      </c>
      <c r="D40" s="30"/>
      <c r="E40" s="30"/>
      <c r="F40" s="30"/>
      <c r="G40" s="30"/>
      <c r="H40" s="10"/>
    </row>
    <row r="41" customFormat="false" ht="18" hidden="false" customHeight="true" outlineLevel="0" collapsed="false">
      <c r="A41" s="10"/>
      <c r="B41" s="31" t="s">
        <v>42</v>
      </c>
      <c r="C41" s="32" t="s">
        <v>43</v>
      </c>
      <c r="D41" s="32"/>
      <c r="E41" s="32"/>
      <c r="F41" s="32"/>
      <c r="G41" s="32"/>
      <c r="H41" s="10"/>
    </row>
    <row r="42" customFormat="false" ht="18" hidden="false" customHeight="true" outlineLevel="0" collapsed="false">
      <c r="A42" s="10"/>
      <c r="B42" s="29" t="s">
        <v>44</v>
      </c>
      <c r="C42" s="30" t="s">
        <v>45</v>
      </c>
      <c r="D42" s="30"/>
      <c r="E42" s="30"/>
      <c r="F42" s="30"/>
      <c r="G42" s="30"/>
      <c r="H42" s="10"/>
    </row>
    <row r="43" customFormat="false" ht="18" hidden="false" customHeight="true" outlineLevel="0" collapsed="false">
      <c r="A43" s="10"/>
      <c r="B43" s="31" t="s">
        <v>46</v>
      </c>
      <c r="C43" s="32" t="s">
        <v>47</v>
      </c>
      <c r="D43" s="32"/>
      <c r="E43" s="32"/>
      <c r="F43" s="32"/>
      <c r="G43" s="32"/>
      <c r="H43" s="10"/>
    </row>
    <row r="44" customFormat="false" ht="18" hidden="false" customHeight="true" outlineLevel="0" collapsed="false">
      <c r="A44" s="10"/>
      <c r="B44" s="29" t="s">
        <v>48</v>
      </c>
      <c r="C44" s="30" t="s">
        <v>49</v>
      </c>
      <c r="D44" s="30"/>
      <c r="E44" s="30"/>
      <c r="F44" s="30"/>
      <c r="G44" s="30"/>
      <c r="H44" s="10"/>
    </row>
    <row r="45" customFormat="false" ht="18" hidden="false" customHeight="true" outlineLevel="0" collapsed="false">
      <c r="A45" s="10"/>
      <c r="B45" s="31" t="s">
        <v>50</v>
      </c>
      <c r="C45" s="32" t="s">
        <v>51</v>
      </c>
      <c r="D45" s="32"/>
      <c r="E45" s="32"/>
      <c r="F45" s="32"/>
      <c r="G45" s="32"/>
      <c r="H45" s="10"/>
    </row>
    <row r="46" customFormat="false" ht="18" hidden="false" customHeight="true" outlineLevel="0" collapsed="false">
      <c r="A46" s="10"/>
      <c r="B46" s="29" t="s">
        <v>52</v>
      </c>
      <c r="C46" s="30" t="s">
        <v>53</v>
      </c>
      <c r="D46" s="30"/>
      <c r="E46" s="30"/>
      <c r="F46" s="30"/>
      <c r="G46" s="30"/>
      <c r="H46" s="10"/>
    </row>
    <row r="47" customFormat="false" ht="18" hidden="false" customHeight="true" outlineLevel="0" collapsed="false">
      <c r="A47" s="10"/>
      <c r="B47" s="31" t="s">
        <v>54</v>
      </c>
      <c r="C47" s="32" t="s">
        <v>55</v>
      </c>
      <c r="D47" s="32"/>
      <c r="E47" s="32"/>
      <c r="F47" s="32"/>
      <c r="G47" s="32"/>
      <c r="H47" s="10"/>
    </row>
    <row r="48" customFormat="false" ht="18" hidden="false" customHeight="true" outlineLevel="0" collapsed="false">
      <c r="A48" s="10"/>
      <c r="B48" s="29" t="s">
        <v>56</v>
      </c>
      <c r="C48" s="30" t="s">
        <v>57</v>
      </c>
      <c r="D48" s="30"/>
      <c r="E48" s="30"/>
      <c r="F48" s="30"/>
      <c r="G48" s="30"/>
      <c r="H48" s="10"/>
    </row>
    <row r="49" customFormat="false" ht="18" hidden="false" customHeight="true" outlineLevel="0" collapsed="false">
      <c r="A49" s="10"/>
      <c r="B49" s="31" t="s">
        <v>58</v>
      </c>
      <c r="C49" s="32" t="s">
        <v>59</v>
      </c>
      <c r="D49" s="32"/>
      <c r="E49" s="32"/>
      <c r="F49" s="32"/>
      <c r="G49" s="32"/>
      <c r="H49" s="10"/>
    </row>
  </sheetData>
  <mergeCells count="39">
    <mergeCell ref="A1:H1"/>
    <mergeCell ref="A2:H2"/>
    <mergeCell ref="B4:G4"/>
    <mergeCell ref="B5:C5"/>
    <mergeCell ref="D5:G5"/>
    <mergeCell ref="B6:C6"/>
    <mergeCell ref="D6:G6"/>
    <mergeCell ref="B7:C7"/>
    <mergeCell ref="D7:G7"/>
    <mergeCell ref="B8:C8"/>
    <mergeCell ref="D8:G8"/>
    <mergeCell ref="B9:C9"/>
    <mergeCell ref="D9:G9"/>
    <mergeCell ref="B10:C10"/>
    <mergeCell ref="D10:G10"/>
    <mergeCell ref="B11:C11"/>
    <mergeCell ref="D11:G11"/>
    <mergeCell ref="B12:C12"/>
    <mergeCell ref="D12:G12"/>
    <mergeCell ref="B13:C13"/>
    <mergeCell ref="D13:G13"/>
    <mergeCell ref="B14:C14"/>
    <mergeCell ref="D14:G14"/>
    <mergeCell ref="B15:C15"/>
    <mergeCell ref="D15:G15"/>
    <mergeCell ref="B16:C16"/>
    <mergeCell ref="D16:G16"/>
    <mergeCell ref="B18:G18"/>
    <mergeCell ref="B39:G39"/>
    <mergeCell ref="C40:G40"/>
    <mergeCell ref="C41:G41"/>
    <mergeCell ref="C42:G42"/>
    <mergeCell ref="C43:G43"/>
    <mergeCell ref="C44:G44"/>
    <mergeCell ref="C45:G45"/>
    <mergeCell ref="C46:G46"/>
    <mergeCell ref="C47:G47"/>
    <mergeCell ref="C48:G48"/>
    <mergeCell ref="C49:G49"/>
  </mergeCells>
  <printOptions headings="false" gridLines="false" gridLinesSet="true" horizontalCentered="false" verticalCentered="false"/>
  <pageMargins left="0.75" right="0.75" top="1" bottom="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&amp;C&amp;"Georgia,Regular"Goldberg Family Office</oddHeader>
    <oddFooter>&amp;C&amp;"Georgia,Regular"Prepared by jake goldberg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28"/>
  <sheetViews>
    <sheetView showFormulas="false" showGridLines="fals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0" ySplit="2" topLeftCell="A3" activePane="bottomLeft" state="frozen"/>
      <selection pane="topLeft" activeCell="A1" activeCellId="0" sqref="A1"/>
      <selection pane="bottomLeft" activeCell="A23" activeCellId="0" sqref="A23"/>
    </sheetView>
  </sheetViews>
  <sheetFormatPr defaultColWidth="8.6328125" defaultRowHeight="14.2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7"/>
    <col collapsed="false" customWidth="true" hidden="false" outlineLevel="0" max="3" min="3" style="1" width="8"/>
    <col collapsed="false" customWidth="true" hidden="false" outlineLevel="0" max="4" min="4" style="1" width="28"/>
    <col collapsed="false" customWidth="true" hidden="false" outlineLevel="0" max="5" min="5" style="1" width="26"/>
    <col collapsed="false" customWidth="true" hidden="false" outlineLevel="0" max="6" min="6" style="1" width="10"/>
    <col collapsed="false" customWidth="true" hidden="false" outlineLevel="0" max="7" min="7" style="1" width="20"/>
    <col collapsed="false" customWidth="true" hidden="false" outlineLevel="0" max="8" min="8" style="1" width="16.36"/>
    <col collapsed="false" customWidth="true" hidden="false" outlineLevel="0" max="9" min="9" style="1" width="12.82"/>
    <col collapsed="false" customWidth="true" hidden="false" outlineLevel="0" max="10" min="10" style="1" width="11"/>
    <col collapsed="false" customWidth="true" hidden="false" outlineLevel="0" max="11" min="11" style="1" width="15"/>
    <col collapsed="false" customWidth="true" hidden="false" outlineLevel="0" max="12" min="12" style="1" width="14"/>
    <col collapsed="false" customWidth="true" hidden="false" outlineLevel="0" max="14" min="13" style="1" width="13"/>
    <col collapsed="false" customWidth="true" hidden="false" outlineLevel="0" max="16" min="15" style="1" width="16"/>
    <col collapsed="false" customWidth="true" hidden="false" outlineLevel="0" max="17" min="17" style="1" width="15"/>
    <col collapsed="false" customWidth="true" hidden="false" outlineLevel="0" max="18" min="18" style="1" width="9"/>
    <col collapsed="false" customWidth="true" hidden="false" outlineLevel="0" max="20" min="19" style="1" width="14"/>
    <col collapsed="false" customWidth="true" hidden="false" outlineLevel="0" max="21" min="21" style="1" width="11"/>
    <col collapsed="false" customWidth="true" hidden="false" outlineLevel="0" max="22" min="22" style="1" width="10"/>
    <col collapsed="false" customWidth="true" hidden="false" outlineLevel="0" max="25" min="23" style="1" width="12"/>
    <col collapsed="false" customWidth="true" hidden="false" outlineLevel="0" max="26" min="26" style="1" width="10"/>
    <col collapsed="false" customWidth="true" hidden="false" outlineLevel="0" max="27" min="27" style="1" width="15"/>
    <col collapsed="false" customWidth="true" hidden="false" outlineLevel="0" max="28" min="28" style="1" width="30"/>
    <col collapsed="false" customWidth="true" hidden="false" outlineLevel="0" max="29" min="29" style="1" width="9"/>
    <col collapsed="false" customWidth="true" hidden="false" outlineLevel="0" max="30" min="30" style="1" width="20.27"/>
    <col collapsed="false" customWidth="true" hidden="false" outlineLevel="0" max="31" min="31" style="1" width="9"/>
    <col collapsed="false" customWidth="true" hidden="false" outlineLevel="0" max="32" min="32" style="1" width="0.09"/>
  </cols>
  <sheetData>
    <row r="1" customFormat="false" ht="27.75" hidden="false" customHeight="true" outlineLevel="0" collapsed="false">
      <c r="A1" s="8" t="s">
        <v>60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10"/>
      <c r="AD1" s="10"/>
      <c r="AE1" s="10"/>
      <c r="AF1" s="10"/>
    </row>
    <row r="2" customFormat="false" ht="31.5" hidden="false" customHeight="true" outlineLevel="0" collapsed="false">
      <c r="A2" s="19" t="s">
        <v>61</v>
      </c>
      <c r="B2" s="19" t="s">
        <v>62</v>
      </c>
      <c r="C2" s="19" t="s">
        <v>63</v>
      </c>
      <c r="D2" s="19" t="s">
        <v>64</v>
      </c>
      <c r="E2" s="19" t="s">
        <v>65</v>
      </c>
      <c r="F2" s="19" t="s">
        <v>66</v>
      </c>
      <c r="G2" s="19" t="s">
        <v>67</v>
      </c>
      <c r="H2" s="19" t="s">
        <v>68</v>
      </c>
      <c r="I2" s="19" t="s">
        <v>69</v>
      </c>
      <c r="J2" s="19" t="s">
        <v>70</v>
      </c>
      <c r="K2" s="19" t="s">
        <v>71</v>
      </c>
      <c r="L2" s="19" t="s">
        <v>72</v>
      </c>
      <c r="M2" s="19" t="s">
        <v>73</v>
      </c>
      <c r="N2" s="19" t="s">
        <v>74</v>
      </c>
      <c r="O2" s="19" t="s">
        <v>75</v>
      </c>
      <c r="P2" s="19" t="s">
        <v>76</v>
      </c>
      <c r="Q2" s="19" t="s">
        <v>77</v>
      </c>
      <c r="R2" s="19" t="s">
        <v>78</v>
      </c>
      <c r="S2" s="19" t="s">
        <v>79</v>
      </c>
      <c r="T2" s="19" t="s">
        <v>80</v>
      </c>
      <c r="U2" s="19" t="s">
        <v>81</v>
      </c>
      <c r="V2" s="19" t="s">
        <v>82</v>
      </c>
      <c r="W2" s="19" t="s">
        <v>83</v>
      </c>
      <c r="X2" s="19" t="s">
        <v>84</v>
      </c>
      <c r="Y2" s="19" t="s">
        <v>85</v>
      </c>
      <c r="Z2" s="19" t="s">
        <v>86</v>
      </c>
      <c r="AA2" s="19" t="s">
        <v>87</v>
      </c>
      <c r="AB2" s="19" t="s">
        <v>88</v>
      </c>
      <c r="AC2" s="33" t="s">
        <v>89</v>
      </c>
      <c r="AD2" s="33" t="s">
        <v>90</v>
      </c>
      <c r="AE2" s="33" t="s">
        <v>91</v>
      </c>
      <c r="AF2" s="33" t="s">
        <v>92</v>
      </c>
    </row>
    <row r="3" customFormat="false" ht="15.75" hidden="false" customHeight="true" outlineLevel="0" collapsed="false">
      <c r="A3" s="22" t="s">
        <v>93</v>
      </c>
      <c r="B3" s="22" t="s">
        <v>94</v>
      </c>
      <c r="C3" s="22" t="s">
        <v>95</v>
      </c>
      <c r="D3" s="34" t="s">
        <v>96</v>
      </c>
      <c r="E3" s="34" t="s">
        <v>97</v>
      </c>
      <c r="F3" s="35" t="n">
        <v>107.7</v>
      </c>
      <c r="G3" s="36" t="n">
        <v>44013</v>
      </c>
      <c r="H3" s="36" t="n">
        <v>47118</v>
      </c>
      <c r="I3" s="37" t="n">
        <v>8.5</v>
      </c>
      <c r="J3" s="38" t="n">
        <v>1395.94</v>
      </c>
      <c r="K3" s="38" t="n">
        <f aca="false">IF(J3&gt;0,J3*F3,0)</f>
        <v>150342.738</v>
      </c>
      <c r="L3" s="38" t="n">
        <v>0</v>
      </c>
      <c r="M3" s="38" t="n">
        <v>9156</v>
      </c>
      <c r="N3" s="38" t="n">
        <v>0</v>
      </c>
      <c r="O3" s="38" t="n">
        <v>9032.64</v>
      </c>
      <c r="P3" s="38" t="n">
        <v>3030</v>
      </c>
      <c r="Q3" s="38" t="n">
        <f aca="false">K3+L3+M3+N3+O3+P3</f>
        <v>171561.378</v>
      </c>
      <c r="R3" s="22" t="n">
        <v>1</v>
      </c>
      <c r="S3" s="23" t="s">
        <v>98</v>
      </c>
      <c r="T3" s="36" t="n">
        <v>46569</v>
      </c>
      <c r="U3" s="23" t="s">
        <v>99</v>
      </c>
      <c r="V3" s="39" t="n">
        <f aca="true">IFERROR(MAX((H3-TODAY())/365.25,0),0)</f>
        <v>2.24777549623546</v>
      </c>
      <c r="W3" s="35" t="n">
        <f aca="false">F3*V3</f>
        <v>242.085420944559</v>
      </c>
      <c r="X3" s="38" t="n">
        <v>950</v>
      </c>
      <c r="Y3" s="38" t="n">
        <f aca="false">IF(J3&gt;0,J3-X3,0)</f>
        <v>445.94</v>
      </c>
      <c r="Z3" s="40" t="n">
        <f aca="false">IFERROR(IF(J3&gt;0,(J3-X3)/X3,0),0)</f>
        <v>0.46941052631579</v>
      </c>
      <c r="AA3" s="38" t="s">
        <v>100</v>
      </c>
      <c r="AB3" s="23" t="s">
        <v>101</v>
      </c>
      <c r="AC3" s="41" t="str">
        <f aca="true">IF(AD3="","VACANT",IF(AD3&lt;TODAY(),"EXPIRED","ACTIVE"))</f>
        <v>ACTIVE</v>
      </c>
      <c r="AD3" s="42" t="n">
        <v>47118</v>
      </c>
      <c r="AE3" s="43" t="n">
        <v>1395.94</v>
      </c>
      <c r="AF3" s="44" t="s">
        <v>102</v>
      </c>
    </row>
    <row r="4" customFormat="false" ht="15.75" hidden="false" customHeight="true" outlineLevel="0" collapsed="false">
      <c r="A4" s="45" t="s">
        <v>103</v>
      </c>
      <c r="B4" s="45" t="s">
        <v>94</v>
      </c>
      <c r="C4" s="45" t="s">
        <v>104</v>
      </c>
      <c r="D4" s="46" t="s">
        <v>105</v>
      </c>
      <c r="E4" s="46" t="s">
        <v>105</v>
      </c>
      <c r="F4" s="47" t="n">
        <v>795.5</v>
      </c>
      <c r="G4" s="48" t="n">
        <v>44378</v>
      </c>
      <c r="H4" s="48" t="n">
        <v>48029</v>
      </c>
      <c r="I4" s="49" t="n">
        <v>10</v>
      </c>
      <c r="J4" s="50" t="n">
        <v>855.7</v>
      </c>
      <c r="K4" s="50" t="n">
        <f aca="false">IF(J4&gt;0,J4*F4,0)</f>
        <v>680709.35</v>
      </c>
      <c r="L4" s="50" t="n">
        <v>0</v>
      </c>
      <c r="M4" s="50" t="n">
        <v>0</v>
      </c>
      <c r="N4" s="50" t="n">
        <v>0</v>
      </c>
      <c r="O4" s="50" t="n">
        <v>0</v>
      </c>
      <c r="P4" s="50" t="n">
        <v>0</v>
      </c>
      <c r="Q4" s="50" t="n">
        <f aca="false">K4+L4+M4+N4+O4+P4</f>
        <v>680709.35</v>
      </c>
      <c r="R4" s="45" t="n">
        <v>0</v>
      </c>
      <c r="S4" s="30" t="s">
        <v>98</v>
      </c>
      <c r="T4" s="48" t="n">
        <v>46204</v>
      </c>
      <c r="U4" s="30" t="s">
        <v>106</v>
      </c>
      <c r="V4" s="51" t="n">
        <f aca="true">IFERROR(MAX((H4-TODAY())/365.25,0),0)</f>
        <v>4.7419575633128</v>
      </c>
      <c r="W4" s="47" t="n">
        <f aca="false">F4*V4</f>
        <v>3772.22724161533</v>
      </c>
      <c r="X4" s="50" t="n">
        <v>870</v>
      </c>
      <c r="Y4" s="50" t="n">
        <f aca="false">IF(J4&gt;0,J4-X4,0)</f>
        <v>-14.3</v>
      </c>
      <c r="Z4" s="52" t="n">
        <f aca="false">IFERROR(IF(J4&gt;0,(J4-X4)/X4,0),0)</f>
        <v>-0.0164367816091954</v>
      </c>
      <c r="AA4" s="50" t="s">
        <v>107</v>
      </c>
      <c r="AB4" s="30" t="s">
        <v>108</v>
      </c>
      <c r="AC4" s="41" t="str">
        <f aca="true">IF(AD4="","VACANT",IF(AD4&lt;TODAY(),"EXPIRED","ACTIVE"))</f>
        <v>ACTIVE</v>
      </c>
      <c r="AD4" s="53" t="n">
        <v>48029</v>
      </c>
      <c r="AE4" s="43" t="n">
        <v>855.7</v>
      </c>
      <c r="AF4" s="44" t="s">
        <v>109</v>
      </c>
    </row>
    <row r="5" customFormat="false" ht="15.75" hidden="false" customHeight="true" outlineLevel="0" collapsed="false">
      <c r="A5" s="22" t="s">
        <v>110</v>
      </c>
      <c r="B5" s="22" t="s">
        <v>111</v>
      </c>
      <c r="C5" s="22" t="s">
        <v>112</v>
      </c>
      <c r="D5" s="34" t="s">
        <v>105</v>
      </c>
      <c r="E5" s="34" t="s">
        <v>105</v>
      </c>
      <c r="F5" s="35" t="n">
        <v>1047</v>
      </c>
      <c r="G5" s="36" t="n">
        <v>44378</v>
      </c>
      <c r="H5" s="36" t="n">
        <v>48029</v>
      </c>
      <c r="I5" s="37" t="n">
        <v>10</v>
      </c>
      <c r="J5" s="38" t="n">
        <v>855.7</v>
      </c>
      <c r="K5" s="38" t="n">
        <f aca="false">IF(J5&gt;0,J5*F5,0)</f>
        <v>895917.9</v>
      </c>
      <c r="L5" s="38" t="n">
        <v>0</v>
      </c>
      <c r="M5" s="38" t="n">
        <v>0</v>
      </c>
      <c r="N5" s="38" t="n">
        <v>0</v>
      </c>
      <c r="O5" s="38" t="n">
        <v>10160.4</v>
      </c>
      <c r="P5" s="38" t="n">
        <v>0</v>
      </c>
      <c r="Q5" s="38" t="n">
        <f aca="false">K5+L5+M5+N5+O5+P5</f>
        <v>906078.3</v>
      </c>
      <c r="R5" s="22" t="n">
        <v>1</v>
      </c>
      <c r="S5" s="23" t="s">
        <v>98</v>
      </c>
      <c r="T5" s="36" t="n">
        <v>46204</v>
      </c>
      <c r="U5" s="23" t="s">
        <v>106</v>
      </c>
      <c r="V5" s="39" t="n">
        <f aca="true">IFERROR(MAX((H5-TODAY())/365.25,0),0)</f>
        <v>4.7419575633128</v>
      </c>
      <c r="W5" s="35" t="n">
        <f aca="false">F5*V5</f>
        <v>4964.8295687885</v>
      </c>
      <c r="X5" s="38" t="n">
        <v>870</v>
      </c>
      <c r="Y5" s="38" t="n">
        <f aca="false">IF(J5&gt;0,J5-X5,0)</f>
        <v>-14.3</v>
      </c>
      <c r="Z5" s="40" t="n">
        <f aca="false">IFERROR(IF(J5&gt;0,(J5-X5)/X5,0),0)</f>
        <v>-0.0164367816091954</v>
      </c>
      <c r="AA5" s="38" t="s">
        <v>107</v>
      </c>
      <c r="AB5" s="23" t="s">
        <v>113</v>
      </c>
      <c r="AC5" s="41" t="str">
        <f aca="true">IF(AD5="","VACANT",IF(AD5&lt;TODAY(),"EXPIRED","ACTIVE"))</f>
        <v>ACTIVE</v>
      </c>
      <c r="AD5" s="42" t="n">
        <v>48029</v>
      </c>
      <c r="AE5" s="43" t="n">
        <v>855.7</v>
      </c>
      <c r="AF5" s="44" t="s">
        <v>114</v>
      </c>
    </row>
    <row r="6" customFormat="false" ht="15.75" hidden="false" customHeight="true" outlineLevel="0" collapsed="false">
      <c r="A6" s="45" t="s">
        <v>115</v>
      </c>
      <c r="B6" s="45" t="s">
        <v>116</v>
      </c>
      <c r="C6" s="45" t="s">
        <v>117</v>
      </c>
      <c r="D6" s="46" t="s">
        <v>105</v>
      </c>
      <c r="E6" s="46" t="s">
        <v>118</v>
      </c>
      <c r="F6" s="47" t="n">
        <v>437.1</v>
      </c>
      <c r="G6" s="48" t="n">
        <v>44378</v>
      </c>
      <c r="H6" s="48" t="n">
        <v>48029</v>
      </c>
      <c r="I6" s="49" t="n">
        <v>10</v>
      </c>
      <c r="J6" s="50" t="n">
        <v>855.7</v>
      </c>
      <c r="K6" s="50" t="n">
        <f aca="false">IF(J6&gt;0,J6*F6,0)</f>
        <v>374026.47</v>
      </c>
      <c r="L6" s="50" t="n">
        <v>0</v>
      </c>
      <c r="M6" s="50" t="n">
        <v>0</v>
      </c>
      <c r="N6" s="50" t="n">
        <v>0</v>
      </c>
      <c r="O6" s="50" t="n">
        <v>0</v>
      </c>
      <c r="P6" s="50" t="n">
        <v>3030</v>
      </c>
      <c r="Q6" s="50" t="n">
        <f aca="false">K6+L6+M6+N6+O6+P6</f>
        <v>377056.47</v>
      </c>
      <c r="R6" s="45" t="n">
        <v>0</v>
      </c>
      <c r="S6" s="30" t="s">
        <v>98</v>
      </c>
      <c r="T6" s="48" t="n">
        <v>46204</v>
      </c>
      <c r="U6" s="30" t="s">
        <v>106</v>
      </c>
      <c r="V6" s="51" t="n">
        <f aca="true">IFERROR(MAX((H6-TODAY())/365.25,0),0)</f>
        <v>4.7419575633128</v>
      </c>
      <c r="W6" s="47" t="n">
        <f aca="false">F6*V6</f>
        <v>2072.70965092402</v>
      </c>
      <c r="X6" s="50" t="n">
        <v>870</v>
      </c>
      <c r="Y6" s="50" t="n">
        <f aca="false">IF(J6&gt;0,J6-X6,0)</f>
        <v>-14.3</v>
      </c>
      <c r="Z6" s="52" t="n">
        <f aca="false">IFERROR(IF(J6&gt;0,(J6-X6)/X6,0),0)</f>
        <v>-0.0164367816091954</v>
      </c>
      <c r="AA6" s="50" t="s">
        <v>107</v>
      </c>
      <c r="AB6" s="30" t="s">
        <v>119</v>
      </c>
      <c r="AC6" s="41" t="str">
        <f aca="true">IF(AD6="","VACANT",IF(AD6&lt;TODAY(),"EXPIRED","ACTIVE"))</f>
        <v>ACTIVE</v>
      </c>
      <c r="AD6" s="53" t="n">
        <v>48029</v>
      </c>
      <c r="AE6" s="43" t="n">
        <v>855.7</v>
      </c>
      <c r="AF6" s="44" t="s">
        <v>120</v>
      </c>
    </row>
    <row r="7" customFormat="false" ht="15.75" hidden="false" customHeight="true" outlineLevel="0" collapsed="false">
      <c r="A7" s="22" t="s">
        <v>121</v>
      </c>
      <c r="B7" s="22" t="s">
        <v>116</v>
      </c>
      <c r="C7" s="22" t="s">
        <v>122</v>
      </c>
      <c r="D7" s="34" t="s">
        <v>123</v>
      </c>
      <c r="E7" s="34" t="s">
        <v>124</v>
      </c>
      <c r="F7" s="35" t="n">
        <v>229.8</v>
      </c>
      <c r="G7" s="36" t="n">
        <v>45474</v>
      </c>
      <c r="H7" s="36" t="n">
        <v>47299</v>
      </c>
      <c r="I7" s="37" t="n">
        <v>5</v>
      </c>
      <c r="J7" s="38" t="n">
        <v>985.53</v>
      </c>
      <c r="K7" s="38" t="n">
        <f aca="false">IF(J7&gt;0,J7*F7,0)</f>
        <v>226474.794</v>
      </c>
      <c r="L7" s="38" t="n">
        <v>-46511.52</v>
      </c>
      <c r="M7" s="38" t="n">
        <v>10521.96</v>
      </c>
      <c r="N7" s="38" t="n">
        <v>3805.44</v>
      </c>
      <c r="O7" s="38" t="n">
        <v>7712.76</v>
      </c>
      <c r="P7" s="38" t="n">
        <v>3030</v>
      </c>
      <c r="Q7" s="38" t="n">
        <f aca="false">K7+L7+M7+N7+O7+P7</f>
        <v>205033.434</v>
      </c>
      <c r="R7" s="22" t="n">
        <v>1</v>
      </c>
      <c r="S7" s="23" t="s">
        <v>125</v>
      </c>
      <c r="T7" s="36" t="n">
        <v>46569</v>
      </c>
      <c r="U7" s="23" t="s">
        <v>126</v>
      </c>
      <c r="V7" s="39" t="n">
        <f aca="true">IFERROR(MAX((H7-TODAY())/365.25,0),0)</f>
        <v>2.74332648870637</v>
      </c>
      <c r="W7" s="35" t="n">
        <f aca="false">F7*V7</f>
        <v>630.416427104723</v>
      </c>
      <c r="X7" s="38" t="n">
        <v>950</v>
      </c>
      <c r="Y7" s="38" t="n">
        <f aca="false">IF(J7&gt;0,J7-X7,0)</f>
        <v>35.53</v>
      </c>
      <c r="Z7" s="40" t="n">
        <f aca="false">IFERROR(IF(J7&gt;0,(J7-X7)/X7,0),0)</f>
        <v>0.0374</v>
      </c>
      <c r="AA7" s="38" t="s">
        <v>127</v>
      </c>
      <c r="AB7" s="23" t="s">
        <v>128</v>
      </c>
      <c r="AC7" s="41" t="str">
        <f aca="true">IF(AD7="","VACANT",IF(AD7&lt;TODAY(),"EXPIRED","ACTIVE"))</f>
        <v>ACTIVE</v>
      </c>
      <c r="AD7" s="42" t="n">
        <v>47299</v>
      </c>
      <c r="AE7" s="43" t="n">
        <v>985.53</v>
      </c>
      <c r="AF7" s="44" t="s">
        <v>129</v>
      </c>
    </row>
    <row r="8" customFormat="false" ht="15.75" hidden="false" customHeight="true" outlineLevel="0" collapsed="false">
      <c r="A8" s="45" t="s">
        <v>130</v>
      </c>
      <c r="B8" s="45" t="s">
        <v>116</v>
      </c>
      <c r="C8" s="45" t="s">
        <v>131</v>
      </c>
      <c r="D8" s="46" t="s">
        <v>132</v>
      </c>
      <c r="E8" s="46" t="s">
        <v>132</v>
      </c>
      <c r="F8" s="47" t="n">
        <v>413.5</v>
      </c>
      <c r="G8" s="48" t="n">
        <v>45352</v>
      </c>
      <c r="H8" s="48" t="n">
        <v>47177</v>
      </c>
      <c r="I8" s="49" t="n">
        <v>5</v>
      </c>
      <c r="J8" s="50" t="n">
        <v>1005.89</v>
      </c>
      <c r="K8" s="50" t="n">
        <f aca="false">IF(J8&gt;0,J8*F8,0)</f>
        <v>415935.515</v>
      </c>
      <c r="L8" s="50" t="n">
        <v>-104594.82</v>
      </c>
      <c r="M8" s="50" t="n">
        <v>40068.6</v>
      </c>
      <c r="N8" s="50" t="n">
        <v>6847.56</v>
      </c>
      <c r="O8" s="50" t="n">
        <v>5381.04</v>
      </c>
      <c r="P8" s="50" t="n">
        <v>3030</v>
      </c>
      <c r="Q8" s="50" t="n">
        <f aca="false">K8+L8+M8+N8+O8+P8</f>
        <v>366667.895</v>
      </c>
      <c r="R8" s="45" t="n">
        <v>1</v>
      </c>
      <c r="S8" s="30" t="s">
        <v>98</v>
      </c>
      <c r="T8" s="48" t="n">
        <v>46447</v>
      </c>
      <c r="U8" s="30" t="s">
        <v>126</v>
      </c>
      <c r="V8" s="51" t="n">
        <f aca="true">IFERROR(MAX((H8-TODAY())/365.25,0),0)</f>
        <v>2.40930869267625</v>
      </c>
      <c r="W8" s="47" t="n">
        <f aca="false">F8*V8</f>
        <v>996.249144421629</v>
      </c>
      <c r="X8" s="50" t="n">
        <v>990</v>
      </c>
      <c r="Y8" s="50" t="n">
        <f aca="false">IF(J8&gt;0,J8-X8,0)</f>
        <v>15.89</v>
      </c>
      <c r="Z8" s="52" t="n">
        <f aca="false">IFERROR(IF(J8&gt;0,(J8-X8)/X8,0),0)</f>
        <v>0.016050505050505</v>
      </c>
      <c r="AA8" s="50" t="s">
        <v>133</v>
      </c>
      <c r="AB8" s="30" t="s">
        <v>134</v>
      </c>
      <c r="AC8" s="41" t="str">
        <f aca="true">IF(AD8="","VACANT",IF(AD8&lt;TODAY(),"EXPIRED","ACTIVE"))</f>
        <v>ACTIVE</v>
      </c>
      <c r="AD8" s="53" t="n">
        <v>47177</v>
      </c>
      <c r="AE8" s="43" t="n">
        <v>1005.89</v>
      </c>
      <c r="AF8" s="44" t="s">
        <v>135</v>
      </c>
    </row>
    <row r="9" customFormat="false" ht="15.75" hidden="false" customHeight="true" outlineLevel="0" collapsed="false">
      <c r="A9" s="22" t="s">
        <v>136</v>
      </c>
      <c r="B9" s="22" t="s">
        <v>137</v>
      </c>
      <c r="C9" s="22" t="s">
        <v>138</v>
      </c>
      <c r="D9" s="34" t="s">
        <v>139</v>
      </c>
      <c r="E9" s="34" t="s">
        <v>140</v>
      </c>
      <c r="F9" s="35" t="n">
        <v>451.7</v>
      </c>
      <c r="G9" s="36" t="n">
        <v>45762</v>
      </c>
      <c r="H9" s="36" t="n">
        <v>47375</v>
      </c>
      <c r="I9" s="37" t="n">
        <v>4.4</v>
      </c>
      <c r="J9" s="38" t="n">
        <v>954.5</v>
      </c>
      <c r="K9" s="38" t="n">
        <f aca="false">IF(J9&gt;0,J9*F9,0)</f>
        <v>431147.65</v>
      </c>
      <c r="L9" s="38" t="n">
        <v>-211720.82</v>
      </c>
      <c r="M9" s="38" t="n">
        <v>45907.32</v>
      </c>
      <c r="N9" s="38" t="n">
        <v>7480.2</v>
      </c>
      <c r="O9" s="38" t="n">
        <v>7416</v>
      </c>
      <c r="P9" s="38" t="n">
        <v>3030</v>
      </c>
      <c r="Q9" s="38" t="n">
        <f aca="false">K9+L9+M9+N9+O9+P9</f>
        <v>283260.35</v>
      </c>
      <c r="R9" s="22" t="n">
        <v>1</v>
      </c>
      <c r="S9" s="23" t="s">
        <v>141</v>
      </c>
      <c r="T9" s="36" t="n">
        <v>46492</v>
      </c>
      <c r="U9" s="23" t="s">
        <v>126</v>
      </c>
      <c r="V9" s="39" t="n">
        <f aca="true">IFERROR(MAX((H9-TODAY())/365.25,0),0)</f>
        <v>2.95140314852841</v>
      </c>
      <c r="W9" s="35" t="n">
        <f aca="false">F9*V9</f>
        <v>1333.14880219028</v>
      </c>
      <c r="X9" s="38" t="n">
        <v>955</v>
      </c>
      <c r="Y9" s="38" t="n">
        <f aca="false">IF(J9&gt;0,J9-X9,0)</f>
        <v>-0.5</v>
      </c>
      <c r="Z9" s="40" t="n">
        <f aca="false">IFERROR(IF(J9&gt;0,(J9-X9)/X9,0),0)</f>
        <v>-0.000523560209424084</v>
      </c>
      <c r="AA9" s="38" t="s">
        <v>142</v>
      </c>
      <c r="AB9" s="23" t="s">
        <v>143</v>
      </c>
      <c r="AC9" s="41" t="str">
        <f aca="true">IF(AD9="","VACANT",IF(AD9&lt;TODAY(),"EXPIRED","ACTIVE"))</f>
        <v>ACTIVE</v>
      </c>
      <c r="AD9" s="42" t="n">
        <v>47375</v>
      </c>
      <c r="AE9" s="43" t="n">
        <v>954.5</v>
      </c>
      <c r="AF9" s="44" t="s">
        <v>144</v>
      </c>
    </row>
    <row r="10" customFormat="false" ht="15.75" hidden="false" customHeight="true" outlineLevel="0" collapsed="false">
      <c r="A10" s="54" t="s">
        <v>145</v>
      </c>
      <c r="B10" s="54" t="s">
        <v>137</v>
      </c>
      <c r="C10" s="54" t="s">
        <v>146</v>
      </c>
      <c r="D10" s="55" t="s">
        <v>147</v>
      </c>
      <c r="E10" s="55" t="s">
        <v>147</v>
      </c>
      <c r="F10" s="56" t="n">
        <v>189.4</v>
      </c>
      <c r="G10" s="20" t="n">
        <v>44713</v>
      </c>
      <c r="H10" s="20" t="n">
        <v>46538</v>
      </c>
      <c r="I10" s="57" t="n">
        <v>5</v>
      </c>
      <c r="J10" s="58" t="n">
        <v>1055.72</v>
      </c>
      <c r="K10" s="58" t="n">
        <f aca="false">IF(J10&gt;0,J10*F10,0)</f>
        <v>199953.368</v>
      </c>
      <c r="L10" s="58" t="n">
        <v>-23525.37</v>
      </c>
      <c r="M10" s="58" t="n">
        <v>19249.32</v>
      </c>
      <c r="N10" s="58" t="n">
        <v>3136.44</v>
      </c>
      <c r="O10" s="58" t="n">
        <v>14183.28</v>
      </c>
      <c r="P10" s="58" t="n">
        <v>6060</v>
      </c>
      <c r="Q10" s="58" t="n">
        <f aca="false">K10+L10+M10+N10+O10+P10</f>
        <v>219057.038</v>
      </c>
      <c r="R10" s="54" t="n">
        <v>2</v>
      </c>
      <c r="S10" s="59" t="s">
        <v>125</v>
      </c>
      <c r="T10" s="20" t="n">
        <v>46539</v>
      </c>
      <c r="U10" s="59" t="s">
        <v>126</v>
      </c>
      <c r="V10" s="60" t="n">
        <f aca="true">IFERROR(MAX((H10-TODAY())/365.25,0),0)</f>
        <v>0.659822039698837</v>
      </c>
      <c r="W10" s="56" t="n">
        <f aca="false">F10*V10</f>
        <v>124.97029431896</v>
      </c>
      <c r="X10" s="58" t="n">
        <v>990</v>
      </c>
      <c r="Y10" s="58" t="n">
        <f aca="false">IF(J10&gt;0,J10-X10,0)</f>
        <v>65.72</v>
      </c>
      <c r="Z10" s="61" t="n">
        <f aca="false">IFERROR(IF(J10&gt;0,(J10-X10)/X10,0),0)</f>
        <v>0.0663838383838384</v>
      </c>
      <c r="AA10" s="58" t="s">
        <v>148</v>
      </c>
      <c r="AB10" s="59" t="s">
        <v>149</v>
      </c>
      <c r="AC10" s="41" t="str">
        <f aca="true">IF(AD10="","VACANT",IF(AD10&lt;TODAY(),"EXPIRED","ACTIVE"))</f>
        <v>ACTIVE</v>
      </c>
      <c r="AD10" s="53" t="n">
        <v>46538</v>
      </c>
      <c r="AE10" s="43" t="n">
        <v>1055.72</v>
      </c>
      <c r="AF10" s="44" t="s">
        <v>150</v>
      </c>
    </row>
    <row r="11" customFormat="false" ht="15.75" hidden="false" customHeight="true" outlineLevel="0" collapsed="false">
      <c r="A11" s="22" t="s">
        <v>151</v>
      </c>
      <c r="B11" s="22" t="s">
        <v>137</v>
      </c>
      <c r="C11" s="22" t="s">
        <v>152</v>
      </c>
      <c r="D11" s="34" t="s">
        <v>153</v>
      </c>
      <c r="E11" s="34" t="s">
        <v>153</v>
      </c>
      <c r="F11" s="35" t="n">
        <v>267.9</v>
      </c>
      <c r="G11" s="36" t="n">
        <v>45870</v>
      </c>
      <c r="H11" s="36" t="n">
        <v>48426</v>
      </c>
      <c r="I11" s="37" t="n">
        <v>7</v>
      </c>
      <c r="J11" s="38" t="n">
        <v>954.5</v>
      </c>
      <c r="K11" s="38" t="n">
        <f aca="false">IF(J11&gt;0,J11*F11,0)</f>
        <v>255710.55</v>
      </c>
      <c r="L11" s="38" t="n">
        <v>-98587.2</v>
      </c>
      <c r="M11" s="38" t="n">
        <v>6957</v>
      </c>
      <c r="N11" s="38" t="n">
        <v>4436.4</v>
      </c>
      <c r="O11" s="38" t="n">
        <v>3030</v>
      </c>
      <c r="P11" s="38" t="n">
        <v>0</v>
      </c>
      <c r="Q11" s="38" t="n">
        <f aca="false">K11+L11+M11+N11+O11+P11</f>
        <v>171546.75</v>
      </c>
      <c r="R11" s="22" t="n">
        <v>1</v>
      </c>
      <c r="S11" s="23" t="s">
        <v>154</v>
      </c>
      <c r="T11" s="36" t="n">
        <v>46600</v>
      </c>
      <c r="U11" s="23" t="s">
        <v>126</v>
      </c>
      <c r="V11" s="39" t="n">
        <f aca="true">IFERROR(MAX((H11-TODAY())/365.25,0),0)</f>
        <v>5.82888432580424</v>
      </c>
      <c r="W11" s="35" t="n">
        <f aca="false">F11*V11</f>
        <v>1561.55811088296</v>
      </c>
      <c r="X11" s="38" t="n">
        <v>955</v>
      </c>
      <c r="Y11" s="38" t="n">
        <f aca="false">IF(J11&gt;0,J11-X11,0)</f>
        <v>-0.5</v>
      </c>
      <c r="Z11" s="40" t="n">
        <f aca="false">IFERROR(IF(J11&gt;0,(J11-X11)/X11,0),0)</f>
        <v>-0.000523560209424084</v>
      </c>
      <c r="AA11" s="38" t="s">
        <v>155</v>
      </c>
      <c r="AB11" s="23" t="s">
        <v>156</v>
      </c>
      <c r="AC11" s="41" t="str">
        <f aca="true">IF(AD11="","VACANT",IF(AD11&lt;TODAY(),"EXPIRED","ACTIVE"))</f>
        <v>ACTIVE</v>
      </c>
      <c r="AD11" s="42" t="n">
        <v>48426</v>
      </c>
      <c r="AE11" s="43" t="n">
        <v>954.5</v>
      </c>
      <c r="AF11" s="44" t="s">
        <v>157</v>
      </c>
    </row>
    <row r="12" customFormat="false" ht="15.75" hidden="false" customHeight="true" outlineLevel="0" collapsed="false">
      <c r="A12" s="45" t="s">
        <v>158</v>
      </c>
      <c r="B12" s="45" t="s">
        <v>159</v>
      </c>
      <c r="C12" s="45" t="s">
        <v>160</v>
      </c>
      <c r="D12" s="46" t="s">
        <v>139</v>
      </c>
      <c r="E12" s="46" t="s">
        <v>140</v>
      </c>
      <c r="F12" s="47" t="n">
        <v>484.1</v>
      </c>
      <c r="G12" s="48" t="n">
        <v>45184</v>
      </c>
      <c r="H12" s="48" t="n">
        <v>47375</v>
      </c>
      <c r="I12" s="49" t="n">
        <v>6</v>
      </c>
      <c r="J12" s="50" t="n">
        <v>1911.44</v>
      </c>
      <c r="K12" s="50" t="n">
        <f aca="false">IF(J12&gt;0,J12*F12,0)</f>
        <v>925328.104</v>
      </c>
      <c r="L12" s="50" t="n">
        <v>-319000.32</v>
      </c>
      <c r="M12" s="50" t="n">
        <v>49200.48</v>
      </c>
      <c r="N12" s="50" t="n">
        <v>14069.4</v>
      </c>
      <c r="O12" s="50" t="n">
        <v>18074.64</v>
      </c>
      <c r="P12" s="50" t="n">
        <v>6060</v>
      </c>
      <c r="Q12" s="50" t="n">
        <f aca="false">K12+L12+M12+N12+O12+P12</f>
        <v>693732.304</v>
      </c>
      <c r="R12" s="45" t="n">
        <v>2</v>
      </c>
      <c r="S12" s="30" t="s">
        <v>141</v>
      </c>
      <c r="T12" s="48" t="n">
        <v>46645</v>
      </c>
      <c r="U12" s="30" t="s">
        <v>126</v>
      </c>
      <c r="V12" s="51" t="n">
        <f aca="true">IFERROR(MAX((H12-TODAY())/365.25,0),0)</f>
        <v>2.95140314852841</v>
      </c>
      <c r="W12" s="47" t="n">
        <f aca="false">F12*V12</f>
        <v>1428.7742642026</v>
      </c>
      <c r="X12" s="50" t="n">
        <v>1020</v>
      </c>
      <c r="Y12" s="50" t="n">
        <f aca="false">IF(J12&gt;0,J12-X12,0)</f>
        <v>891.44</v>
      </c>
      <c r="Z12" s="52" t="n">
        <f aca="false">IFERROR(IF(J12&gt;0,(J12-X12)/X12,0),0)</f>
        <v>0.873960784313726</v>
      </c>
      <c r="AA12" s="50" t="s">
        <v>161</v>
      </c>
      <c r="AB12" s="30" t="s">
        <v>162</v>
      </c>
      <c r="AC12" s="41" t="str">
        <f aca="true">IF(AD12="","VACANT",IF(AD12&lt;TODAY(),"EXPIRED","ACTIVE"))</f>
        <v>ACTIVE</v>
      </c>
      <c r="AD12" s="53" t="n">
        <v>47375</v>
      </c>
      <c r="AE12" s="43" t="n">
        <v>1911.44</v>
      </c>
      <c r="AF12" s="44" t="s">
        <v>163</v>
      </c>
    </row>
    <row r="13" customFormat="false" ht="15.75" hidden="false" customHeight="true" outlineLevel="0" collapsed="false">
      <c r="A13" s="22" t="s">
        <v>164</v>
      </c>
      <c r="B13" s="22" t="s">
        <v>159</v>
      </c>
      <c r="C13" s="22" t="s">
        <v>165</v>
      </c>
      <c r="D13" s="34" t="s">
        <v>139</v>
      </c>
      <c r="E13" s="34" t="s">
        <v>166</v>
      </c>
      <c r="F13" s="35" t="n">
        <v>365.5</v>
      </c>
      <c r="G13" s="36" t="n">
        <v>45184</v>
      </c>
      <c r="H13" s="36" t="n">
        <v>47375</v>
      </c>
      <c r="I13" s="37" t="n">
        <v>6</v>
      </c>
      <c r="J13" s="38" t="n">
        <v>0</v>
      </c>
      <c r="K13" s="38" t="n">
        <f aca="false">IF(J13&gt;0,J13*F13,0)</f>
        <v>0</v>
      </c>
      <c r="L13" s="38" t="n">
        <v>0</v>
      </c>
      <c r="M13" s="38" t="n">
        <v>37146.72</v>
      </c>
      <c r="N13" s="38" t="n">
        <v>0</v>
      </c>
      <c r="O13" s="38" t="n">
        <v>0</v>
      </c>
      <c r="P13" s="38" t="n">
        <v>0</v>
      </c>
      <c r="Q13" s="38" t="n">
        <f aca="false">K13+L13+M13+N13+O13+P13</f>
        <v>37146.72</v>
      </c>
      <c r="R13" s="22" t="n">
        <v>0</v>
      </c>
      <c r="S13" s="23" t="s">
        <v>141</v>
      </c>
      <c r="T13" s="36" t="n">
        <v>46645</v>
      </c>
      <c r="U13" s="23" t="s">
        <v>126</v>
      </c>
      <c r="V13" s="39" t="n">
        <f aca="true">IFERROR(MAX((H13-TODAY())/365.25,0),0)</f>
        <v>2.95140314852841</v>
      </c>
      <c r="W13" s="35" t="n">
        <f aca="false">F13*V13</f>
        <v>1078.73785078713</v>
      </c>
      <c r="X13" s="38" t="n">
        <v>1020</v>
      </c>
      <c r="Y13" s="38" t="n">
        <f aca="false">IF(J13&gt;0,J13-X13,0)</f>
        <v>0</v>
      </c>
      <c r="Z13" s="40" t="n">
        <f aca="false">IFERROR(IF(J13&gt;0,(J13-X13)/X13,0),0)</f>
        <v>0</v>
      </c>
      <c r="AA13" s="38" t="s">
        <v>167</v>
      </c>
      <c r="AB13" s="23" t="s">
        <v>168</v>
      </c>
      <c r="AC13" s="41" t="str">
        <f aca="true">IF(AD13="","VACANT",IF(AD13&lt;TODAY(),"EXPIRED","ACTIVE"))</f>
        <v>ACTIVE</v>
      </c>
      <c r="AD13" s="42" t="n">
        <v>47375</v>
      </c>
      <c r="AE13" s="43" t="n">
        <v>0</v>
      </c>
      <c r="AF13" s="44" t="s">
        <v>169</v>
      </c>
    </row>
    <row r="14" customFormat="false" ht="15.75" hidden="false" customHeight="true" outlineLevel="0" collapsed="false">
      <c r="A14" s="45" t="s">
        <v>170</v>
      </c>
      <c r="B14" s="45" t="s">
        <v>171</v>
      </c>
      <c r="C14" s="45" t="s">
        <v>172</v>
      </c>
      <c r="D14" s="46" t="s">
        <v>173</v>
      </c>
      <c r="E14" s="46" t="s">
        <v>173</v>
      </c>
      <c r="F14" s="47" t="n">
        <v>686.7</v>
      </c>
      <c r="G14" s="48" t="n">
        <v>43282</v>
      </c>
      <c r="H14" s="48" t="n">
        <v>46934</v>
      </c>
      <c r="I14" s="49" t="n">
        <v>10</v>
      </c>
      <c r="J14" s="50" t="n">
        <v>1029.25</v>
      </c>
      <c r="K14" s="50" t="n">
        <f aca="false">IF(J14&gt;0,J14*F14,0)</f>
        <v>706785.975</v>
      </c>
      <c r="L14" s="50" t="n">
        <v>-219915.72</v>
      </c>
      <c r="M14" s="50" t="n">
        <v>78859.8</v>
      </c>
      <c r="N14" s="50" t="n">
        <v>11371.8</v>
      </c>
      <c r="O14" s="50" t="n">
        <v>0</v>
      </c>
      <c r="P14" s="50" t="n">
        <v>0</v>
      </c>
      <c r="Q14" s="50" t="n">
        <f aca="false">K14+L14+M14+N14+O14+P14</f>
        <v>577101.855</v>
      </c>
      <c r="R14" s="45" t="n">
        <v>0</v>
      </c>
      <c r="S14" s="30" t="s">
        <v>98</v>
      </c>
      <c r="T14" s="48" t="n">
        <v>46569</v>
      </c>
      <c r="U14" s="30" t="s">
        <v>126</v>
      </c>
      <c r="V14" s="51" t="n">
        <f aca="true">IFERROR(MAX((H14-TODAY())/365.25,0),0)</f>
        <v>1.74401095140315</v>
      </c>
      <c r="W14" s="47" t="n">
        <f aca="false">F14*V14</f>
        <v>1197.61232032854</v>
      </c>
      <c r="X14" s="50" t="n">
        <v>990</v>
      </c>
      <c r="Y14" s="50" t="n">
        <f aca="false">IF(J14&gt;0,J14-X14,0)</f>
        <v>39.25</v>
      </c>
      <c r="Z14" s="52" t="n">
        <f aca="false">IFERROR(IF(J14&gt;0,(J14-X14)/X14,0),0)</f>
        <v>0.0396464646464646</v>
      </c>
      <c r="AA14" s="50" t="s">
        <v>174</v>
      </c>
      <c r="AB14" s="30" t="s">
        <v>175</v>
      </c>
      <c r="AC14" s="41" t="str">
        <f aca="true">IF(AD14="","VACANT",IF(AD14&lt;TODAY(),"EXPIRED","ACTIVE"))</f>
        <v>ACTIVE</v>
      </c>
      <c r="AD14" s="53" t="n">
        <v>46934</v>
      </c>
      <c r="AE14" s="43" t="n">
        <v>1029.25</v>
      </c>
      <c r="AF14" s="44" t="s">
        <v>176</v>
      </c>
    </row>
    <row r="15" customFormat="false" ht="15.75" hidden="false" customHeight="true" outlineLevel="0" collapsed="false">
      <c r="A15" s="22" t="s">
        <v>177</v>
      </c>
      <c r="B15" s="22" t="s">
        <v>171</v>
      </c>
      <c r="C15" s="22" t="s">
        <v>178</v>
      </c>
      <c r="D15" s="34" t="s">
        <v>179</v>
      </c>
      <c r="E15" s="34" t="s">
        <v>179</v>
      </c>
      <c r="F15" s="35" t="n">
        <v>116.3</v>
      </c>
      <c r="G15" s="36" t="n">
        <v>45809</v>
      </c>
      <c r="H15" s="36" t="n">
        <v>47787</v>
      </c>
      <c r="I15" s="37" t="n">
        <v>5.4</v>
      </c>
      <c r="J15" s="38" t="n">
        <v>1027.12</v>
      </c>
      <c r="K15" s="38" t="n">
        <f aca="false">IF(J15&gt;0,J15*F15,0)</f>
        <v>119454.056</v>
      </c>
      <c r="L15" s="38" t="n">
        <v>-48357.54</v>
      </c>
      <c r="M15" s="38" t="n">
        <v>3020.16</v>
      </c>
      <c r="N15" s="38" t="n">
        <v>1925.88</v>
      </c>
      <c r="O15" s="38" t="n">
        <v>0</v>
      </c>
      <c r="P15" s="38" t="n">
        <v>0</v>
      </c>
      <c r="Q15" s="38" t="n">
        <f aca="false">K15+L15+M15+N15+O15+P15</f>
        <v>76042.556</v>
      </c>
      <c r="R15" s="22" t="n">
        <v>0</v>
      </c>
      <c r="S15" s="23" t="s">
        <v>141</v>
      </c>
      <c r="T15" s="36" t="n">
        <v>46539</v>
      </c>
      <c r="U15" s="23" t="s">
        <v>126</v>
      </c>
      <c r="V15" s="39" t="n">
        <f aca="true">IFERROR(MAX((H15-TODAY())/365.25,0),0)</f>
        <v>4.07939767282683</v>
      </c>
      <c r="W15" s="35" t="n">
        <f aca="false">F15*V15</f>
        <v>474.43394934976</v>
      </c>
      <c r="X15" s="38" t="n">
        <v>990</v>
      </c>
      <c r="Y15" s="38" t="n">
        <f aca="false">IF(J15&gt;0,J15-X15,0)</f>
        <v>37.1199999999999</v>
      </c>
      <c r="Z15" s="40" t="n">
        <f aca="false">IFERROR(IF(J15&gt;0,(J15-X15)/X15,0),0)</f>
        <v>0.0374949494949494</v>
      </c>
      <c r="AA15" s="38" t="s">
        <v>180</v>
      </c>
      <c r="AB15" s="23" t="s">
        <v>181</v>
      </c>
      <c r="AC15" s="41" t="str">
        <f aca="true">IF(AD15="","VACANT",IF(AD15&lt;TODAY(),"EXPIRED","ACTIVE"))</f>
        <v>ACTIVE</v>
      </c>
      <c r="AD15" s="42" t="n">
        <v>47787</v>
      </c>
      <c r="AE15" s="43" t="n">
        <v>1027.12</v>
      </c>
      <c r="AF15" s="44" t="s">
        <v>182</v>
      </c>
    </row>
    <row r="16" customFormat="false" ht="15.75" hidden="false" customHeight="true" outlineLevel="0" collapsed="false">
      <c r="A16" s="45" t="s">
        <v>183</v>
      </c>
      <c r="B16" s="45" t="s">
        <v>184</v>
      </c>
      <c r="C16" s="45" t="s">
        <v>185</v>
      </c>
      <c r="D16" s="46" t="s">
        <v>186</v>
      </c>
      <c r="E16" s="46" t="s">
        <v>186</v>
      </c>
      <c r="F16" s="47" t="n">
        <v>453.3</v>
      </c>
      <c r="G16" s="48" t="n">
        <v>44746</v>
      </c>
      <c r="H16" s="48" t="n">
        <v>46571</v>
      </c>
      <c r="I16" s="49" t="n">
        <v>5</v>
      </c>
      <c r="J16" s="50" t="n">
        <v>1065.96</v>
      </c>
      <c r="K16" s="50" t="n">
        <f aca="false">IF(J16&gt;0,J16*F16,0)</f>
        <v>483199.668</v>
      </c>
      <c r="L16" s="50" t="n">
        <v>-145962.6</v>
      </c>
      <c r="M16" s="50" t="n">
        <v>46069.68</v>
      </c>
      <c r="N16" s="50" t="n">
        <v>7506.6</v>
      </c>
      <c r="O16" s="50" t="n">
        <v>9941.16</v>
      </c>
      <c r="P16" s="50" t="n">
        <v>3030</v>
      </c>
      <c r="Q16" s="50" t="n">
        <f aca="false">K16+L16+M16+N16+O16+P16</f>
        <v>403784.508</v>
      </c>
      <c r="R16" s="45" t="n">
        <v>1</v>
      </c>
      <c r="S16" s="30" t="s">
        <v>141</v>
      </c>
      <c r="T16" s="48" t="n">
        <v>46572</v>
      </c>
      <c r="U16" s="30" t="s">
        <v>126</v>
      </c>
      <c r="V16" s="51" t="n">
        <f aca="true">IFERROR(MAX((H16-TODAY())/365.25,0),0)</f>
        <v>0.750171115674196</v>
      </c>
      <c r="W16" s="47" t="n">
        <f aca="false">F16*V16</f>
        <v>340.052566735113</v>
      </c>
      <c r="X16" s="50" t="n">
        <v>1040</v>
      </c>
      <c r="Y16" s="50" t="n">
        <f aca="false">IF(J16&gt;0,J16-X16,0)</f>
        <v>25.96</v>
      </c>
      <c r="Z16" s="52" t="n">
        <f aca="false">IFERROR(IF(J16&gt;0,(J16-X16)/X16,0),0)</f>
        <v>0.0249615384615385</v>
      </c>
      <c r="AA16" s="50" t="s">
        <v>187</v>
      </c>
      <c r="AB16" s="30" t="s">
        <v>188</v>
      </c>
      <c r="AC16" s="41" t="str">
        <f aca="true">IF(AD16="","VACANT",IF(AD16&lt;TODAY(),"EXPIRED","ACTIVE"))</f>
        <v>ACTIVE</v>
      </c>
      <c r="AD16" s="53" t="n">
        <v>46571</v>
      </c>
      <c r="AE16" s="43" t="n">
        <v>1065.96</v>
      </c>
      <c r="AF16" s="44" t="s">
        <v>189</v>
      </c>
    </row>
    <row r="17" customFormat="false" ht="15.75" hidden="false" customHeight="true" outlineLevel="0" collapsed="false">
      <c r="A17" s="22" t="s">
        <v>190</v>
      </c>
      <c r="B17" s="22" t="s">
        <v>191</v>
      </c>
      <c r="C17" s="22" t="s">
        <v>192</v>
      </c>
      <c r="D17" s="34" t="s">
        <v>193</v>
      </c>
      <c r="E17" s="34" t="s">
        <v>193</v>
      </c>
      <c r="F17" s="35" t="n">
        <v>251</v>
      </c>
      <c r="G17" s="36" t="n">
        <v>45962</v>
      </c>
      <c r="H17" s="36" t="n">
        <v>47787</v>
      </c>
      <c r="I17" s="37" t="n">
        <v>5</v>
      </c>
      <c r="J17" s="38" t="n">
        <v>985</v>
      </c>
      <c r="K17" s="38" t="n">
        <f aca="false">IF(J17&gt;0,J17*F17,0)</f>
        <v>247235</v>
      </c>
      <c r="L17" s="38" t="n">
        <v>-66750.12</v>
      </c>
      <c r="M17" s="38" t="n">
        <v>6518.16</v>
      </c>
      <c r="N17" s="38" t="n">
        <v>4156.56</v>
      </c>
      <c r="O17" s="38" t="n">
        <v>0</v>
      </c>
      <c r="P17" s="38" t="n">
        <v>0</v>
      </c>
      <c r="Q17" s="38" t="n">
        <f aca="false">K17+L17+M17+N17+O17+P17</f>
        <v>191159.6</v>
      </c>
      <c r="R17" s="22" t="n">
        <v>0</v>
      </c>
      <c r="S17" s="23" t="s">
        <v>125</v>
      </c>
      <c r="T17" s="36" t="n">
        <v>46327</v>
      </c>
      <c r="U17" s="23" t="s">
        <v>126</v>
      </c>
      <c r="V17" s="39" t="n">
        <f aca="true">IFERROR(MAX((H17-TODAY())/365.25,0),0)</f>
        <v>4.07939767282683</v>
      </c>
      <c r="W17" s="35" t="n">
        <f aca="false">F17*V17</f>
        <v>1023.92881587953</v>
      </c>
      <c r="X17" s="38" t="n">
        <v>1040</v>
      </c>
      <c r="Y17" s="38" t="n">
        <f aca="false">IF(J17&gt;0,J17-X17,0)</f>
        <v>-55</v>
      </c>
      <c r="Z17" s="40" t="n">
        <f aca="false">IFERROR(IF(J17&gt;0,(J17-X17)/X17,0),0)</f>
        <v>-0.0528846153846154</v>
      </c>
      <c r="AA17" s="38" t="s">
        <v>167</v>
      </c>
      <c r="AB17" s="23" t="s">
        <v>194</v>
      </c>
      <c r="AC17" s="41" t="str">
        <f aca="true">IF(AD17="","VACANT",IF(AD17&lt;TODAY(),"EXPIRED","ACTIVE"))</f>
        <v>ACTIVE</v>
      </c>
      <c r="AD17" s="42" t="n">
        <v>47787</v>
      </c>
      <c r="AE17" s="43" t="n">
        <v>985</v>
      </c>
      <c r="AF17" s="44" t="s">
        <v>195</v>
      </c>
    </row>
    <row r="18" customFormat="false" ht="15" hidden="false" customHeight="true" outlineLevel="0" collapsed="false">
      <c r="A18" s="45" t="s">
        <v>196</v>
      </c>
      <c r="B18" s="45" t="s">
        <v>184</v>
      </c>
      <c r="C18" s="45" t="s">
        <v>197</v>
      </c>
      <c r="D18" s="46" t="s">
        <v>198</v>
      </c>
      <c r="E18" s="46" t="s">
        <v>199</v>
      </c>
      <c r="F18" s="47" t="n">
        <v>344.5</v>
      </c>
      <c r="G18" s="48" t="n">
        <v>45992</v>
      </c>
      <c r="H18" s="48" t="n">
        <v>47483</v>
      </c>
      <c r="I18" s="49" t="n">
        <v>4.1</v>
      </c>
      <c r="J18" s="50" t="n">
        <v>990.29</v>
      </c>
      <c r="K18" s="50" t="n">
        <f aca="false">IF(J18&gt;0,J18*F18,0)</f>
        <v>341154.905</v>
      </c>
      <c r="L18" s="50" t="n">
        <v>-137802.12</v>
      </c>
      <c r="M18" s="50" t="n">
        <v>8946.12</v>
      </c>
      <c r="N18" s="50" t="n">
        <v>5704.92</v>
      </c>
      <c r="O18" s="50" t="n">
        <v>0</v>
      </c>
      <c r="P18" s="50" t="n">
        <v>6060</v>
      </c>
      <c r="Q18" s="50" t="n">
        <f aca="false">K18+L18+M18+N18+O18+P18</f>
        <v>224063.825</v>
      </c>
      <c r="R18" s="45" t="n">
        <v>2</v>
      </c>
      <c r="S18" s="30" t="s">
        <v>125</v>
      </c>
      <c r="T18" s="48" t="n">
        <v>46357</v>
      </c>
      <c r="U18" s="30" t="s">
        <v>126</v>
      </c>
      <c r="V18" s="51" t="n">
        <f aca="true">IFERROR(MAX((H18-TODAY())/365.25,0),0)</f>
        <v>3.24709103353867</v>
      </c>
      <c r="W18" s="47" t="n">
        <f aca="false">F18*V18</f>
        <v>1118.62286105407</v>
      </c>
      <c r="X18" s="50" t="n">
        <v>990</v>
      </c>
      <c r="Y18" s="50" t="n">
        <f aca="false">IF(J18&gt;0,J18-X18,0)</f>
        <v>0.289999999999964</v>
      </c>
      <c r="Z18" s="52" t="n">
        <f aca="false">IFERROR(IF(J18&gt;0,(J18-X18)/X18,0),0)</f>
        <v>0.000292929292929256</v>
      </c>
      <c r="AA18" s="50" t="s">
        <v>167</v>
      </c>
      <c r="AB18" s="30" t="s">
        <v>200</v>
      </c>
      <c r="AC18" s="41" t="str">
        <f aca="true">IF(AD18="","VACANT",IF(AD18&lt;TODAY(),"EXPIRED","ACTIVE"))</f>
        <v>ACTIVE</v>
      </c>
      <c r="AD18" s="53" t="n">
        <v>47483</v>
      </c>
      <c r="AE18" s="43" t="n">
        <v>990.29</v>
      </c>
      <c r="AF18" s="44" t="s">
        <v>198</v>
      </c>
    </row>
    <row r="19" customFormat="false" ht="15.75" hidden="false" customHeight="true" outlineLevel="0" collapsed="false">
      <c r="A19" s="22" t="s">
        <v>201</v>
      </c>
      <c r="B19" s="22" t="s">
        <v>191</v>
      </c>
      <c r="C19" s="22" t="s">
        <v>202</v>
      </c>
      <c r="D19" s="34" t="s">
        <v>203</v>
      </c>
      <c r="E19" s="34" t="s">
        <v>204</v>
      </c>
      <c r="F19" s="35" t="n">
        <v>536</v>
      </c>
      <c r="G19" s="36" t="n">
        <v>45642</v>
      </c>
      <c r="H19" s="36" t="n">
        <v>47832</v>
      </c>
      <c r="I19" s="37" t="n">
        <v>6</v>
      </c>
      <c r="J19" s="38" t="n">
        <v>988</v>
      </c>
      <c r="K19" s="38" t="n">
        <f aca="false">IF(J19&gt;0,J19*F19,0)</f>
        <v>529568</v>
      </c>
      <c r="L19" s="38" t="n">
        <v>-51200.76</v>
      </c>
      <c r="M19" s="38" t="n">
        <v>24542.16</v>
      </c>
      <c r="N19" s="38" t="n">
        <v>8876.16</v>
      </c>
      <c r="O19" s="38" t="n">
        <v>96647.64</v>
      </c>
      <c r="P19" s="38" t="n">
        <v>30300</v>
      </c>
      <c r="Q19" s="38" t="n">
        <f aca="false">K19+L19+M19+N19+O19+P19</f>
        <v>638733.2</v>
      </c>
      <c r="R19" s="22" t="n">
        <v>10</v>
      </c>
      <c r="S19" s="23" t="s">
        <v>98</v>
      </c>
      <c r="T19" s="36" t="n">
        <v>46372</v>
      </c>
      <c r="U19" s="23" t="s">
        <v>126</v>
      </c>
      <c r="V19" s="39" t="n">
        <f aca="true">IFERROR(MAX((H19-TODAY())/365.25,0),0)</f>
        <v>4.20260095824778</v>
      </c>
      <c r="W19" s="35" t="n">
        <f aca="false">F19*V19</f>
        <v>2252.59411362081</v>
      </c>
      <c r="X19" s="38" t="n">
        <v>1010</v>
      </c>
      <c r="Y19" s="38" t="n">
        <f aca="false">IF(J19&gt;0,J19-X19,0)</f>
        <v>-22</v>
      </c>
      <c r="Z19" s="40" t="n">
        <f aca="false">IFERROR(IF(J19&gt;0,(J19-X19)/X19,0),0)</f>
        <v>-0.0217821782178218</v>
      </c>
      <c r="AA19" s="38" t="s">
        <v>205</v>
      </c>
      <c r="AB19" s="23" t="s">
        <v>206</v>
      </c>
      <c r="AC19" s="41" t="str">
        <f aca="true">IF(AD19="","VACANT",IF(AD19&lt;TODAY(),"EXPIRED","ACTIVE"))</f>
        <v>ACTIVE</v>
      </c>
      <c r="AD19" s="42" t="n">
        <v>47832</v>
      </c>
      <c r="AE19" s="43" t="n">
        <v>988</v>
      </c>
      <c r="AF19" s="44" t="s">
        <v>207</v>
      </c>
    </row>
    <row r="20" customFormat="false" ht="15.75" hidden="false" customHeight="true" outlineLevel="0" collapsed="false">
      <c r="A20" s="62" t="s">
        <v>208</v>
      </c>
      <c r="B20" s="62" t="s">
        <v>137</v>
      </c>
      <c r="C20" s="62" t="s">
        <v>209</v>
      </c>
      <c r="D20" s="63" t="s">
        <v>210</v>
      </c>
      <c r="E20" s="63" t="s">
        <v>210</v>
      </c>
      <c r="F20" s="64" t="n">
        <v>186.4</v>
      </c>
      <c r="G20" s="48" t="n">
        <v>46204</v>
      </c>
      <c r="H20" s="48" t="n">
        <v>48395</v>
      </c>
      <c r="I20" s="62" t="n">
        <v>6</v>
      </c>
      <c r="J20" s="62" t="n">
        <v>920</v>
      </c>
      <c r="K20" s="65" t="n">
        <f aca="false">IF(J20&gt;0,J20*F20,0)</f>
        <v>171488</v>
      </c>
      <c r="L20" s="62" t="n">
        <v>-512255</v>
      </c>
      <c r="M20" s="66"/>
      <c r="N20" s="66"/>
      <c r="O20" s="66"/>
      <c r="P20" s="66"/>
      <c r="Q20" s="65" t="n">
        <f aca="false">K20+L20+M20+N20+O20+P20</f>
        <v>-340767</v>
      </c>
      <c r="R20" s="66"/>
      <c r="S20" s="66"/>
      <c r="T20" s="66"/>
      <c r="U20" s="66"/>
      <c r="V20" s="67" t="n">
        <f aca="true">IFERROR(MAX((H20-TODAY())/365.25,0),0)</f>
        <v>5.74401095140315</v>
      </c>
      <c r="W20" s="64" t="n">
        <f aca="false">F20*V20</f>
        <v>1070.68364134155</v>
      </c>
      <c r="X20" s="66"/>
      <c r="Y20" s="65" t="n">
        <f aca="false">IF(J20&gt;0,J20-X20,0)</f>
        <v>920</v>
      </c>
      <c r="Z20" s="68" t="n">
        <f aca="false">IFERROR(IF(J20&gt;0,(J20-X20)/X20,0),0)</f>
        <v>0</v>
      </c>
      <c r="AA20" s="66"/>
      <c r="AB20" s="62" t="s">
        <v>211</v>
      </c>
      <c r="AC20" s="63" t="str">
        <f aca="true">IF(AD20="","VACANT",IF(AD20&lt;TODAY(),"EXPIRED","ACTIVE"))</f>
        <v>ACTIVE</v>
      </c>
      <c r="AD20" s="53" t="n">
        <v>48395</v>
      </c>
      <c r="AE20" s="43" t="n">
        <v>920</v>
      </c>
      <c r="AF20" s="44" t="s">
        <v>212</v>
      </c>
    </row>
    <row r="21" customFormat="false" ht="15.75" hidden="false" customHeight="true" outlineLevel="0" collapsed="false">
      <c r="A21" s="62" t="s">
        <v>213</v>
      </c>
      <c r="B21" s="62" t="s">
        <v>214</v>
      </c>
      <c r="C21" s="62" t="s">
        <v>215</v>
      </c>
      <c r="D21" s="63" t="s">
        <v>216</v>
      </c>
      <c r="E21" s="69"/>
      <c r="F21" s="64" t="n">
        <v>438</v>
      </c>
      <c r="G21" s="70"/>
      <c r="H21" s="70"/>
      <c r="I21" s="66"/>
      <c r="J21" s="66"/>
      <c r="K21" s="65" t="n">
        <f aca="false">IF(J21&gt;0,J21*F21,0)</f>
        <v>0</v>
      </c>
      <c r="L21" s="66"/>
      <c r="M21" s="66"/>
      <c r="N21" s="66"/>
      <c r="O21" s="66"/>
      <c r="P21" s="66"/>
      <c r="Q21" s="65" t="n">
        <f aca="false">K21+L21+M21+N21+O21+P21</f>
        <v>0</v>
      </c>
      <c r="R21" s="66"/>
      <c r="S21" s="66"/>
      <c r="T21" s="66"/>
      <c r="U21" s="66"/>
      <c r="V21" s="67" t="n">
        <f aca="true">IFERROR(MAX((H21-TODAY())/365.25,0),0)</f>
        <v>0</v>
      </c>
      <c r="W21" s="64" t="n">
        <f aca="false">F21*V21</f>
        <v>0</v>
      </c>
      <c r="X21" s="66"/>
      <c r="Y21" s="65" t="n">
        <f aca="false">IF(J21&gt;0,J21-X21,0)</f>
        <v>0</v>
      </c>
      <c r="Z21" s="68" t="n">
        <f aca="false">IFERROR(IF(J21&gt;0,(J21-X21)/X21,0),0)</f>
        <v>0</v>
      </c>
      <c r="AA21" s="66"/>
      <c r="AB21" s="66"/>
      <c r="AC21" s="63" t="str">
        <f aca="true">IF(AD21="","VACANT",IF(AD21&lt;TODAY(),"EXPIRED","ACTIVE"))</f>
        <v>VACANT</v>
      </c>
      <c r="AD21" s="71"/>
      <c r="AE21" s="43" t="n">
        <v>0</v>
      </c>
      <c r="AF21" s="44" t="s">
        <v>216</v>
      </c>
    </row>
    <row r="22" customFormat="false" ht="15.75" hidden="false" customHeight="true" outlineLevel="0" collapsed="false">
      <c r="A22" s="62" t="s">
        <v>217</v>
      </c>
      <c r="B22" s="62" t="s">
        <v>214</v>
      </c>
      <c r="C22" s="62" t="s">
        <v>218</v>
      </c>
      <c r="D22" s="63" t="s">
        <v>216</v>
      </c>
      <c r="E22" s="69"/>
      <c r="F22" s="64" t="n">
        <v>349</v>
      </c>
      <c r="G22" s="70"/>
      <c r="H22" s="70"/>
      <c r="I22" s="66"/>
      <c r="J22" s="66"/>
      <c r="K22" s="65" t="n">
        <f aca="false">IF(J22&gt;0,J22*F22,0)</f>
        <v>0</v>
      </c>
      <c r="L22" s="66"/>
      <c r="M22" s="66"/>
      <c r="N22" s="66"/>
      <c r="O22" s="66"/>
      <c r="P22" s="66"/>
      <c r="Q22" s="65" t="n">
        <f aca="false">K22+L22+M22+N22+O22+P22</f>
        <v>0</v>
      </c>
      <c r="R22" s="66"/>
      <c r="S22" s="66"/>
      <c r="T22" s="66"/>
      <c r="U22" s="66"/>
      <c r="V22" s="67" t="n">
        <f aca="true">IFERROR(MAX((H22-TODAY())/365.25,0),0)</f>
        <v>0</v>
      </c>
      <c r="W22" s="64" t="n">
        <f aca="false">F22*V22</f>
        <v>0</v>
      </c>
      <c r="X22" s="66"/>
      <c r="Y22" s="65" t="n">
        <f aca="false">IF(J22&gt;0,J22-X22,0)</f>
        <v>0</v>
      </c>
      <c r="Z22" s="68" t="n">
        <f aca="false">IFERROR(IF(J22&gt;0,(J22-X22)/X22,0),0)</f>
        <v>0</v>
      </c>
      <c r="AA22" s="66"/>
      <c r="AB22" s="66"/>
      <c r="AC22" s="63" t="str">
        <f aca="true">IF(AD22="","VACANT",IF(AD22&lt;TODAY(),"EXPIRED","ACTIVE"))</f>
        <v>VACANT</v>
      </c>
      <c r="AD22" s="72"/>
      <c r="AE22" s="43" t="n">
        <v>0</v>
      </c>
      <c r="AF22" s="44" t="s">
        <v>216</v>
      </c>
    </row>
    <row r="23" customFormat="false" ht="15" hidden="false" customHeight="true" outlineLevel="0" collapsed="false">
      <c r="A23" s="45" t="s">
        <v>219</v>
      </c>
      <c r="B23" s="45" t="s">
        <v>220</v>
      </c>
      <c r="C23" s="45" t="s">
        <v>221</v>
      </c>
      <c r="D23" s="46" t="s">
        <v>222</v>
      </c>
      <c r="E23" s="46" t="s">
        <v>223</v>
      </c>
      <c r="F23" s="47" t="n">
        <v>242.5</v>
      </c>
      <c r="G23" s="48" t="n">
        <v>46296</v>
      </c>
      <c r="H23" s="48" t="n">
        <v>48121</v>
      </c>
      <c r="I23" s="49" t="n">
        <v>5</v>
      </c>
      <c r="J23" s="50" t="n">
        <v>1060</v>
      </c>
      <c r="K23" s="50" t="n">
        <f aca="false">IF(J23&gt;0,J23*F23,0)</f>
        <v>257050</v>
      </c>
      <c r="L23" s="50" t="n">
        <v>-25705</v>
      </c>
      <c r="M23" s="50" t="n">
        <v>9728.72</v>
      </c>
      <c r="N23" s="50" t="n">
        <v>4015.8</v>
      </c>
      <c r="O23" s="50" t="n">
        <v>15600</v>
      </c>
      <c r="P23" s="50" t="n">
        <v>6060</v>
      </c>
      <c r="Q23" s="50" t="n">
        <f aca="false">K23+L23+M23+N23+O23+P23</f>
        <v>266749.52</v>
      </c>
      <c r="R23" s="45" t="n">
        <v>2</v>
      </c>
      <c r="S23" s="30" t="s">
        <v>141</v>
      </c>
      <c r="T23" s="48" t="n">
        <v>46661</v>
      </c>
      <c r="U23" s="30" t="s">
        <v>126</v>
      </c>
      <c r="V23" s="51" t="n">
        <f aca="true">IFERROR(MAX((H23-TODAY())/365.25,0),0)</f>
        <v>4.99383983572895</v>
      </c>
      <c r="W23" s="47" t="n">
        <f aca="false">F23*V23</f>
        <v>1211.00616016427</v>
      </c>
      <c r="X23" s="50" t="n">
        <v>1060</v>
      </c>
      <c r="Y23" s="50" t="n">
        <f aca="false">IF(J23&gt;0,J23-X23,0)</f>
        <v>0</v>
      </c>
      <c r="Z23" s="52" t="n">
        <f aca="false">IFERROR(IF(J23&gt;0,(J23-X23)/X23,0),0)</f>
        <v>0</v>
      </c>
      <c r="AA23" s="50" t="n">
        <v>181149</v>
      </c>
      <c r="AB23" s="30" t="s">
        <v>224</v>
      </c>
      <c r="AC23" s="41" t="str">
        <f aca="true">IF(AD23="","VACANT",IF(AD23&lt;TODAY(),"EXPIRED","ACTIVE"))</f>
        <v>ACTIVE</v>
      </c>
      <c r="AD23" s="53" t="n">
        <v>48121</v>
      </c>
      <c r="AE23" s="43" t="n">
        <v>1060</v>
      </c>
      <c r="AF23" s="44" t="s">
        <v>222</v>
      </c>
    </row>
    <row r="24" customFormat="false" ht="19.5" hidden="false" customHeight="true" outlineLevel="0" collapsed="false">
      <c r="A24" s="22" t="s">
        <v>225</v>
      </c>
      <c r="B24" s="22" t="s">
        <v>220</v>
      </c>
      <c r="C24" s="22" t="s">
        <v>226</v>
      </c>
      <c r="D24" s="34" t="s">
        <v>227</v>
      </c>
      <c r="E24" s="34" t="s">
        <v>227</v>
      </c>
      <c r="F24" s="35" t="n">
        <v>548</v>
      </c>
      <c r="G24" s="36" t="n">
        <v>46296</v>
      </c>
      <c r="H24" s="36" t="n">
        <v>49582</v>
      </c>
      <c r="I24" s="37" t="n">
        <v>6</v>
      </c>
      <c r="J24" s="38" t="n">
        <v>1040</v>
      </c>
      <c r="K24" s="38" t="n">
        <f aca="false">IF(J24&gt;0,J24*F24,0)</f>
        <v>569920</v>
      </c>
      <c r="L24" s="38" t="n">
        <v>-671072</v>
      </c>
      <c r="M24" s="38"/>
      <c r="N24" s="38"/>
      <c r="O24" s="38"/>
      <c r="P24" s="38"/>
      <c r="Q24" s="38" t="n">
        <f aca="false">K24+L24+M24+N24+O24+P24</f>
        <v>-101152</v>
      </c>
      <c r="R24" s="22"/>
      <c r="S24" s="23" t="s">
        <v>125</v>
      </c>
      <c r="T24" s="36" t="n">
        <v>46661</v>
      </c>
      <c r="U24" s="23"/>
      <c r="V24" s="39" t="n">
        <f aca="true">IFERROR(MAX((H24-TODAY())/365.25,0),0)</f>
        <v>8.99383983572895</v>
      </c>
      <c r="W24" s="35" t="n">
        <f aca="false">F24*V24</f>
        <v>4928.62422997947</v>
      </c>
      <c r="X24" s="38" t="n">
        <v>1040</v>
      </c>
      <c r="Y24" s="38" t="n">
        <f aca="false">IF(J24&gt;0,J24-X24,0)</f>
        <v>0</v>
      </c>
      <c r="Z24" s="40" t="n">
        <f aca="false">IFERROR(IF(J24&gt;0,(J24-X24)/X24,0),0)</f>
        <v>0</v>
      </c>
      <c r="AA24" s="38"/>
      <c r="AB24" s="23" t="s">
        <v>228</v>
      </c>
      <c r="AC24" s="41" t="str">
        <f aca="true">IF(AD24="","VACANT",IF(AD24&lt;TODAY(),"EXPIRED","ACTIVE"))</f>
        <v>ACTIVE</v>
      </c>
      <c r="AD24" s="73" t="n">
        <v>49582</v>
      </c>
      <c r="AE24" s="43" t="n">
        <v>1040</v>
      </c>
      <c r="AF24" s="44" t="s">
        <v>229</v>
      </c>
    </row>
    <row r="25" customFormat="false" ht="24" hidden="false" customHeight="true" outlineLevel="0" collapsed="false">
      <c r="A25" s="74" t="s">
        <v>230</v>
      </c>
      <c r="B25" s="74"/>
      <c r="C25" s="74"/>
      <c r="D25" s="74"/>
      <c r="E25" s="74"/>
      <c r="F25" s="75" t="n">
        <f aca="false">SUM(F3:F24)</f>
        <v>8940.9</v>
      </c>
      <c r="G25" s="74"/>
      <c r="H25" s="74"/>
      <c r="I25" s="74"/>
      <c r="J25" s="74"/>
      <c r="K25" s="76" t="n">
        <f aca="false">SUM(K3:K24)</f>
        <v>7981402.043</v>
      </c>
      <c r="L25" s="76" t="n">
        <f aca="false">SUM(L3:L24)</f>
        <v>-2682960.91</v>
      </c>
      <c r="M25" s="74"/>
      <c r="N25" s="74"/>
      <c r="O25" s="74"/>
      <c r="P25" s="74"/>
      <c r="Q25" s="76" t="n">
        <f aca="false">SUM(Q3:Q24)</f>
        <v>6047566.053</v>
      </c>
      <c r="R25" s="74"/>
      <c r="S25" s="74"/>
      <c r="T25" s="74"/>
      <c r="U25" s="74"/>
      <c r="V25" s="77" t="n">
        <f aca="true">IFERROR(SUMPRODUCT((H3:H24&lt;&gt;"")*F3:F24*MAX((H3:H24-TODAY())/365.25,0))/SUMPRODUCT((H3:H24&lt;&gt;"")*F3:F24),0)</f>
        <v>8.99383983572895</v>
      </c>
      <c r="W25" s="75" t="n">
        <f aca="false">SUM(W3:W24)</f>
        <v>31823.2654346338</v>
      </c>
      <c r="X25" s="74"/>
      <c r="Y25" s="74"/>
      <c r="Z25" s="74"/>
      <c r="AA25" s="74"/>
      <c r="AB25" s="74"/>
      <c r="AC25" s="10"/>
      <c r="AD25" s="10"/>
      <c r="AE25" s="10"/>
      <c r="AF25" s="10"/>
    </row>
    <row r="26" customFormat="false" ht="14.25" hidden="false" customHeight="true" outlineLevel="0" collapsed="false">
      <c r="A26" s="74" t="s">
        <v>231</v>
      </c>
      <c r="B26" s="10"/>
      <c r="C26" s="10"/>
      <c r="D26" s="78" t="s">
        <v>232</v>
      </c>
      <c r="E26" s="79" t="n">
        <f aca="false">SUMPRODUCT((H3:H24&lt;&gt;"")*F3:F24)</f>
        <v>8153.9</v>
      </c>
      <c r="F26" s="78" t="s">
        <v>233</v>
      </c>
      <c r="G26" s="79" t="n">
        <f aca="false">SUMPRODUCT((H3:H24="")*F3:F24)</f>
        <v>787</v>
      </c>
      <c r="H26" s="78" t="s">
        <v>234</v>
      </c>
      <c r="I26" s="79" t="n">
        <f aca="false">SUM(F3:F24)</f>
        <v>8940.9</v>
      </c>
      <c r="J26" s="78" t="s">
        <v>235</v>
      </c>
      <c r="K26" s="80" t="n">
        <f aca="false">IFERROR(E26/I26,0)</f>
        <v>0.91197754141082</v>
      </c>
      <c r="L26" s="78" t="s">
        <v>236</v>
      </c>
      <c r="M26" s="80" t="n">
        <f aca="false">IFERROR(G26/I26,0)</f>
        <v>0.0880224585891801</v>
      </c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</row>
    <row r="28" customFormat="false" ht="14.25" hidden="false" customHeight="true" outlineLevel="0" collapsed="false">
      <c r="F28" s="81" t="n">
        <f aca="false">F23/F25</f>
        <v>0.0271225491840866</v>
      </c>
    </row>
  </sheetData>
  <mergeCells count="2">
    <mergeCell ref="A1:AB1"/>
    <mergeCell ref="A25:E25"/>
  </mergeCells>
  <printOptions headings="false" gridLines="false" gridLinesSet="true" horizontalCentered="false" verticalCentered="false"/>
  <pageMargins left="0.75" right="0.75" top="1" bottom="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&amp;C&amp;"Georgia,Regular"Goldberg Family Office</oddHeader>
    <oddFooter>&amp;C&amp;"Georgia,Regular"Prepared by jake goldberg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92"/>
  <sheetViews>
    <sheetView showFormulas="false" showGridLines="false" showRowColHeaders="true" showZeros="true" rightToLeft="false" tabSelected="false" showOutlineSymbols="true" defaultGridColor="true" view="normal" topLeftCell="A1" colorId="64" zoomScale="84" zoomScaleNormal="84" zoomScalePageLayoutView="100" workbookViewId="0">
      <selection pane="topLeft" activeCell="S17" activeCellId="0" sqref="S17"/>
    </sheetView>
  </sheetViews>
  <sheetFormatPr defaultColWidth="8.6328125" defaultRowHeight="14.25" zeroHeight="false" outlineLevelRow="0" outlineLevelCol="0"/>
  <cols>
    <col collapsed="false" customWidth="true" hidden="false" outlineLevel="0" max="1" min="1" style="1" width="1.45"/>
    <col collapsed="false" customWidth="true" hidden="false" outlineLevel="0" max="13" min="2" style="1" width="14"/>
    <col collapsed="false" customWidth="true" hidden="false" outlineLevel="0" max="14" min="14" style="1" width="1.45"/>
  </cols>
  <sheetData>
    <row r="1" customFormat="false" ht="36" hidden="false" customHeight="true" outlineLevel="0" collapsed="false">
      <c r="A1" s="82" t="s">
        <v>237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</row>
    <row r="2" customFormat="false" ht="18" hidden="false" customHeight="true" outlineLevel="0" collapsed="false">
      <c r="A2" s="83" t="s">
        <v>238</v>
      </c>
      <c r="B2" s="83"/>
      <c r="C2" s="83"/>
      <c r="D2" s="83"/>
      <c r="E2" s="83"/>
      <c r="F2" s="83"/>
      <c r="G2" s="83"/>
      <c r="H2" s="83"/>
      <c r="I2" s="83"/>
      <c r="J2" s="83"/>
      <c r="K2" s="83"/>
      <c r="L2" s="83"/>
      <c r="M2" s="83"/>
      <c r="N2" s="83"/>
    </row>
    <row r="3" customFormat="false" ht="7.5" hidden="false" customHeight="true" outlineLevel="0" collapsed="false">
      <c r="A3" s="10"/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</row>
    <row r="4" customFormat="false" ht="19.5" hidden="false" customHeight="true" outlineLevel="0" collapsed="false">
      <c r="A4" s="10"/>
      <c r="B4" s="84" t="s">
        <v>239</v>
      </c>
      <c r="C4" s="84"/>
      <c r="D4" s="85" t="s">
        <v>240</v>
      </c>
      <c r="E4" s="85"/>
      <c r="F4" s="86" t="s">
        <v>241</v>
      </c>
      <c r="G4" s="86"/>
      <c r="H4" s="85" t="s">
        <v>242</v>
      </c>
      <c r="I4" s="85"/>
      <c r="J4" s="87" t="s">
        <v>243</v>
      </c>
      <c r="K4" s="87"/>
      <c r="L4" s="88" t="s">
        <v>244</v>
      </c>
      <c r="M4" s="88"/>
      <c r="N4" s="10"/>
    </row>
    <row r="5" customFormat="false" ht="27.75" hidden="false" customHeight="true" outlineLevel="0" collapsed="false">
      <c r="A5" s="10"/>
      <c r="B5" s="89" t="n">
        <f aca="false">SUM('Input Data'!F3:F24)</f>
        <v>8940.9</v>
      </c>
      <c r="C5" s="89"/>
      <c r="D5" s="90" t="n">
        <f aca="false">SUMPRODUCT(('Input Data'!H3:H24&lt;&gt;"")*'Input Data'!F3:F24)</f>
        <v>8153.9</v>
      </c>
      <c r="E5" s="90"/>
      <c r="F5" s="91" t="n">
        <f aca="false">SUMPRODUCT(('Input Data'!H3:H24="")*'Input Data'!F3:F24)</f>
        <v>787</v>
      </c>
      <c r="G5" s="91"/>
      <c r="H5" s="92" t="n">
        <f aca="false">IFERROR(SUMPRODUCT(('Input Data'!H3:H24&lt;&gt;"")*'Input Data'!F3:F24)/SUM('Input Data'!F3:F24),0)</f>
        <v>0.91197754141082</v>
      </c>
      <c r="I5" s="92"/>
      <c r="J5" s="93" t="n">
        <f aca="false">IFERROR(SUMPRODUCT(('Input Data'!H3:H24="")*'Input Data'!F3:F24)/SUM('Input Data'!F3:F24),0)</f>
        <v>0.0880224585891801</v>
      </c>
      <c r="K5" s="93"/>
      <c r="L5" s="94" t="s">
        <v>245</v>
      </c>
      <c r="M5" s="94"/>
      <c r="N5" s="10"/>
    </row>
    <row r="6" customFormat="false" ht="18" hidden="false" customHeight="true" outlineLevel="0" collapsed="false">
      <c r="A6" s="10"/>
      <c r="B6" s="95"/>
      <c r="C6" s="95"/>
      <c r="D6" s="96"/>
      <c r="E6" s="96"/>
      <c r="F6" s="97"/>
      <c r="G6" s="97"/>
      <c r="H6" s="96"/>
      <c r="I6" s="96"/>
      <c r="J6" s="98"/>
      <c r="K6" s="98"/>
      <c r="L6" s="99"/>
      <c r="M6" s="99"/>
      <c r="N6" s="10"/>
    </row>
    <row r="7" customFormat="false" ht="7.5" hidden="false" customHeight="true" outlineLevel="0" collapsed="false">
      <c r="A7" s="10"/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</row>
    <row r="8" customFormat="false" ht="19.5" hidden="false" customHeight="true" outlineLevel="0" collapsed="false">
      <c r="A8" s="10"/>
      <c r="B8" s="88" t="s">
        <v>246</v>
      </c>
      <c r="C8" s="88"/>
      <c r="D8" s="84" t="s">
        <v>247</v>
      </c>
      <c r="E8" s="84"/>
      <c r="F8" s="86" t="s">
        <v>248</v>
      </c>
      <c r="G8" s="86"/>
      <c r="H8" s="88" t="s">
        <v>249</v>
      </c>
      <c r="I8" s="88"/>
      <c r="J8" s="88" t="s">
        <v>250</v>
      </c>
      <c r="K8" s="88"/>
      <c r="L8" s="88" t="s">
        <v>251</v>
      </c>
      <c r="M8" s="88"/>
      <c r="N8" s="10"/>
    </row>
    <row r="9" customFormat="false" ht="27.75" hidden="false" customHeight="true" outlineLevel="0" collapsed="false">
      <c r="A9" s="10"/>
      <c r="B9" s="100" t="n">
        <f aca="false">SUM('Input Data'!K3:K24)</f>
        <v>7981402.043</v>
      </c>
      <c r="C9" s="100"/>
      <c r="D9" s="101" t="n">
        <f aca="false">SUM('Input Data'!Q3:Q24)</f>
        <v>6047566.053</v>
      </c>
      <c r="E9" s="101"/>
      <c r="F9" s="102" t="n">
        <f aca="false">SUM('Input Data'!L3:L24)</f>
        <v>-2682960.91</v>
      </c>
      <c r="G9" s="102"/>
      <c r="H9" s="103" t="n">
        <f aca="false">E14</f>
        <v>3.94747670687775</v>
      </c>
      <c r="I9" s="103"/>
      <c r="J9" s="103" t="n">
        <f aca="false">E15</f>
        <v>3.84092880318055</v>
      </c>
      <c r="K9" s="103"/>
      <c r="L9" s="104" t="s">
        <v>252</v>
      </c>
      <c r="M9" s="104"/>
      <c r="N9" s="10"/>
    </row>
    <row r="10" customFormat="false" ht="18" hidden="false" customHeight="true" outlineLevel="0" collapsed="false">
      <c r="A10" s="10"/>
      <c r="B10" s="99"/>
      <c r="C10" s="99"/>
      <c r="D10" s="95"/>
      <c r="E10" s="95"/>
      <c r="F10" s="97"/>
      <c r="G10" s="97"/>
      <c r="H10" s="99"/>
      <c r="I10" s="99"/>
      <c r="J10" s="99"/>
      <c r="K10" s="99"/>
      <c r="L10" s="99"/>
      <c r="M10" s="99"/>
      <c r="N10" s="10"/>
    </row>
    <row r="11" customFormat="false" ht="7.5" hidden="false" customHeight="true" outlineLevel="0" collapsed="false">
      <c r="A11" s="10"/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</row>
    <row r="12" customFormat="false" ht="19.5" hidden="false" customHeight="true" outlineLevel="0" collapsed="false">
      <c r="A12" s="10"/>
      <c r="B12" s="11" t="s">
        <v>253</v>
      </c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0"/>
    </row>
    <row r="13" customFormat="false" ht="19.5" hidden="false" customHeight="true" outlineLevel="0" collapsed="false">
      <c r="A13" s="10"/>
      <c r="B13" s="19" t="s">
        <v>254</v>
      </c>
      <c r="C13" s="19"/>
      <c r="D13" s="19"/>
      <c r="E13" s="19" t="s">
        <v>255</v>
      </c>
      <c r="F13" s="19" t="s">
        <v>256</v>
      </c>
      <c r="G13" s="19"/>
      <c r="H13" s="19"/>
      <c r="I13" s="19"/>
      <c r="J13" s="19"/>
      <c r="K13" s="19"/>
      <c r="L13" s="19"/>
      <c r="M13" s="19"/>
      <c r="N13" s="10"/>
    </row>
    <row r="14" customFormat="false" ht="18" hidden="false" customHeight="true" outlineLevel="0" collapsed="false">
      <c r="A14" s="10"/>
      <c r="B14" s="12" t="s">
        <v>249</v>
      </c>
      <c r="C14" s="12"/>
      <c r="D14" s="12"/>
      <c r="E14" s="105" t="n">
        <f aca="true">IFERROR(SUMPRODUCT(('Input Data'!AD3:AD24&gt;TODAY())*('Input Data'!AE3:AE24&gt;0)*'Input Data'!F3:F24*('Input Data'!AD3:AD24-TODAY())/365.25)/SUMPRODUCT(('Input Data'!AD3:AD24&gt;TODAY())*('Input Data'!AE3:AE24&gt;0)*'Input Data'!F3:F24),0)</f>
        <v>3.94747670687775</v>
      </c>
      <c r="F14" s="23" t="s">
        <v>257</v>
      </c>
      <c r="G14" s="23"/>
      <c r="H14" s="23"/>
      <c r="I14" s="23"/>
      <c r="J14" s="23"/>
      <c r="K14" s="23"/>
      <c r="L14" s="23"/>
      <c r="M14" s="23"/>
      <c r="N14" s="10"/>
    </row>
    <row r="15" customFormat="false" ht="18" hidden="false" customHeight="true" outlineLevel="0" collapsed="false">
      <c r="A15" s="10"/>
      <c r="B15" s="106" t="s">
        <v>250</v>
      </c>
      <c r="C15" s="106"/>
      <c r="D15" s="106"/>
      <c r="E15" s="107" t="n">
        <f aca="true">IFERROR(SUMPRODUCT(('Input Data'!AD3:AD24&gt;TODAY())*('Input Data'!AE3:AE24&gt;0)*'Input Data'!AE3:AE24*'Input Data'!F3:F24*('Input Data'!AD3:AD24-TODAY())/365.25)/SUMPRODUCT(('Input Data'!AD3:AD24&gt;TODAY())*('Input Data'!AE3:AE24&gt;0)*'Input Data'!AE3:AE24*'Input Data'!F3:F24),0)</f>
        <v>3.84092880318055</v>
      </c>
      <c r="F15" s="108" t="s">
        <v>258</v>
      </c>
      <c r="G15" s="108"/>
      <c r="H15" s="108"/>
      <c r="I15" s="108"/>
      <c r="J15" s="108"/>
      <c r="K15" s="108"/>
      <c r="L15" s="108"/>
      <c r="M15" s="108"/>
      <c r="N15" s="10"/>
    </row>
    <row r="16" customFormat="false" ht="7.5" hidden="false" customHeight="true" outlineLevel="0" collapsed="false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</row>
    <row r="17" customFormat="false" ht="19.5" hidden="false" customHeight="true" outlineLevel="0" collapsed="false">
      <c r="A17" s="10"/>
      <c r="B17" s="11" t="s">
        <v>259</v>
      </c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0"/>
    </row>
    <row r="18" customFormat="false" ht="19.5" hidden="false" customHeight="true" outlineLevel="0" collapsed="false">
      <c r="A18" s="10"/>
      <c r="B18" s="19" t="s">
        <v>260</v>
      </c>
      <c r="C18" s="19"/>
      <c r="D18" s="19" t="s">
        <v>261</v>
      </c>
      <c r="E18" s="19"/>
      <c r="F18" s="19" t="s">
        <v>262</v>
      </c>
      <c r="G18" s="19" t="s">
        <v>66</v>
      </c>
      <c r="H18" s="19" t="s">
        <v>263</v>
      </c>
      <c r="I18" s="19" t="s">
        <v>264</v>
      </c>
      <c r="J18" s="19" t="s">
        <v>265</v>
      </c>
      <c r="K18" s="19"/>
      <c r="L18" s="19"/>
      <c r="M18" s="19"/>
      <c r="N18" s="10"/>
    </row>
    <row r="19" customFormat="false" ht="18" hidden="false" customHeight="true" outlineLevel="0" collapsed="false">
      <c r="A19" s="10"/>
      <c r="B19" s="109" t="s">
        <v>266</v>
      </c>
      <c r="C19" s="109"/>
      <c r="D19" s="110" t="n">
        <f aca="false">SUMPRODUCT(('Input Data'!AD3:AD24&lt;&gt;"")*('Input Data'!AD3:AD24&lt;=DATE(2026,12,31))*'Input Data'!AE3:AE24*'Input Data'!F3:F24)</f>
        <v>0</v>
      </c>
      <c r="E19" s="110"/>
      <c r="F19" s="111" t="n">
        <f aca="true">IFERROR(D19/(SUMPRODUCT(('Input Data'!AD3:AD24&gt;TODAY())*('Input Data'!AE3:AE24&gt;0)*'Input Data'!AE3:AE24*'Input Data'!F3:F24)),0)</f>
        <v>0</v>
      </c>
      <c r="G19" s="112" t="n">
        <f aca="false">SUMPRODUCT(('Input Data'!AD3:AD24&lt;&gt;"")*('Input Data'!AD3:AD24&lt;=DATE(2026,12,31))*'Input Data'!F3:F24)</f>
        <v>0</v>
      </c>
      <c r="H19" s="111" t="n">
        <f aca="true">IFERROR(G19/(SUMPRODUCT(('Input Data'!AD3:AD24&gt;TODAY())*('Input Data'!AE3:AE24&gt;0)*'Input Data'!F3:F24)),0)</f>
        <v>0</v>
      </c>
      <c r="I19" s="113" t="n">
        <f aca="false">SUMPRODUCT(('Input Data'!AD3:AD24&lt;&gt;"")*('Input Data'!AD3:AD24&lt;=DATE(2026,12,31))*1)</f>
        <v>0</v>
      </c>
      <c r="J19" s="114" t="str">
        <f aca="false">IFERROR(MID(IF(('Input Data'!AD3&lt;&gt;"")*('Input Data'!AD3&lt;=DATE(2026,12,31)),", "&amp;'Input Data'!AF3&amp;" ("&amp;'Input Data'!C3&amp;")","")&amp;IF(('Input Data'!AD4&lt;&gt;"")*('Input Data'!AD4&lt;=DATE(2026,12,31)),", "&amp;'Input Data'!AF4&amp;" ("&amp;'Input Data'!C4&amp;")","")&amp;IF(('Input Data'!AD5&lt;&gt;"")*('Input Data'!AD5&lt;=DATE(2026,12,31)),", "&amp;'Input Data'!AF5&amp;" ("&amp;'Input Data'!C5&amp;")","")&amp;IF(('Input Data'!AD6&lt;&gt;"")*('Input Data'!AD6&lt;=DATE(2026,12,31)),", "&amp;'Input Data'!AF6&amp;" ("&amp;'Input Data'!C6&amp;")","")&amp;IF(('Input Data'!AD7&lt;&gt;"")*('Input Data'!AD7&lt;=DATE(2026,12,31)),", "&amp;'Input Data'!AF7&amp;" ("&amp;'Input Data'!C7&amp;")","")&amp;IF(('Input Data'!AD8&lt;&gt;"")*('Input Data'!AD8&lt;=DATE(2026,12,31)),", "&amp;'Input Data'!AF8&amp;" ("&amp;'Input Data'!C8&amp;")","")&amp;IF(('Input Data'!AD9&lt;&gt;"")*('Input Data'!AD9&lt;=DATE(2026,12,31)),", "&amp;'Input Data'!AF9&amp;" ("&amp;'Input Data'!C9&amp;")","")&amp;IF(('Input Data'!AD10&lt;&gt;"")*('Input Data'!AD10&lt;=DATE(2026,12,31)),", "&amp;'Input Data'!AF10&amp;" ("&amp;'Input Data'!C10&amp;")","")&amp;IF(('Input Data'!AD11&lt;&gt;"")*('Input Data'!AD11&lt;=DATE(2026,12,31)),", "&amp;'Input Data'!AF11&amp;" ("&amp;'Input Data'!C11&amp;")","")&amp;IF(('Input Data'!AD12&lt;&gt;"")*('Input Data'!AD12&lt;=DATE(2026,12,31)),", "&amp;'Input Data'!AF12&amp;" ("&amp;'Input Data'!C12&amp;")","")&amp;IF(('Input Data'!AD13&lt;&gt;"")*('Input Data'!AD13&lt;=DATE(2026,12,31)),", "&amp;'Input Data'!AF13&amp;" ("&amp;'Input Data'!C13&amp;")","")&amp;IF(('Input Data'!AD14&lt;&gt;"")*('Input Data'!AD14&lt;=DATE(2026,12,31)),", "&amp;'Input Data'!AF14&amp;" ("&amp;'Input Data'!C14&amp;")","")&amp;IF(('Input Data'!AD15&lt;&gt;"")*('Input Data'!AD15&lt;=DATE(2026,12,31)),", "&amp;'Input Data'!AF15&amp;" ("&amp;'Input Data'!C15&amp;")","")&amp;IF(('Input Data'!AD16&lt;&gt;"")*('Input Data'!AD16&lt;=DATE(2026,12,31)),", "&amp;'Input Data'!AF16&amp;" ("&amp;'Input Data'!C16&amp;")","")&amp;IF(('Input Data'!AD17&lt;&gt;"")*('Input Data'!AD17&lt;=DATE(2026,12,31)),", "&amp;'Input Data'!AF17&amp;" ("&amp;'Input Data'!C17&amp;")","")&amp;IF(('Input Data'!AD18&lt;&gt;"")*('Input Data'!AD18&lt;=DATE(2026,12,31)),", "&amp;'Input Data'!AF18&amp;" ("&amp;'Input Data'!C18&amp;")","")&amp;IF(('Input Data'!AD19&lt;&gt;"")*('Input Data'!AD19&lt;=DATE(2026,12,31)),", "&amp;'Input Data'!AF19&amp;" ("&amp;'Input Data'!C19&amp;")","")&amp;IF(('Input Data'!AD20&lt;&gt;"")*('Input Data'!AD20&lt;=DATE(2026,12,31)),", "&amp;'Input Data'!AF20&amp;" ("&amp;'Input Data'!C20&amp;")","")&amp;IF(('Input Data'!AD21&lt;&gt;"")*('Input Data'!AD21&lt;=DATE(2026,12,31)),", "&amp;'Input Data'!AF21&amp;" ("&amp;'Input Data'!C21&amp;")","")&amp;IF(('Input Data'!AD22&lt;&gt;"")*('Input Data'!AD22&lt;=DATE(2026,12,31)),", "&amp;'Input Data'!AF22&amp;" ("&amp;'Input Data'!C22&amp;")","")&amp;IF(('Input Data'!AD23&lt;&gt;"")*('Input Data'!AD23&lt;=DATE(2026,12,31)),", "&amp;'Input Data'!AF23&amp;" ("&amp;'Input Data'!C23&amp;")","")&amp;IF(('Input Data'!AD24&lt;&gt;"")*('Input Data'!AD24&lt;=DATE(2026,12,31)),", "&amp;'Input Data'!AF24&amp;" ("&amp;'Input Data'!C24&amp;")",""),3,999),"—")</f>
        <v/>
      </c>
      <c r="K19" s="114"/>
      <c r="L19" s="114"/>
      <c r="M19" s="114"/>
      <c r="N19" s="10"/>
    </row>
    <row r="20" customFormat="false" ht="18" hidden="false" customHeight="true" outlineLevel="0" collapsed="false">
      <c r="A20" s="10"/>
      <c r="B20" s="115" t="s">
        <v>267</v>
      </c>
      <c r="C20" s="115"/>
      <c r="D20" s="116" t="n">
        <f aca="true" t="array" ref="D20:D20">SUMPRODUCT(('Input Data'!AD3:AD24&gt;TODAY())*(YEAR('Input Data'!AD3:AD24)=2027)*('Input Data'!AE3:AE24&gt;0)*'Input Data'!AE3:AE24*'Input Data'!F3:F24)</f>
        <v>683153.036</v>
      </c>
      <c r="E20" s="116"/>
      <c r="F20" s="117" t="n">
        <f aca="true">IFERROR(D20/(SUMPRODUCT(('Input Data'!AD3:AD24&gt;TODAY())*('Input Data'!AE3:AE24&gt;0)*'Input Data'!AE3:AE24*'Input Data'!F3:F24)),0)</f>
        <v>0.08559311162619</v>
      </c>
      <c r="G20" s="118" t="n">
        <f aca="true">SUMPRODUCT(('Input Data'!AD3:AD24&gt;TODAY())*(YEAR('Input Data'!AD3:AD24)=2027)*('Input Data'!AE3:AE24&gt;0)*'Input Data'!F3:F24)</f>
        <v>642.7</v>
      </c>
      <c r="H20" s="117" t="n">
        <f aca="true">IFERROR(G20/(SUMPRODUCT(('Input Data'!AD3:AD24&gt;TODAY())*('Input Data'!AE3:AE24&gt;0)*'Input Data'!F3:F24)),0)</f>
        <v>0.0825201581839659</v>
      </c>
      <c r="I20" s="119" t="n">
        <f aca="true">SUMPRODUCT(('Input Data'!AD3:AD24&gt;TODAY())*(YEAR('Input Data'!AD3:AD24)=2027)*('Input Data'!AE3:AE24&gt;0)*1)</f>
        <v>2</v>
      </c>
      <c r="J20" s="120" t="str">
        <f aca="true">IFERROR(MID(IF(('Input Data'!AD3&gt;TODAY())*(YEAR('Input Data'!AD3)=2027)*('Input Data'!AE3&gt;0),", "&amp;'Input Data'!AF3&amp;" ("&amp;'Input Data'!C3&amp;")","")&amp;IF(('Input Data'!AD4&gt;TODAY())*(YEAR('Input Data'!AD4)=2027)*('Input Data'!AE4&gt;0),", "&amp;'Input Data'!AF4&amp;" ("&amp;'Input Data'!C4&amp;")","")&amp;IF(('Input Data'!AD5&gt;TODAY())*(YEAR('Input Data'!AD5)=2027)*('Input Data'!AE5&gt;0),", "&amp;'Input Data'!AF5&amp;" ("&amp;'Input Data'!C5&amp;")","")&amp;IF(('Input Data'!AD6&gt;TODAY())*(YEAR('Input Data'!AD6)=2027)*('Input Data'!AE6&gt;0),", "&amp;'Input Data'!AF6&amp;" ("&amp;'Input Data'!C6&amp;")","")&amp;IF(('Input Data'!AD7&gt;TODAY())*(YEAR('Input Data'!AD7)=2027)*('Input Data'!AE7&gt;0),", "&amp;'Input Data'!AF7&amp;" ("&amp;'Input Data'!C7&amp;")","")&amp;IF(('Input Data'!AD8&gt;TODAY())*(YEAR('Input Data'!AD8)=2027)*('Input Data'!AE8&gt;0),", "&amp;'Input Data'!AF8&amp;" ("&amp;'Input Data'!C8&amp;")","")&amp;IF(('Input Data'!AD9&gt;TODAY())*(YEAR('Input Data'!AD9)=2027)*('Input Data'!AE9&gt;0),", "&amp;'Input Data'!AF9&amp;" ("&amp;'Input Data'!C9&amp;")","")&amp;IF(('Input Data'!AD10&gt;TODAY())*(YEAR('Input Data'!AD10)=2027)*('Input Data'!AE10&gt;0),", "&amp;'Input Data'!AF10&amp;" ("&amp;'Input Data'!C10&amp;")","")&amp;IF(('Input Data'!AD11&gt;TODAY())*(YEAR('Input Data'!AD11)=2027)*('Input Data'!AE11&gt;0),", "&amp;'Input Data'!AF11&amp;" ("&amp;'Input Data'!C11&amp;")","")&amp;IF(('Input Data'!AD12&gt;TODAY())*(YEAR('Input Data'!AD12)=2027)*('Input Data'!AE12&gt;0),", "&amp;'Input Data'!AF12&amp;" ("&amp;'Input Data'!C12&amp;")","")&amp;IF(('Input Data'!AD13&gt;TODAY())*(YEAR('Input Data'!AD13)=2027)*('Input Data'!AE13&gt;0),", "&amp;'Input Data'!AF13&amp;" ("&amp;'Input Data'!C13&amp;")","")&amp;IF(('Input Data'!AD14&gt;TODAY())*(YEAR('Input Data'!AD14)=2027)*('Input Data'!AE14&gt;0),", "&amp;'Input Data'!AF14&amp;" ("&amp;'Input Data'!C14&amp;")","")&amp;IF(('Input Data'!AD15&gt;TODAY())*(YEAR('Input Data'!AD15)=2027)*('Input Data'!AE15&gt;0),", "&amp;'Input Data'!AF15&amp;" ("&amp;'Input Data'!C15&amp;")","")&amp;IF(('Input Data'!AD16&gt;TODAY())*(YEAR('Input Data'!AD16)=2027)*('Input Data'!AE16&gt;0),", "&amp;'Input Data'!AF16&amp;" ("&amp;'Input Data'!C16&amp;")","")&amp;IF(('Input Data'!AD17&gt;TODAY())*(YEAR('Input Data'!AD17)=2027)*('Input Data'!AE17&gt;0),", "&amp;'Input Data'!AF17&amp;" ("&amp;'Input Data'!C17&amp;")","")&amp;IF(('Input Data'!AD18&gt;TODAY())*(YEAR('Input Data'!AD18)=2027)*('Input Data'!AE18&gt;0),", "&amp;'Input Data'!AF18&amp;" ("&amp;'Input Data'!C18&amp;")","")&amp;IF(('Input Data'!AD19&gt;TODAY())*(YEAR('Input Data'!AD19)=2027)*('Input Data'!AE19&gt;0),", "&amp;'Input Data'!AF19&amp;" ("&amp;'Input Data'!C19&amp;")","")&amp;IF(('Input Data'!AD20&gt;TODAY())*(YEAR('Input Data'!AD20)=2027)*('Input Data'!AE20&gt;0),", "&amp;'Input Data'!AF20&amp;" ("&amp;'Input Data'!C20&amp;")","")&amp;IF(('Input Data'!AD21&gt;TODAY())*(YEAR('Input Data'!AD21)=2027)*('Input Data'!AE21&gt;0),", "&amp;'Input Data'!AF21&amp;" ("&amp;'Input Data'!C21&amp;")","")&amp;IF(('Input Data'!AD22&gt;TODAY())*(YEAR('Input Data'!AD22)=2027)*('Input Data'!AE22&gt;0),", "&amp;'Input Data'!AF22&amp;" ("&amp;'Input Data'!C22&amp;")","")&amp;IF(('Input Data'!AD23&gt;TODAY())*(YEAR('Input Data'!AD23)=2027)*('Input Data'!AE23&gt;0),", "&amp;'Input Data'!AF23&amp;" ("&amp;'Input Data'!C23&amp;")","")&amp;IF(('Input Data'!AD24&gt;TODAY())*(YEAR('Input Data'!AD24)=2027)*('Input Data'!AE24&gt;0),", "&amp;'Input Data'!AF24&amp;" ("&amp;'Input Data'!C24&amp;")",""),3,999),"—")</f>
        <v>Keeping Company (6.03), Pitt &amp; Sherry (9.01)</v>
      </c>
      <c r="K20" s="120"/>
      <c r="L20" s="120"/>
      <c r="M20" s="120"/>
      <c r="N20" s="10"/>
    </row>
    <row r="21" customFormat="false" ht="26.25" hidden="false" customHeight="true" outlineLevel="0" collapsed="false">
      <c r="A21" s="10"/>
      <c r="B21" s="74" t="s">
        <v>268</v>
      </c>
      <c r="C21" s="74"/>
      <c r="D21" s="121" t="n">
        <f aca="true">SUMPRODUCT(('Input Data'!AD3:AD24&gt;TODAY())*(YEAR('Input Data'!AD3:AD24)=2028)*('Input Data'!AE3:AE24&gt;0)*'Input Data'!AE3:AE24*'Input Data'!F3:F24)</f>
        <v>857128.713</v>
      </c>
      <c r="E21" s="121"/>
      <c r="F21" s="122" t="n">
        <f aca="true">IFERROR(D21/(SUMPRODUCT(('Input Data'!AD3:AD24&gt;TODAY())*('Input Data'!AE3:AE24&gt;0)*'Input Data'!AE3:AE24*'Input Data'!F3:F24)),0)</f>
        <v>0.107390745182638</v>
      </c>
      <c r="G21" s="123" t="n">
        <f aca="true">SUMPRODUCT(('Input Data'!AD3:AD24&gt;TODAY())*(YEAR('Input Data'!AD3:AD24)=2028)*('Input Data'!AE3:AE24&gt;0)*'Input Data'!F3:F24)</f>
        <v>794.4</v>
      </c>
      <c r="H21" s="122" t="n">
        <f aca="true">IFERROR(G21/(SUMPRODUCT(('Input Data'!AD3:AD24&gt;TODAY())*('Input Data'!AE3:AE24&gt;0)*'Input Data'!F3:F24)),0)</f>
        <v>0.10199784294592</v>
      </c>
      <c r="I21" s="124" t="n">
        <f aca="true">SUMPRODUCT(('Input Data'!AD3:AD24&gt;TODAY())*(YEAR('Input Data'!AD3:AD24)=2028)*('Input Data'!AE3:AE24&gt;0)*1)</f>
        <v>2</v>
      </c>
      <c r="J21" s="125" t="str">
        <f aca="true">IFERROR(MID(IF(('Input Data'!AD3&gt;TODAY())*(YEAR('Input Data'!AD3)=2028)*('Input Data'!AE3&gt;0),", "&amp;'Input Data'!AF3&amp;" ("&amp;'Input Data'!C3&amp;")","")&amp;IF(('Input Data'!AD4&gt;TODAY())*(YEAR('Input Data'!AD4)=2028)*('Input Data'!AE4&gt;0),", "&amp;'Input Data'!AF4&amp;" ("&amp;'Input Data'!C4&amp;")","")&amp;IF(('Input Data'!AD5&gt;TODAY())*(YEAR('Input Data'!AD5)=2028)*('Input Data'!AE5&gt;0),", "&amp;'Input Data'!AF5&amp;" ("&amp;'Input Data'!C5&amp;")","")&amp;IF(('Input Data'!AD6&gt;TODAY())*(YEAR('Input Data'!AD6)=2028)*('Input Data'!AE6&gt;0),", "&amp;'Input Data'!AF6&amp;" ("&amp;'Input Data'!C6&amp;")","")&amp;IF(('Input Data'!AD7&gt;TODAY())*(YEAR('Input Data'!AD7)=2028)*('Input Data'!AE7&gt;0),", "&amp;'Input Data'!AF7&amp;" ("&amp;'Input Data'!C7&amp;")","")&amp;IF(('Input Data'!AD8&gt;TODAY())*(YEAR('Input Data'!AD8)=2028)*('Input Data'!AE8&gt;0),", "&amp;'Input Data'!AF8&amp;" ("&amp;'Input Data'!C8&amp;")","")&amp;IF(('Input Data'!AD9&gt;TODAY())*(YEAR('Input Data'!AD9)=2028)*('Input Data'!AE9&gt;0),", "&amp;'Input Data'!AF9&amp;" ("&amp;'Input Data'!C9&amp;")","")&amp;IF(('Input Data'!AD10&gt;TODAY())*(YEAR('Input Data'!AD10)=2028)*('Input Data'!AE10&gt;0),", "&amp;'Input Data'!AF10&amp;" ("&amp;'Input Data'!C10&amp;")","")&amp;IF(('Input Data'!AD11&gt;TODAY())*(YEAR('Input Data'!AD11)=2028)*('Input Data'!AE11&gt;0),", "&amp;'Input Data'!AF11&amp;" ("&amp;'Input Data'!C11&amp;")","")&amp;IF(('Input Data'!AD12&gt;TODAY())*(YEAR('Input Data'!AD12)=2028)*('Input Data'!AE12&gt;0),", "&amp;'Input Data'!AF12&amp;" ("&amp;'Input Data'!C12&amp;")","")&amp;IF(('Input Data'!AD13&gt;TODAY())*(YEAR('Input Data'!AD13)=2028)*('Input Data'!AE13&gt;0),", "&amp;'Input Data'!AF13&amp;" ("&amp;'Input Data'!C13&amp;")","")&amp;IF(('Input Data'!AD14&gt;TODAY())*(YEAR('Input Data'!AD14)=2028)*('Input Data'!AE14&gt;0),", "&amp;'Input Data'!AF14&amp;" ("&amp;'Input Data'!C14&amp;")","")&amp;IF(('Input Data'!AD15&gt;TODAY())*(YEAR('Input Data'!AD15)=2028)*('Input Data'!AE15&gt;0),", "&amp;'Input Data'!AF15&amp;" ("&amp;'Input Data'!C15&amp;")","")&amp;IF(('Input Data'!AD16&gt;TODAY())*(YEAR('Input Data'!AD16)=2028)*('Input Data'!AE16&gt;0),", "&amp;'Input Data'!AF16&amp;" ("&amp;'Input Data'!C16&amp;")","")&amp;IF(('Input Data'!AD17&gt;TODAY())*(YEAR('Input Data'!AD17)=2028)*('Input Data'!AE17&gt;0),", "&amp;'Input Data'!AF17&amp;" ("&amp;'Input Data'!C17&amp;")","")&amp;IF(('Input Data'!AD18&gt;TODAY())*(YEAR('Input Data'!AD18)=2028)*('Input Data'!AE18&gt;0),", "&amp;'Input Data'!AF18&amp;" ("&amp;'Input Data'!C18&amp;")","")&amp;IF(('Input Data'!AD19&gt;TODAY())*(YEAR('Input Data'!AD19)=2028)*('Input Data'!AE19&gt;0),", "&amp;'Input Data'!AF19&amp;" ("&amp;'Input Data'!C19&amp;")","")&amp;IF(('Input Data'!AD20&gt;TODAY())*(YEAR('Input Data'!AD20)=2028)*('Input Data'!AE20&gt;0),", "&amp;'Input Data'!AF20&amp;" ("&amp;'Input Data'!C20&amp;")","")&amp;IF(('Input Data'!AD21&gt;TODAY())*(YEAR('Input Data'!AD21)=2028)*('Input Data'!AE21&gt;0),", "&amp;'Input Data'!AF21&amp;" ("&amp;'Input Data'!C21&amp;")","")&amp;IF(('Input Data'!AD22&gt;TODAY())*(YEAR('Input Data'!AD22)=2028)*('Input Data'!AE22&gt;0),", "&amp;'Input Data'!AF22&amp;" ("&amp;'Input Data'!C22&amp;")","")&amp;IF(('Input Data'!AD23&gt;TODAY())*(YEAR('Input Data'!AD23)=2028)*('Input Data'!AE23&gt;0),", "&amp;'Input Data'!AF23&amp;" ("&amp;'Input Data'!C23&amp;")","")&amp;IF(('Input Data'!AD24&gt;TODAY())*(YEAR('Input Data'!AD24)=2028)*('Input Data'!AE24&gt;0),", "&amp;'Input Data'!AF24&amp;" ("&amp;'Input Data'!C24&amp;")",""),3,999),"—")</f>
        <v>Sydney Smiletree (3.01), Vanderlande Industries (8.01)</v>
      </c>
      <c r="K21" s="125"/>
      <c r="L21" s="125"/>
      <c r="M21" s="125"/>
      <c r="N21" s="10"/>
    </row>
    <row r="22" customFormat="false" ht="26.25" hidden="false" customHeight="true" outlineLevel="0" collapsed="false">
      <c r="A22" s="10"/>
      <c r="B22" s="115" t="s">
        <v>269</v>
      </c>
      <c r="C22" s="115"/>
      <c r="D22" s="126" t="n">
        <f aca="true">SUMPRODUCT(('Input Data'!AD3:AD24&gt;TODAY())*(YEAR('Input Data'!AD3:AD24)=2029)*('Input Data'!AE3:AE24&gt;0)*'Input Data'!AE3:AE24*'Input Data'!F3:F24)</f>
        <v>2340040.968</v>
      </c>
      <c r="E22" s="126"/>
      <c r="F22" s="127" t="n">
        <f aca="true">IFERROR(D22/(SUMPRODUCT(('Input Data'!AD3:AD24&gt;TODAY())*('Input Data'!AE3:AE24&gt;0)*'Input Data'!AE3:AE24*'Input Data'!F3:F24)),0)</f>
        <v>0.293186705217075</v>
      </c>
      <c r="G22" s="128" t="n">
        <f aca="true">SUMPRODUCT(('Input Data'!AD3:AD24&gt;TODAY())*(YEAR('Input Data'!AD3:AD24)=2029)*('Input Data'!AE3:AE24&gt;0)*'Input Data'!F3:F24)</f>
        <v>1923.6</v>
      </c>
      <c r="H22" s="127" t="n">
        <f aca="true">IFERROR(G22/(SUMPRODUCT(('Input Data'!AD3:AD24&gt;TODAY())*('Input Data'!AE3:AE24&gt;0)*'Input Data'!F3:F24)),0)</f>
        <v>0.246982692208926</v>
      </c>
      <c r="I22" s="129" t="n">
        <f aca="true">SUMPRODUCT(('Input Data'!AD3:AD24&gt;TODAY())*(YEAR('Input Data'!AD3:AD24)=2029)*('Input Data'!AE3:AE24&gt;0)*1)</f>
        <v>5</v>
      </c>
      <c r="J22" s="130" t="str">
        <f aca="true">IFERROR(MID(IF(('Input Data'!AD3&gt;TODAY())*(YEAR('Input Data'!AD3)=2029)*('Input Data'!AE3&gt;0),", "&amp;'Input Data'!AF3&amp;" ("&amp;'Input Data'!C3&amp;")","")&amp;IF(('Input Data'!AD4&gt;TODAY())*(YEAR('Input Data'!AD4)=2029)*('Input Data'!AE4&gt;0),", "&amp;'Input Data'!AF4&amp;" ("&amp;'Input Data'!C4&amp;")","")&amp;IF(('Input Data'!AD5&gt;TODAY())*(YEAR('Input Data'!AD5)=2029)*('Input Data'!AE5&gt;0),", "&amp;'Input Data'!AF5&amp;" ("&amp;'Input Data'!C5&amp;")","")&amp;IF(('Input Data'!AD6&gt;TODAY())*(YEAR('Input Data'!AD6)=2029)*('Input Data'!AE6&gt;0),", "&amp;'Input Data'!AF6&amp;" ("&amp;'Input Data'!C6&amp;")","")&amp;IF(('Input Data'!AD7&gt;TODAY())*(YEAR('Input Data'!AD7)=2029)*('Input Data'!AE7&gt;0),", "&amp;'Input Data'!AF7&amp;" ("&amp;'Input Data'!C7&amp;")","")&amp;IF(('Input Data'!AD8&gt;TODAY())*(YEAR('Input Data'!AD8)=2029)*('Input Data'!AE8&gt;0),", "&amp;'Input Data'!AF8&amp;" ("&amp;'Input Data'!C8&amp;")","")&amp;IF(('Input Data'!AD9&gt;TODAY())*(YEAR('Input Data'!AD9)=2029)*('Input Data'!AE9&gt;0),", "&amp;'Input Data'!AF9&amp;" ("&amp;'Input Data'!C9&amp;")","")&amp;IF(('Input Data'!AD10&gt;TODAY())*(YEAR('Input Data'!AD10)=2029)*('Input Data'!AE10&gt;0),", "&amp;'Input Data'!AF10&amp;" ("&amp;'Input Data'!C10&amp;")","")&amp;IF(('Input Data'!AD11&gt;TODAY())*(YEAR('Input Data'!AD11)=2029)*('Input Data'!AE11&gt;0),", "&amp;'Input Data'!AF11&amp;" ("&amp;'Input Data'!C11&amp;")","")&amp;IF(('Input Data'!AD12&gt;TODAY())*(YEAR('Input Data'!AD12)=2029)*('Input Data'!AE12&gt;0),", "&amp;'Input Data'!AF12&amp;" ("&amp;'Input Data'!C12&amp;")","")&amp;IF(('Input Data'!AD13&gt;TODAY())*(YEAR('Input Data'!AD13)=2029)*('Input Data'!AE13&gt;0),", "&amp;'Input Data'!AF13&amp;" ("&amp;'Input Data'!C13&amp;")","")&amp;IF(('Input Data'!AD14&gt;TODAY())*(YEAR('Input Data'!AD14)=2029)*('Input Data'!AE14&gt;0),", "&amp;'Input Data'!AF14&amp;" ("&amp;'Input Data'!C14&amp;")","")&amp;IF(('Input Data'!AD15&gt;TODAY())*(YEAR('Input Data'!AD15)=2029)*('Input Data'!AE15&gt;0),", "&amp;'Input Data'!AF15&amp;" ("&amp;'Input Data'!C15&amp;")","")&amp;IF(('Input Data'!AD16&gt;TODAY())*(YEAR('Input Data'!AD16)=2029)*('Input Data'!AE16&gt;0),", "&amp;'Input Data'!AF16&amp;" ("&amp;'Input Data'!C16&amp;")","")&amp;IF(('Input Data'!AD17&gt;TODAY())*(YEAR('Input Data'!AD17)=2029)*('Input Data'!AE17&gt;0),", "&amp;'Input Data'!AF17&amp;" ("&amp;'Input Data'!C17&amp;")","")&amp;IF(('Input Data'!AD18&gt;TODAY())*(YEAR('Input Data'!AD18)=2029)*('Input Data'!AE18&gt;0),", "&amp;'Input Data'!AF18&amp;" ("&amp;'Input Data'!C18&amp;")","")&amp;IF(('Input Data'!AD19&gt;TODAY())*(YEAR('Input Data'!AD19)=2029)*('Input Data'!AE19&gt;0),", "&amp;'Input Data'!AF19&amp;" ("&amp;'Input Data'!C19&amp;")","")&amp;IF(('Input Data'!AD20&gt;TODAY())*(YEAR('Input Data'!AD20)=2029)*('Input Data'!AE20&gt;0),", "&amp;'Input Data'!AF20&amp;" ("&amp;'Input Data'!C20&amp;")","")&amp;IF(('Input Data'!AD21&gt;TODAY())*(YEAR('Input Data'!AD21)=2029)*('Input Data'!AE21&gt;0),", "&amp;'Input Data'!AF21&amp;" ("&amp;'Input Data'!C21&amp;")","")&amp;IF(('Input Data'!AD22&gt;TODAY())*(YEAR('Input Data'!AD22)=2029)*('Input Data'!AE22&gt;0),", "&amp;'Input Data'!AF22&amp;" ("&amp;'Input Data'!C22&amp;")","")&amp;IF(('Input Data'!AD23&gt;TODAY())*(YEAR('Input Data'!AD23)=2029)*('Input Data'!AE23&gt;0),", "&amp;'Input Data'!AF23&amp;" ("&amp;'Input Data'!C23&amp;")","")&amp;IF(('Input Data'!AD24&gt;TODAY())*(YEAR('Input Data'!AD24)=2029)*('Input Data'!AE24&gt;0),", "&amp;'Input Data'!AF24&amp;" ("&amp;'Input Data'!C24&amp;")",""),3,999),"—")</f>
        <v>Asterx (MediRecords) (5.03), Auctionsplus (5.04), Sungrow (L6) (6.02), Sungrow (L7 Main) (7.01), Smile Partners Australia (9.02)</v>
      </c>
      <c r="K22" s="130"/>
      <c r="L22" s="130"/>
      <c r="M22" s="130"/>
      <c r="N22" s="10"/>
    </row>
    <row r="23" customFormat="false" ht="26.25" hidden="false" customHeight="true" outlineLevel="0" collapsed="false">
      <c r="A23" s="10"/>
      <c r="B23" s="131" t="s">
        <v>270</v>
      </c>
      <c r="C23" s="131"/>
      <c r="D23" s="126" t="n">
        <f aca="true">SUMPRODUCT(('Input Data'!AD3:AD24&gt;TODAY())*(YEAR('Input Data'!AD3:AD24)=2030)*('Input Data'!AE3:AE24&gt;0)*'Input Data'!AE3:AE24*'Input Data'!F3:F24)</f>
        <v>896257.056</v>
      </c>
      <c r="E23" s="126"/>
      <c r="F23" s="127" t="n">
        <f aca="true">IFERROR(D23/(SUMPRODUCT(('Input Data'!AD3:AD24&gt;TODAY())*('Input Data'!AE3:AE24&gt;0)*'Input Data'!AE3:AE24*'Input Data'!F3:F24)),0)</f>
        <v>0.112293184978202</v>
      </c>
      <c r="G23" s="128" t="n">
        <f aca="true">SUMPRODUCT(('Input Data'!AD3:AD24&gt;TODAY())*(YEAR('Input Data'!AD3:AD24)=2030)*('Input Data'!AE3:AE24&gt;0)*'Input Data'!F3:F24)</f>
        <v>903.3</v>
      </c>
      <c r="H23" s="127" t="n">
        <f aca="true">IFERROR(G23/(SUMPRODUCT(('Input Data'!AD3:AD24&gt;TODAY())*('Input Data'!AE3:AE24&gt;0)*'Input Data'!F3:F24)),0)</f>
        <v>0.115980175645832</v>
      </c>
      <c r="I23" s="129" t="n">
        <f aca="true">SUMPRODUCT(('Input Data'!AD3:AD24&gt;TODAY())*(YEAR('Input Data'!AD3:AD24)=2030)*('Input Data'!AE3:AE24&gt;0)*1)</f>
        <v>3</v>
      </c>
      <c r="J23" s="130" t="str">
        <f aca="true">IFERROR(MID(IF(('Input Data'!AD3&gt;TODAY())*(YEAR('Input Data'!AD3)=2030)*('Input Data'!AE3&gt;0),", "&amp;'Input Data'!AF3&amp;" ("&amp;'Input Data'!C3&amp;")","")&amp;IF(('Input Data'!AD4&gt;TODAY())*(YEAR('Input Data'!AD4)=2030)*('Input Data'!AE4&gt;0),", "&amp;'Input Data'!AF4&amp;" ("&amp;'Input Data'!C4&amp;")","")&amp;IF(('Input Data'!AD5&gt;TODAY())*(YEAR('Input Data'!AD5)=2030)*('Input Data'!AE5&gt;0),", "&amp;'Input Data'!AF5&amp;" ("&amp;'Input Data'!C5&amp;")","")&amp;IF(('Input Data'!AD6&gt;TODAY())*(YEAR('Input Data'!AD6)=2030)*('Input Data'!AE6&gt;0),", "&amp;'Input Data'!AF6&amp;" ("&amp;'Input Data'!C6&amp;")","")&amp;IF(('Input Data'!AD7&gt;TODAY())*(YEAR('Input Data'!AD7)=2030)*('Input Data'!AE7&gt;0),", "&amp;'Input Data'!AF7&amp;" ("&amp;'Input Data'!C7&amp;")","")&amp;IF(('Input Data'!AD8&gt;TODAY())*(YEAR('Input Data'!AD8)=2030)*('Input Data'!AE8&gt;0),", "&amp;'Input Data'!AF8&amp;" ("&amp;'Input Data'!C8&amp;")","")&amp;IF(('Input Data'!AD9&gt;TODAY())*(YEAR('Input Data'!AD9)=2030)*('Input Data'!AE9&gt;0),", "&amp;'Input Data'!AF9&amp;" ("&amp;'Input Data'!C9&amp;")","")&amp;IF(('Input Data'!AD10&gt;TODAY())*(YEAR('Input Data'!AD10)=2030)*('Input Data'!AE10&gt;0),", "&amp;'Input Data'!AF10&amp;" ("&amp;'Input Data'!C10&amp;")","")&amp;IF(('Input Data'!AD11&gt;TODAY())*(YEAR('Input Data'!AD11)=2030)*('Input Data'!AE11&gt;0),", "&amp;'Input Data'!AF11&amp;" ("&amp;'Input Data'!C11&amp;")","")&amp;IF(('Input Data'!AD12&gt;TODAY())*(YEAR('Input Data'!AD12)=2030)*('Input Data'!AE12&gt;0),", "&amp;'Input Data'!AF12&amp;" ("&amp;'Input Data'!C12&amp;")","")&amp;IF(('Input Data'!AD13&gt;TODAY())*(YEAR('Input Data'!AD13)=2030)*('Input Data'!AE13&gt;0),", "&amp;'Input Data'!AF13&amp;" ("&amp;'Input Data'!C13&amp;")","")&amp;IF(('Input Data'!AD14&gt;TODAY())*(YEAR('Input Data'!AD14)=2030)*('Input Data'!AE14&gt;0),", "&amp;'Input Data'!AF14&amp;" ("&amp;'Input Data'!C14&amp;")","")&amp;IF(('Input Data'!AD15&gt;TODAY())*(YEAR('Input Data'!AD15)=2030)*('Input Data'!AE15&gt;0),", "&amp;'Input Data'!AF15&amp;" ("&amp;'Input Data'!C15&amp;")","")&amp;IF(('Input Data'!AD16&gt;TODAY())*(YEAR('Input Data'!AD16)=2030)*('Input Data'!AE16&gt;0),", "&amp;'Input Data'!AF16&amp;" ("&amp;'Input Data'!C16&amp;")","")&amp;IF(('Input Data'!AD17&gt;TODAY())*(YEAR('Input Data'!AD17)=2030)*('Input Data'!AE17&gt;0),", "&amp;'Input Data'!AF17&amp;" ("&amp;'Input Data'!C17&amp;")","")&amp;IF(('Input Data'!AD18&gt;TODAY())*(YEAR('Input Data'!AD18)=2030)*('Input Data'!AE18&gt;0),", "&amp;'Input Data'!AF18&amp;" ("&amp;'Input Data'!C18&amp;")","")&amp;IF(('Input Data'!AD19&gt;TODAY())*(YEAR('Input Data'!AD19)=2030)*('Input Data'!AE19&gt;0),", "&amp;'Input Data'!AF19&amp;" ("&amp;'Input Data'!C19&amp;")","")&amp;IF(('Input Data'!AD20&gt;TODAY())*(YEAR('Input Data'!AD20)=2030)*('Input Data'!AE20&gt;0),", "&amp;'Input Data'!AF20&amp;" ("&amp;'Input Data'!C20&amp;")","")&amp;IF(('Input Data'!AD21&gt;TODAY())*(YEAR('Input Data'!AD21)=2030)*('Input Data'!AE21&gt;0),", "&amp;'Input Data'!AF21&amp;" ("&amp;'Input Data'!C21&amp;")","")&amp;IF(('Input Data'!AD22&gt;TODAY())*(YEAR('Input Data'!AD22)=2030)*('Input Data'!AE22&gt;0),", "&amp;'Input Data'!AF22&amp;" ("&amp;'Input Data'!C22&amp;")","")&amp;IF(('Input Data'!AD23&gt;TODAY())*(YEAR('Input Data'!AD23)=2030)*('Input Data'!AE23&gt;0),", "&amp;'Input Data'!AF23&amp;" ("&amp;'Input Data'!C23&amp;")","")&amp;IF(('Input Data'!AD24&gt;TODAY())*(YEAR('Input Data'!AD24)=2030)*('Input Data'!AE24&gt;0),", "&amp;'Input Data'!AF24&amp;" ("&amp;'Input Data'!C24&amp;")",""),3,999),"—")</f>
        <v>Can Too Foundation (8.03), Hulsbosch Design (12.01), AEI Insurance Group (12.02)</v>
      </c>
      <c r="K23" s="130"/>
      <c r="L23" s="130"/>
      <c r="M23" s="130"/>
      <c r="N23" s="10"/>
    </row>
    <row r="24" customFormat="false" ht="26.25" hidden="false" customHeight="true" outlineLevel="0" collapsed="false">
      <c r="A24" s="10"/>
      <c r="B24" s="115" t="s">
        <v>271</v>
      </c>
      <c r="C24" s="115"/>
      <c r="D24" s="126" t="n">
        <f aca="true">SUMPRODUCT(('Input Data'!AD3:AD24&gt;TODAY())*(YEAR('Input Data'!AD3:AD24)&gt;=2031)*('Input Data'!AE3:AE24&gt;0)*'Input Data'!AE3:AE24*'Input Data'!F3:F24)</f>
        <v>3204822.27</v>
      </c>
      <c r="E24" s="126"/>
      <c r="F24" s="127" t="n">
        <f aca="true">IFERROR(D24/(SUMPRODUCT(('Input Data'!AD3:AD24&gt;TODAY())*('Input Data'!AE3:AE24&gt;0)*'Input Data'!AE3:AE24*'Input Data'!F3:F24)),0)</f>
        <v>0.401536252995895</v>
      </c>
      <c r="G24" s="128" t="n">
        <f aca="true">SUMPRODUCT(('Input Data'!AD3:AD24&gt;TODAY())*(YEAR('Input Data'!AD3:AD24)&gt;=2031)*('Input Data'!AE3:AE24&gt;0)*'Input Data'!F3:F24)</f>
        <v>3524.4</v>
      </c>
      <c r="H24" s="127" t="n">
        <f aca="true">IFERROR(G24/(SUMPRODUCT(('Input Data'!AD3:AD24&gt;TODAY())*('Input Data'!AE3:AE24&gt;0)*'Input Data'!F3:F24)),0)</f>
        <v>0.452519131015356</v>
      </c>
      <c r="I24" s="129" t="n">
        <f aca="true">SUMPRODUCT(('Input Data'!AD3:AD24&gt;TODAY())*(YEAR('Input Data'!AD3:AD24)&gt;=2031)*('Input Data'!AE3:AE24&gt;0)*1)</f>
        <v>7</v>
      </c>
      <c r="J24" s="130" t="str">
        <f aca="true">IFERROR(MID(IF(('Input Data'!AD3&gt;TODAY())*(YEAR('Input Data'!AD3)&gt;=2031)*('Input Data'!AE3&gt;0),", "&amp;'Input Data'!AF3&amp;" ("&amp;'Input Data'!C3&amp;")","")&amp;IF(('Input Data'!AD4&gt;TODAY())*(YEAR('Input Data'!AD4)&gt;=2031)*('Input Data'!AE4&gt;0),", "&amp;'Input Data'!AF4&amp;" ("&amp;'Input Data'!C4&amp;")","")&amp;IF(('Input Data'!AD5&gt;TODAY())*(YEAR('Input Data'!AD5)&gt;=2031)*('Input Data'!AE5&gt;0),", "&amp;'Input Data'!AF5&amp;" ("&amp;'Input Data'!C5&amp;")","")&amp;IF(('Input Data'!AD6&gt;TODAY())*(YEAR('Input Data'!AD6)&gt;=2031)*('Input Data'!AE6&gt;0),", "&amp;'Input Data'!AF6&amp;" ("&amp;'Input Data'!C6&amp;")","")&amp;IF(('Input Data'!AD7&gt;TODAY())*(YEAR('Input Data'!AD7)&gt;=2031)*('Input Data'!AE7&gt;0),", "&amp;'Input Data'!AF7&amp;" ("&amp;'Input Data'!C7&amp;")","")&amp;IF(('Input Data'!AD8&gt;TODAY())*(YEAR('Input Data'!AD8)&gt;=2031)*('Input Data'!AE8&gt;0),", "&amp;'Input Data'!AF8&amp;" ("&amp;'Input Data'!C8&amp;")","")&amp;IF(('Input Data'!AD9&gt;TODAY())*(YEAR('Input Data'!AD9)&gt;=2031)*('Input Data'!AE9&gt;0),", "&amp;'Input Data'!AF9&amp;" ("&amp;'Input Data'!C9&amp;")","")&amp;IF(('Input Data'!AD10&gt;TODAY())*(YEAR('Input Data'!AD10)&gt;=2031)*('Input Data'!AE10&gt;0),", "&amp;'Input Data'!AF10&amp;" ("&amp;'Input Data'!C10&amp;")","")&amp;IF(('Input Data'!AD11&gt;TODAY())*(YEAR('Input Data'!AD11)&gt;=2031)*('Input Data'!AE11&gt;0),", "&amp;'Input Data'!AF11&amp;" ("&amp;'Input Data'!C11&amp;")","")&amp;IF(('Input Data'!AD12&gt;TODAY())*(YEAR('Input Data'!AD12)&gt;=2031)*('Input Data'!AE12&gt;0),", "&amp;'Input Data'!AF12&amp;" ("&amp;'Input Data'!C12&amp;")","")&amp;IF(('Input Data'!AD13&gt;TODAY())*(YEAR('Input Data'!AD13)&gt;=2031)*('Input Data'!AE13&gt;0),", "&amp;'Input Data'!AF13&amp;" ("&amp;'Input Data'!C13&amp;")","")&amp;IF(('Input Data'!AD14&gt;TODAY())*(YEAR('Input Data'!AD14)&gt;=2031)*('Input Data'!AE14&gt;0),", "&amp;'Input Data'!AF14&amp;" ("&amp;'Input Data'!C14&amp;")","")&amp;IF(('Input Data'!AD15&gt;TODAY())*(YEAR('Input Data'!AD15)&gt;=2031)*('Input Data'!AE15&gt;0),", "&amp;'Input Data'!AF15&amp;" ("&amp;'Input Data'!C15&amp;")","")&amp;IF(('Input Data'!AD16&gt;TODAY())*(YEAR('Input Data'!AD16)&gt;=2031)*('Input Data'!AE16&gt;0),", "&amp;'Input Data'!AF16&amp;" ("&amp;'Input Data'!C16&amp;")","")&amp;IF(('Input Data'!AD17&gt;TODAY())*(YEAR('Input Data'!AD17)&gt;=2031)*('Input Data'!AE17&gt;0),", "&amp;'Input Data'!AF17&amp;" ("&amp;'Input Data'!C17&amp;")","")&amp;IF(('Input Data'!AD18&gt;TODAY())*(YEAR('Input Data'!AD18)&gt;=2031)*('Input Data'!AE18&gt;0),", "&amp;'Input Data'!AF18&amp;" ("&amp;'Input Data'!C18&amp;")","")&amp;IF(('Input Data'!AD19&gt;TODAY())*(YEAR('Input Data'!AD19)&gt;=2031)*('Input Data'!AE19&gt;0),", "&amp;'Input Data'!AF19&amp;" ("&amp;'Input Data'!C19&amp;")","")&amp;IF(('Input Data'!AD20&gt;TODAY())*(YEAR('Input Data'!AD20)&gt;=2031)*('Input Data'!AE20&gt;0),", "&amp;'Input Data'!AF20&amp;" ("&amp;'Input Data'!C20&amp;")","")&amp;IF(('Input Data'!AD21&gt;TODAY())*(YEAR('Input Data'!AD21)&gt;=2031)*('Input Data'!AE21&gt;0),", "&amp;'Input Data'!AF21&amp;" ("&amp;'Input Data'!C21&amp;")","")&amp;IF(('Input Data'!AD22&gt;TODAY())*(YEAR('Input Data'!AD22)&gt;=2031)*('Input Data'!AE22&gt;0),", "&amp;'Input Data'!AF22&amp;" ("&amp;'Input Data'!C22&amp;")","")&amp;IF(('Input Data'!AD23&gt;TODAY())*(YEAR('Input Data'!AD23)&gt;=2031)*('Input Data'!AE23&gt;0),", "&amp;'Input Data'!AF23&amp;" ("&amp;'Input Data'!C23&amp;")","")&amp;IF(('Input Data'!AD24&gt;TODAY())*(YEAR('Input Data'!AD24)&gt;=2031)*('Input Data'!AE24&gt;0),", "&amp;'Input Data'!AF24&amp;" ("&amp;'Input Data'!C24&amp;")",""),3,999),"—")</f>
        <v>Fitness First (L3) (3.02), Fitness First (L4) (4.01), Fitness First N. Sydney (5.01), Elekta (6.04), Caldas Constructions (6.01), Luxasia (11.01), Haskoning Australia (11.02)</v>
      </c>
      <c r="K24" s="130"/>
      <c r="L24" s="130"/>
      <c r="M24" s="130"/>
      <c r="N24" s="10"/>
    </row>
    <row r="25" customFormat="false" ht="19.5" hidden="false" customHeight="true" outlineLevel="0" collapsed="false">
      <c r="A25" s="10"/>
      <c r="B25" s="74" t="s">
        <v>272</v>
      </c>
      <c r="C25" s="74"/>
      <c r="D25" s="76" t="n">
        <f aca="true">SUMPRODUCT(('Input Data'!AD3:AD24&gt;TODAY())*('Input Data'!AE3:AE24&gt;0)*'Input Data'!AE3:AE24*'Input Data'!F3:F24)</f>
        <v>7981402.043</v>
      </c>
      <c r="E25" s="76"/>
      <c r="F25" s="132" t="n">
        <v>1</v>
      </c>
      <c r="G25" s="75" t="n">
        <f aca="true">SUMPRODUCT(('Input Data'!AD3:AD24&gt;TODAY())*('Input Data'!AE3:AE24&gt;0)*'Input Data'!F3:F24)</f>
        <v>7788.4</v>
      </c>
      <c r="H25" s="132" t="n">
        <v>1</v>
      </c>
      <c r="I25" s="95"/>
      <c r="J25" s="95"/>
      <c r="K25" s="95"/>
      <c r="L25" s="95"/>
      <c r="M25" s="95"/>
      <c r="N25" s="10"/>
    </row>
    <row r="26" customFormat="false" ht="7.5" hidden="false" customHeight="true" outlineLevel="0" collapsed="false">
      <c r="A26" s="10"/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</row>
    <row r="27" customFormat="false" ht="19.5" hidden="false" customHeight="true" outlineLevel="0" collapsed="false">
      <c r="A27" s="10"/>
      <c r="B27" s="11" t="s">
        <v>273</v>
      </c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0"/>
    </row>
    <row r="28" customFormat="false" ht="19.5" hidden="false" customHeight="true" outlineLevel="0" collapsed="false">
      <c r="A28" s="10"/>
      <c r="B28" s="19" t="s">
        <v>274</v>
      </c>
      <c r="C28" s="19" t="s">
        <v>275</v>
      </c>
      <c r="D28" s="19"/>
      <c r="E28" s="19" t="s">
        <v>276</v>
      </c>
      <c r="F28" s="19" t="s">
        <v>277</v>
      </c>
      <c r="G28" s="19" t="s">
        <v>278</v>
      </c>
      <c r="H28" s="19" t="s">
        <v>279</v>
      </c>
      <c r="I28" s="19" t="s">
        <v>280</v>
      </c>
      <c r="J28" s="19" t="s">
        <v>281</v>
      </c>
      <c r="K28" s="19"/>
      <c r="L28" s="19"/>
      <c r="M28" s="19"/>
      <c r="N28" s="10"/>
    </row>
    <row r="29" customFormat="false" ht="15" hidden="false" customHeight="true" outlineLevel="0" collapsed="false">
      <c r="A29" s="10"/>
      <c r="B29" s="62" t="str">
        <f aca="false">'Input Data'!C3</f>
        <v>3.01</v>
      </c>
      <c r="C29" s="133" t="str">
        <f aca="false">'Input Data'!D3</f>
        <v>Sydney Smiletree Pty Ltd</v>
      </c>
      <c r="D29" s="133"/>
      <c r="E29" s="64" t="n">
        <f aca="false">'Input Data'!F3</f>
        <v>107.7</v>
      </c>
      <c r="F29" s="65" t="n">
        <f aca="false">'Input Data'!J3</f>
        <v>1395.94</v>
      </c>
      <c r="G29" s="65" t="n">
        <f aca="false">'Input Data'!X3</f>
        <v>950</v>
      </c>
      <c r="H29" s="65" t="n">
        <f aca="false">'Input Data'!Y3</f>
        <v>445.94</v>
      </c>
      <c r="I29" s="68" t="n">
        <f aca="false">'Input Data'!Z3</f>
        <v>0.46941052631579</v>
      </c>
      <c r="J29" s="133" t="str">
        <f aca="false">IF('Input Data'!Y3&gt;0,"▲ Above Mkt",IF('Input Data'!Y3&lt;0,"▼ Below Mkt","≈ At Market"))</f>
        <v>▲ Above Mkt</v>
      </c>
      <c r="K29" s="133"/>
      <c r="L29" s="133"/>
      <c r="M29" s="133"/>
      <c r="N29" s="10"/>
    </row>
    <row r="30" customFormat="false" ht="15" hidden="false" customHeight="true" outlineLevel="0" collapsed="false">
      <c r="A30" s="10"/>
      <c r="B30" s="45" t="str">
        <f aca="false">'Input Data'!C4</f>
        <v>3.02</v>
      </c>
      <c r="C30" s="30" t="str">
        <f aca="false">'Input Data'!D4</f>
        <v>Fitness First Australia Pty Limited</v>
      </c>
      <c r="D30" s="30"/>
      <c r="E30" s="47" t="n">
        <f aca="false">'Input Data'!F4</f>
        <v>795.5</v>
      </c>
      <c r="F30" s="50" t="n">
        <f aca="false">'Input Data'!J4</f>
        <v>855.7</v>
      </c>
      <c r="G30" s="50" t="n">
        <f aca="false">'Input Data'!X4</f>
        <v>870</v>
      </c>
      <c r="H30" s="50" t="n">
        <f aca="false">'Input Data'!Y4</f>
        <v>-14.3</v>
      </c>
      <c r="I30" s="52" t="n">
        <f aca="false">'Input Data'!Z4</f>
        <v>-0.0164367816091954</v>
      </c>
      <c r="J30" s="30" t="str">
        <f aca="false">IF('Input Data'!Y4&gt;0,"▲ Above Mkt",IF('Input Data'!Y4&lt;0,"▼ Below Mkt","≈ At Market"))</f>
        <v>▼ Below Mkt</v>
      </c>
      <c r="K30" s="30"/>
      <c r="L30" s="30"/>
      <c r="M30" s="30"/>
      <c r="N30" s="10"/>
    </row>
    <row r="31" customFormat="false" ht="15" hidden="false" customHeight="true" outlineLevel="0" collapsed="false">
      <c r="A31" s="10"/>
      <c r="B31" s="22" t="str">
        <f aca="false">'Input Data'!C5</f>
        <v>4.01</v>
      </c>
      <c r="C31" s="23" t="str">
        <f aca="false">'Input Data'!D5</f>
        <v>Fitness First Australia Pty Limited</v>
      </c>
      <c r="D31" s="23"/>
      <c r="E31" s="35" t="n">
        <f aca="false">'Input Data'!F5</f>
        <v>1047</v>
      </c>
      <c r="F31" s="38" t="n">
        <f aca="false">'Input Data'!J5</f>
        <v>855.7</v>
      </c>
      <c r="G31" s="38" t="n">
        <f aca="false">'Input Data'!X5</f>
        <v>870</v>
      </c>
      <c r="H31" s="38" t="n">
        <f aca="false">'Input Data'!Y5</f>
        <v>-14.3</v>
      </c>
      <c r="I31" s="40" t="n">
        <f aca="false">'Input Data'!Z5</f>
        <v>-0.0164367816091954</v>
      </c>
      <c r="J31" s="23" t="str">
        <f aca="false">IF('Input Data'!Y5&gt;0,"▲ Above Mkt",IF('Input Data'!Y5&lt;0,"▼ Below Mkt","≈ At Market"))</f>
        <v>▼ Below Mkt</v>
      </c>
      <c r="K31" s="23"/>
      <c r="L31" s="23"/>
      <c r="M31" s="23"/>
      <c r="N31" s="10"/>
    </row>
    <row r="32" customFormat="false" ht="15" hidden="false" customHeight="true" outlineLevel="0" collapsed="false">
      <c r="A32" s="10"/>
      <c r="B32" s="45" t="str">
        <f aca="false">'Input Data'!C6</f>
        <v>5.01</v>
      </c>
      <c r="C32" s="30" t="str">
        <f aca="false">'Input Data'!D6</f>
        <v>Fitness First Australia Pty Limited</v>
      </c>
      <c r="D32" s="30"/>
      <c r="E32" s="47" t="n">
        <f aca="false">'Input Data'!F6</f>
        <v>437.1</v>
      </c>
      <c r="F32" s="50" t="n">
        <f aca="false">'Input Data'!J6</f>
        <v>855.7</v>
      </c>
      <c r="G32" s="50" t="n">
        <f aca="false">'Input Data'!X6</f>
        <v>870</v>
      </c>
      <c r="H32" s="50" t="n">
        <f aca="false">'Input Data'!Y6</f>
        <v>-14.3</v>
      </c>
      <c r="I32" s="52" t="n">
        <f aca="false">'Input Data'!Z6</f>
        <v>-0.0164367816091954</v>
      </c>
      <c r="J32" s="30" t="str">
        <f aca="false">IF('Input Data'!Y6&gt;0,"▲ Above Mkt",IF('Input Data'!Y6&lt;0,"▼ Below Mkt","≈ At Market"))</f>
        <v>▼ Below Mkt</v>
      </c>
      <c r="K32" s="30"/>
      <c r="L32" s="30"/>
      <c r="M32" s="30"/>
      <c r="N32" s="10"/>
    </row>
    <row r="33" customFormat="false" ht="15" hidden="false" customHeight="true" outlineLevel="0" collapsed="false">
      <c r="A33" s="10"/>
      <c r="B33" s="134" t="str">
        <f aca="false">'Input Data'!C7</f>
        <v>5.03</v>
      </c>
      <c r="C33" s="135" t="str">
        <f aca="false">'Input Data'!D7</f>
        <v>Asterx Pty Ltd</v>
      </c>
      <c r="D33" s="135"/>
      <c r="E33" s="136" t="n">
        <f aca="false">'Input Data'!F7</f>
        <v>229.8</v>
      </c>
      <c r="F33" s="137" t="n">
        <f aca="false">'Input Data'!J7</f>
        <v>985.53</v>
      </c>
      <c r="G33" s="137" t="n">
        <f aca="false">'Input Data'!X7</f>
        <v>950</v>
      </c>
      <c r="H33" s="137" t="n">
        <f aca="false">'Input Data'!Y7</f>
        <v>35.53</v>
      </c>
      <c r="I33" s="138" t="n">
        <f aca="false">'Input Data'!Z7</f>
        <v>0.0374</v>
      </c>
      <c r="J33" s="135" t="str">
        <f aca="false">IF('Input Data'!Y7&gt;0,"▲ Above Mkt",IF('Input Data'!Y7&lt;0,"▼ Below Mkt","≈ At Market"))</f>
        <v>▲ Above Mkt</v>
      </c>
      <c r="K33" s="135"/>
      <c r="L33" s="135"/>
      <c r="M33" s="135"/>
      <c r="N33" s="10"/>
    </row>
    <row r="34" customFormat="false" ht="15" hidden="false" customHeight="true" outlineLevel="0" collapsed="false">
      <c r="A34" s="10"/>
      <c r="B34" s="45" t="str">
        <f aca="false">'Input Data'!C8</f>
        <v>5.04</v>
      </c>
      <c r="C34" s="30" t="str">
        <f aca="false">'Input Data'!D8</f>
        <v>Auctionsplus Pty Ltd</v>
      </c>
      <c r="D34" s="30"/>
      <c r="E34" s="47" t="n">
        <f aca="false">'Input Data'!F8</f>
        <v>413.5</v>
      </c>
      <c r="F34" s="50" t="n">
        <f aca="false">'Input Data'!J8</f>
        <v>1005.89</v>
      </c>
      <c r="G34" s="50" t="n">
        <f aca="false">'Input Data'!X8</f>
        <v>990</v>
      </c>
      <c r="H34" s="50" t="n">
        <f aca="false">'Input Data'!Y8</f>
        <v>15.89</v>
      </c>
      <c r="I34" s="52" t="n">
        <f aca="false">'Input Data'!Z8</f>
        <v>0.016050505050505</v>
      </c>
      <c r="J34" s="30" t="str">
        <f aca="false">IF('Input Data'!Y8&gt;0,"▲ Above Mkt",IF('Input Data'!Y8&lt;0,"▼ Below Mkt","≈ At Market"))</f>
        <v>▲ Above Mkt</v>
      </c>
      <c r="K34" s="30"/>
      <c r="L34" s="30"/>
      <c r="M34" s="30"/>
      <c r="N34" s="10"/>
    </row>
    <row r="35" customFormat="false" ht="15" hidden="false" customHeight="true" outlineLevel="0" collapsed="false">
      <c r="A35" s="10"/>
      <c r="B35" s="22" t="str">
        <f aca="false">'Input Data'!C9</f>
        <v>6.02</v>
      </c>
      <c r="C35" s="23" t="str">
        <f aca="false">'Input Data'!D9</f>
        <v>Sungrow Australia Group</v>
      </c>
      <c r="D35" s="23"/>
      <c r="E35" s="35" t="n">
        <f aca="false">'Input Data'!F9</f>
        <v>451.7</v>
      </c>
      <c r="F35" s="38" t="n">
        <f aca="false">'Input Data'!J9</f>
        <v>954.5</v>
      </c>
      <c r="G35" s="38" t="n">
        <f aca="false">'Input Data'!X9</f>
        <v>955</v>
      </c>
      <c r="H35" s="38" t="n">
        <f aca="false">'Input Data'!Y9</f>
        <v>-0.5</v>
      </c>
      <c r="I35" s="40" t="n">
        <f aca="false">'Input Data'!Z9</f>
        <v>-0.000523560209424084</v>
      </c>
      <c r="J35" s="23" t="str">
        <f aca="false">IF('Input Data'!Y9&gt;0,"▲ Above Mkt",IF('Input Data'!Y9&lt;0,"▼ Below Mkt","≈ At Market"))</f>
        <v>▼ Below Mkt</v>
      </c>
      <c r="K35" s="23"/>
      <c r="L35" s="23"/>
      <c r="M35" s="23"/>
      <c r="N35" s="10"/>
    </row>
    <row r="36" customFormat="false" ht="15" hidden="false" customHeight="true" outlineLevel="0" collapsed="false">
      <c r="A36" s="10"/>
      <c r="B36" s="45" t="str">
        <f aca="false">'Input Data'!C10</f>
        <v>6.03</v>
      </c>
      <c r="C36" s="30" t="str">
        <f aca="false">'Input Data'!D10</f>
        <v>Keeping Company Pty Ltd</v>
      </c>
      <c r="D36" s="30"/>
      <c r="E36" s="47" t="n">
        <f aca="false">'Input Data'!F10</f>
        <v>189.4</v>
      </c>
      <c r="F36" s="50" t="n">
        <f aca="false">'Input Data'!J10</f>
        <v>1055.72</v>
      </c>
      <c r="G36" s="50" t="n">
        <f aca="false">'Input Data'!X10</f>
        <v>990</v>
      </c>
      <c r="H36" s="50" t="n">
        <f aca="false">'Input Data'!Y10</f>
        <v>65.72</v>
      </c>
      <c r="I36" s="52" t="n">
        <f aca="false">'Input Data'!Z10</f>
        <v>0.0663838383838384</v>
      </c>
      <c r="J36" s="30" t="str">
        <f aca="false">IF('Input Data'!Y10&gt;0,"▲ Above Mkt",IF('Input Data'!Y10&lt;0,"▼ Below Mkt","≈ At Market"))</f>
        <v>▲ Above Mkt</v>
      </c>
      <c r="K36" s="30"/>
      <c r="L36" s="30"/>
      <c r="M36" s="30"/>
      <c r="N36" s="10"/>
    </row>
    <row r="37" customFormat="false" ht="15" hidden="false" customHeight="true" outlineLevel="0" collapsed="false">
      <c r="A37" s="10"/>
      <c r="B37" s="22" t="str">
        <f aca="false">'Input Data'!C11</f>
        <v>6.04</v>
      </c>
      <c r="C37" s="23" t="str">
        <f aca="false">'Input Data'!D11</f>
        <v>Elekta Pty Limited</v>
      </c>
      <c r="D37" s="23"/>
      <c r="E37" s="35" t="n">
        <f aca="false">'Input Data'!F11</f>
        <v>267.9</v>
      </c>
      <c r="F37" s="38" t="n">
        <f aca="false">'Input Data'!J11</f>
        <v>954.5</v>
      </c>
      <c r="G37" s="38" t="n">
        <f aca="false">'Input Data'!X11</f>
        <v>955</v>
      </c>
      <c r="H37" s="38" t="n">
        <f aca="false">'Input Data'!Y11</f>
        <v>-0.5</v>
      </c>
      <c r="I37" s="40" t="n">
        <f aca="false">'Input Data'!Z11</f>
        <v>-0.000523560209424084</v>
      </c>
      <c r="J37" s="23" t="str">
        <f aca="false">IF('Input Data'!Y11&gt;0,"▲ Above Mkt",IF('Input Data'!Y11&lt;0,"▼ Below Mkt","≈ At Market"))</f>
        <v>▼ Below Mkt</v>
      </c>
      <c r="K37" s="23"/>
      <c r="L37" s="23"/>
      <c r="M37" s="23"/>
      <c r="N37" s="10"/>
    </row>
    <row r="38" customFormat="false" ht="15" hidden="false" customHeight="true" outlineLevel="0" collapsed="false">
      <c r="A38" s="10"/>
      <c r="B38" s="45" t="str">
        <f aca="false">'Input Data'!C12</f>
        <v>7.01</v>
      </c>
      <c r="C38" s="30" t="str">
        <f aca="false">'Input Data'!D12</f>
        <v>Sungrow Australia Group</v>
      </c>
      <c r="D38" s="30"/>
      <c r="E38" s="47" t="n">
        <f aca="false">'Input Data'!F12</f>
        <v>484.1</v>
      </c>
      <c r="F38" s="50" t="n">
        <f aca="false">'Input Data'!J12</f>
        <v>1911.44</v>
      </c>
      <c r="G38" s="50" t="n">
        <f aca="false">'Input Data'!X12</f>
        <v>1020</v>
      </c>
      <c r="H38" s="50" t="n">
        <f aca="false">'Input Data'!Y12</f>
        <v>891.44</v>
      </c>
      <c r="I38" s="52" t="n">
        <f aca="false">'Input Data'!Z12</f>
        <v>0.873960784313726</v>
      </c>
      <c r="J38" s="30" t="str">
        <f aca="false">IF('Input Data'!Y12&gt;0,"▲ Above Mkt",IF('Input Data'!Y12&lt;0,"▼ Below Mkt","≈ At Market"))</f>
        <v>▲ Above Mkt</v>
      </c>
      <c r="K38" s="30"/>
      <c r="L38" s="30"/>
      <c r="M38" s="30"/>
      <c r="N38" s="10"/>
    </row>
    <row r="39" customFormat="false" ht="15" hidden="false" customHeight="true" outlineLevel="0" collapsed="false">
      <c r="A39" s="10"/>
      <c r="B39" s="22" t="str">
        <f aca="false">'Input Data'!C14</f>
        <v>8.01</v>
      </c>
      <c r="C39" s="23" t="str">
        <f aca="false">'Input Data'!D14</f>
        <v>Vanderlande Industries Australia Pty Ltd</v>
      </c>
      <c r="D39" s="23"/>
      <c r="E39" s="35" t="n">
        <f aca="false">'Input Data'!F14</f>
        <v>686.7</v>
      </c>
      <c r="F39" s="38" t="n">
        <f aca="false">'Input Data'!J14</f>
        <v>1029.25</v>
      </c>
      <c r="G39" s="38" t="n">
        <f aca="false">'Input Data'!X14</f>
        <v>990</v>
      </c>
      <c r="H39" s="38" t="n">
        <f aca="false">'Input Data'!Y14</f>
        <v>39.25</v>
      </c>
      <c r="I39" s="40" t="n">
        <f aca="false">'Input Data'!Z14</f>
        <v>0.0396464646464646</v>
      </c>
      <c r="J39" s="23" t="str">
        <f aca="false">IF('Input Data'!Y14&gt;0,"▲ Above Mkt",IF('Input Data'!Y14&lt;0,"▼ Below Mkt","≈ At Market"))</f>
        <v>▲ Above Mkt</v>
      </c>
      <c r="K39" s="23"/>
      <c r="L39" s="23"/>
      <c r="M39" s="23"/>
      <c r="N39" s="10"/>
    </row>
    <row r="40" customFormat="false" ht="15" hidden="false" customHeight="true" outlineLevel="0" collapsed="false">
      <c r="A40" s="10"/>
      <c r="B40" s="45" t="str">
        <f aca="false">'Input Data'!C15</f>
        <v>8.03</v>
      </c>
      <c r="C40" s="30" t="str">
        <f aca="false">'Input Data'!D15</f>
        <v>Can Too Foundation Limited</v>
      </c>
      <c r="D40" s="30"/>
      <c r="E40" s="47" t="n">
        <f aca="false">'Input Data'!F15</f>
        <v>116.3</v>
      </c>
      <c r="F40" s="50" t="n">
        <f aca="false">'Input Data'!J15</f>
        <v>1027.12</v>
      </c>
      <c r="G40" s="50" t="n">
        <f aca="false">'Input Data'!X15</f>
        <v>990</v>
      </c>
      <c r="H40" s="50" t="n">
        <f aca="false">'Input Data'!Y15</f>
        <v>37.1199999999999</v>
      </c>
      <c r="I40" s="52" t="n">
        <f aca="false">'Input Data'!Z15</f>
        <v>0.0374949494949494</v>
      </c>
      <c r="J40" s="30" t="str">
        <f aca="false">IF('Input Data'!Y15&gt;0,"▲ Above Mkt",IF('Input Data'!Y15&lt;0,"▼ Below Mkt","≈ At Market"))</f>
        <v>▲ Above Mkt</v>
      </c>
      <c r="K40" s="30"/>
      <c r="L40" s="30"/>
      <c r="M40" s="30"/>
      <c r="N40" s="10"/>
    </row>
    <row r="41" customFormat="false" ht="15" hidden="false" customHeight="true" outlineLevel="0" collapsed="false">
      <c r="A41" s="10"/>
      <c r="B41" s="22" t="str">
        <f aca="false">'Input Data'!C16</f>
        <v>9.01</v>
      </c>
      <c r="C41" s="23" t="str">
        <f aca="false">'Input Data'!D16</f>
        <v>Pitt &amp; Sherry (Operations) Pty Ltd</v>
      </c>
      <c r="D41" s="23"/>
      <c r="E41" s="35" t="n">
        <f aca="false">'Input Data'!F16</f>
        <v>453.3</v>
      </c>
      <c r="F41" s="38" t="n">
        <f aca="false">'Input Data'!J16</f>
        <v>1065.96</v>
      </c>
      <c r="G41" s="38" t="n">
        <f aca="false">'Input Data'!X16</f>
        <v>1040</v>
      </c>
      <c r="H41" s="38" t="n">
        <f aca="false">'Input Data'!Y16</f>
        <v>25.96</v>
      </c>
      <c r="I41" s="40" t="n">
        <f aca="false">'Input Data'!Z16</f>
        <v>0.0249615384615385</v>
      </c>
      <c r="J41" s="23" t="str">
        <f aca="false">IF('Input Data'!Y16&gt;0,"▲ Above Mkt",IF('Input Data'!Y16&lt;0,"▼ Below Mkt","≈ At Market"))</f>
        <v>▲ Above Mkt</v>
      </c>
      <c r="K41" s="23"/>
      <c r="L41" s="23"/>
      <c r="M41" s="23"/>
      <c r="N41" s="10"/>
    </row>
    <row r="42" customFormat="false" ht="15" hidden="false" customHeight="true" outlineLevel="0" collapsed="false">
      <c r="A42" s="10"/>
      <c r="B42" s="45" t="str">
        <f aca="false">'Input Data'!C17</f>
        <v>12.01</v>
      </c>
      <c r="C42" s="30" t="str">
        <f aca="false">'Input Data'!D17</f>
        <v>Hulsbosch Design Pty Ltd</v>
      </c>
      <c r="D42" s="30"/>
      <c r="E42" s="47" t="n">
        <f aca="false">'Input Data'!F17</f>
        <v>251</v>
      </c>
      <c r="F42" s="50" t="n">
        <f aca="false">'Input Data'!J17</f>
        <v>985</v>
      </c>
      <c r="G42" s="50" t="n">
        <f aca="false">'Input Data'!X17</f>
        <v>1040</v>
      </c>
      <c r="H42" s="50" t="n">
        <f aca="false">'Input Data'!Y17</f>
        <v>-55</v>
      </c>
      <c r="I42" s="52" t="n">
        <f aca="false">'Input Data'!Z17</f>
        <v>-0.0528846153846154</v>
      </c>
      <c r="J42" s="30" t="str">
        <f aca="false">IF('Input Data'!Y17&gt;0,"▲ Above Mkt",IF('Input Data'!Y17&lt;0,"▼ Below Mkt","≈ At Market"))</f>
        <v>▼ Below Mkt</v>
      </c>
      <c r="K42" s="30"/>
      <c r="L42" s="30"/>
      <c r="M42" s="30"/>
      <c r="N42" s="10"/>
    </row>
    <row r="43" customFormat="false" ht="15" hidden="false" customHeight="true" outlineLevel="0" collapsed="false">
      <c r="A43" s="10"/>
      <c r="B43" s="22" t="str">
        <f aca="false">'Input Data'!C18</f>
        <v>9.02</v>
      </c>
      <c r="C43" s="23" t="str">
        <f aca="false">'Input Data'!D18</f>
        <v>Smile Partners Australia</v>
      </c>
      <c r="D43" s="23"/>
      <c r="E43" s="35" t="n">
        <f aca="false">'Input Data'!F18</f>
        <v>344.5</v>
      </c>
      <c r="F43" s="38" t="n">
        <f aca="false">'Input Data'!J18</f>
        <v>990.29</v>
      </c>
      <c r="G43" s="38" t="n">
        <f aca="false">'Input Data'!X18</f>
        <v>990</v>
      </c>
      <c r="H43" s="38" t="n">
        <f aca="false">'Input Data'!Y18</f>
        <v>0.289999999999964</v>
      </c>
      <c r="I43" s="40" t="n">
        <f aca="false">'Input Data'!Z18</f>
        <v>0.000292929292929256</v>
      </c>
      <c r="J43" s="23" t="str">
        <f aca="false">IF('Input Data'!Y18&gt;0,"▲ Above Mkt",IF('Input Data'!Y18&lt;0,"▼ Below Mkt","≈ At Market"))</f>
        <v>▲ Above Mkt</v>
      </c>
      <c r="K43" s="23"/>
      <c r="L43" s="23"/>
      <c r="M43" s="23"/>
      <c r="N43" s="10"/>
    </row>
    <row r="44" customFormat="false" ht="15" hidden="false" customHeight="true" outlineLevel="0" collapsed="false">
      <c r="A44" s="10"/>
      <c r="B44" s="45" t="str">
        <f aca="false">'Input Data'!C19</f>
        <v>12.02</v>
      </c>
      <c r="C44" s="30" t="str">
        <f aca="false">'Input Data'!D19</f>
        <v>Aei Insurance Group Pty Ltd</v>
      </c>
      <c r="D44" s="30"/>
      <c r="E44" s="47" t="n">
        <f aca="false">'Input Data'!F19</f>
        <v>536</v>
      </c>
      <c r="F44" s="50" t="n">
        <f aca="false">'Input Data'!J19</f>
        <v>988</v>
      </c>
      <c r="G44" s="50" t="n">
        <f aca="false">'Input Data'!X19</f>
        <v>1010</v>
      </c>
      <c r="H44" s="50" t="n">
        <f aca="false">'Input Data'!Y19</f>
        <v>-22</v>
      </c>
      <c r="I44" s="52" t="n">
        <f aca="false">'Input Data'!Z19</f>
        <v>-0.0217821782178218</v>
      </c>
      <c r="J44" s="30" t="str">
        <f aca="false">IF('Input Data'!Y19&gt;0,"▲ Above Mkt",IF('Input Data'!Y19&lt;0,"▼ Below Mkt","≈ At Market"))</f>
        <v>▼ Below Mkt</v>
      </c>
      <c r="K44" s="30"/>
      <c r="L44" s="30"/>
      <c r="M44" s="30"/>
      <c r="N44" s="10"/>
    </row>
    <row r="45" customFormat="false" ht="7.5" hidden="false" customHeight="true" outlineLevel="0" collapsed="false">
      <c r="A45" s="10"/>
      <c r="B45" s="10"/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</row>
    <row r="46" customFormat="false" ht="19.5" hidden="false" customHeight="true" outlineLevel="0" collapsed="false">
      <c r="A46" s="10"/>
      <c r="B46" s="11" t="s">
        <v>282</v>
      </c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0"/>
    </row>
    <row r="47" customFormat="false" ht="19.5" hidden="false" customHeight="true" outlineLevel="0" collapsed="false">
      <c r="A47" s="10"/>
      <c r="B47" s="19" t="s">
        <v>283</v>
      </c>
      <c r="C47" s="19"/>
      <c r="D47" s="19" t="s">
        <v>284</v>
      </c>
      <c r="E47" s="19" t="s">
        <v>285</v>
      </c>
      <c r="F47" s="19" t="s">
        <v>286</v>
      </c>
      <c r="G47" s="19" t="s">
        <v>287</v>
      </c>
      <c r="H47" s="19"/>
      <c r="I47" s="19"/>
      <c r="J47" s="19"/>
      <c r="K47" s="19"/>
      <c r="L47" s="19"/>
      <c r="M47" s="19"/>
      <c r="N47" s="10"/>
    </row>
    <row r="48" customFormat="false" ht="18" hidden="false" customHeight="true" outlineLevel="0" collapsed="false">
      <c r="A48" s="10"/>
      <c r="B48" s="59" t="s">
        <v>288</v>
      </c>
      <c r="C48" s="59"/>
      <c r="D48" s="54" t="s">
        <v>289</v>
      </c>
      <c r="E48" s="20" t="n">
        <v>46204</v>
      </c>
      <c r="F48" s="139" t="n">
        <f aca="true">IFERROR(INT(E48-TODAY()),"")</f>
        <v>-93</v>
      </c>
      <c r="G48" s="59" t="s">
        <v>290</v>
      </c>
      <c r="H48" s="59"/>
      <c r="I48" s="59"/>
      <c r="J48" s="59"/>
      <c r="K48" s="59"/>
      <c r="L48" s="59"/>
      <c r="M48" s="59"/>
      <c r="N48" s="10"/>
    </row>
    <row r="49" customFormat="false" ht="18" hidden="false" customHeight="true" outlineLevel="0" collapsed="false">
      <c r="A49" s="10"/>
      <c r="B49" s="32" t="s">
        <v>291</v>
      </c>
      <c r="C49" s="32"/>
      <c r="D49" s="140" t="s">
        <v>68</v>
      </c>
      <c r="E49" s="141" t="n">
        <v>46538</v>
      </c>
      <c r="F49" s="142" t="n">
        <f aca="true">IFERROR(INT(E49-TODAY()),"")</f>
        <v>241</v>
      </c>
      <c r="G49" s="32" t="s">
        <v>292</v>
      </c>
      <c r="H49" s="32"/>
      <c r="I49" s="32"/>
      <c r="J49" s="32"/>
      <c r="K49" s="32"/>
      <c r="L49" s="32"/>
      <c r="M49" s="32"/>
      <c r="N49" s="10"/>
    </row>
    <row r="50" customFormat="false" ht="18" hidden="false" customHeight="true" outlineLevel="0" collapsed="false">
      <c r="A50" s="10"/>
      <c r="B50" s="23" t="s">
        <v>293</v>
      </c>
      <c r="C50" s="23"/>
      <c r="D50" s="22" t="s">
        <v>294</v>
      </c>
      <c r="E50" s="36" t="n">
        <v>46447</v>
      </c>
      <c r="F50" s="143" t="n">
        <f aca="true">IFERROR(INT(E50-TODAY()),"")</f>
        <v>150</v>
      </c>
      <c r="G50" s="23" t="s">
        <v>295</v>
      </c>
      <c r="H50" s="23"/>
      <c r="I50" s="23"/>
      <c r="J50" s="23"/>
      <c r="K50" s="23"/>
      <c r="L50" s="23"/>
      <c r="M50" s="23"/>
      <c r="N50" s="10"/>
    </row>
    <row r="51" customFormat="false" ht="18" hidden="false" customHeight="true" outlineLevel="0" collapsed="false">
      <c r="A51" s="10"/>
      <c r="B51" s="133" t="s">
        <v>296</v>
      </c>
      <c r="C51" s="133"/>
      <c r="D51" s="62" t="s">
        <v>297</v>
      </c>
      <c r="E51" s="144" t="n">
        <v>46569</v>
      </c>
      <c r="F51" s="145" t="n">
        <f aca="true">IFERROR(INT(E51-TODAY()),"")</f>
        <v>272</v>
      </c>
      <c r="G51" s="133" t="s">
        <v>298</v>
      </c>
      <c r="H51" s="133"/>
      <c r="I51" s="133"/>
      <c r="J51" s="133"/>
      <c r="K51" s="133"/>
      <c r="L51" s="133"/>
      <c r="M51" s="133"/>
      <c r="N51" s="10"/>
    </row>
    <row r="52" customFormat="false" ht="18" hidden="false" customHeight="true" outlineLevel="0" collapsed="false">
      <c r="A52" s="10"/>
      <c r="B52" s="59" t="s">
        <v>291</v>
      </c>
      <c r="C52" s="59"/>
      <c r="D52" s="54" t="s">
        <v>297</v>
      </c>
      <c r="E52" s="20" t="n">
        <v>46539</v>
      </c>
      <c r="F52" s="139" t="n">
        <f aca="true">IFERROR(INT(E52-TODAY()),"")</f>
        <v>242</v>
      </c>
      <c r="G52" s="59" t="s">
        <v>299</v>
      </c>
      <c r="H52" s="59"/>
      <c r="I52" s="59"/>
      <c r="J52" s="59"/>
      <c r="K52" s="59"/>
      <c r="L52" s="59"/>
      <c r="M52" s="59"/>
      <c r="N52" s="10"/>
    </row>
    <row r="53" customFormat="false" ht="18" hidden="false" customHeight="true" outlineLevel="0" collapsed="false">
      <c r="A53" s="10"/>
      <c r="B53" s="59" t="s">
        <v>300</v>
      </c>
      <c r="C53" s="59"/>
      <c r="D53" s="54" t="s">
        <v>294</v>
      </c>
      <c r="E53" s="20" t="n">
        <v>46569</v>
      </c>
      <c r="F53" s="139" t="n">
        <f aca="true">IFERROR(INT(E53-TODAY()),"")</f>
        <v>272</v>
      </c>
      <c r="G53" s="59" t="s">
        <v>301</v>
      </c>
      <c r="H53" s="59"/>
      <c r="I53" s="59"/>
      <c r="J53" s="59"/>
      <c r="K53" s="59"/>
      <c r="L53" s="59"/>
      <c r="M53" s="59"/>
      <c r="N53" s="10"/>
    </row>
    <row r="54" customFormat="false" ht="18" hidden="false" customHeight="true" outlineLevel="0" collapsed="false">
      <c r="A54" s="10"/>
      <c r="B54" s="59" t="s">
        <v>302</v>
      </c>
      <c r="C54" s="59"/>
      <c r="D54" s="54" t="s">
        <v>303</v>
      </c>
      <c r="E54" s="20" t="n">
        <v>46572</v>
      </c>
      <c r="F54" s="139" t="n">
        <f aca="true">IFERROR(INT(E54-TODAY()),"")</f>
        <v>275</v>
      </c>
      <c r="G54" s="59" t="s">
        <v>304</v>
      </c>
      <c r="H54" s="59"/>
      <c r="I54" s="59"/>
      <c r="J54" s="59"/>
      <c r="K54" s="59"/>
      <c r="L54" s="59"/>
      <c r="M54" s="59"/>
      <c r="N54" s="10"/>
    </row>
    <row r="55" customFormat="false" ht="18" hidden="false" customHeight="true" outlineLevel="0" collapsed="false">
      <c r="A55" s="10"/>
      <c r="B55" s="59" t="s">
        <v>305</v>
      </c>
      <c r="C55" s="59"/>
      <c r="D55" s="54" t="s">
        <v>294</v>
      </c>
      <c r="E55" s="20" t="n">
        <v>46569</v>
      </c>
      <c r="F55" s="139" t="n">
        <f aca="true">IFERROR(INT(E55-TODAY()),"")</f>
        <v>272</v>
      </c>
      <c r="G55" s="59" t="s">
        <v>306</v>
      </c>
      <c r="H55" s="59"/>
      <c r="I55" s="59"/>
      <c r="J55" s="59"/>
      <c r="K55" s="59"/>
      <c r="L55" s="59"/>
      <c r="M55" s="59"/>
      <c r="N55" s="10"/>
    </row>
    <row r="56" customFormat="false" ht="18" hidden="false" customHeight="true" outlineLevel="0" collapsed="false">
      <c r="A56" s="10"/>
      <c r="B56" s="23" t="s">
        <v>302</v>
      </c>
      <c r="C56" s="23"/>
      <c r="D56" s="22" t="s">
        <v>68</v>
      </c>
      <c r="E56" s="36" t="n">
        <v>46571</v>
      </c>
      <c r="F56" s="143" t="n">
        <f aca="true">IFERROR(INT(E56-TODAY()),"")</f>
        <v>274</v>
      </c>
      <c r="G56" s="23" t="s">
        <v>307</v>
      </c>
      <c r="H56" s="23"/>
      <c r="I56" s="23"/>
      <c r="J56" s="23"/>
      <c r="K56" s="23"/>
      <c r="L56" s="23"/>
      <c r="M56" s="23"/>
      <c r="N56" s="10"/>
    </row>
    <row r="57" customFormat="false" ht="18" hidden="false" customHeight="true" outlineLevel="0" collapsed="false">
      <c r="A57" s="10"/>
      <c r="B57" s="59" t="s">
        <v>308</v>
      </c>
      <c r="C57" s="59"/>
      <c r="D57" s="54" t="s">
        <v>303</v>
      </c>
      <c r="E57" s="20" t="n">
        <v>46539</v>
      </c>
      <c r="F57" s="139" t="n">
        <f aca="true">IFERROR(INT(E57-TODAY()),"")</f>
        <v>242</v>
      </c>
      <c r="G57" s="59" t="s">
        <v>301</v>
      </c>
      <c r="H57" s="59"/>
      <c r="I57" s="59"/>
      <c r="J57" s="59"/>
      <c r="K57" s="59"/>
      <c r="L57" s="59"/>
      <c r="M57" s="59"/>
      <c r="N57" s="10"/>
    </row>
    <row r="58" customFormat="false" ht="18" hidden="false" customHeight="true" outlineLevel="0" collapsed="false">
      <c r="A58" s="10"/>
      <c r="B58" s="133" t="s">
        <v>309</v>
      </c>
      <c r="C58" s="133"/>
      <c r="D58" s="62" t="s">
        <v>310</v>
      </c>
      <c r="E58" s="144" t="s">
        <v>311</v>
      </c>
      <c r="F58" s="145" t="str">
        <f aca="true">IFERROR(INT(E58-TODAY()),"")</f>
        <v/>
      </c>
      <c r="G58" s="133" t="s">
        <v>312</v>
      </c>
      <c r="H58" s="133"/>
      <c r="I58" s="133"/>
      <c r="J58" s="133"/>
      <c r="K58" s="133"/>
      <c r="L58" s="133"/>
      <c r="M58" s="133"/>
      <c r="N58" s="10"/>
    </row>
    <row r="59" customFormat="false" ht="18" hidden="false" customHeight="true" outlineLevel="0" collapsed="false">
      <c r="A59" s="10"/>
      <c r="B59" s="133" t="s">
        <v>313</v>
      </c>
      <c r="C59" s="133"/>
      <c r="D59" s="62" t="s">
        <v>314</v>
      </c>
      <c r="E59" s="144" t="n">
        <v>46296</v>
      </c>
      <c r="F59" s="145" t="n">
        <f aca="true">IFERROR(INT(E59-TODAY()),"")</f>
        <v>-1</v>
      </c>
      <c r="G59" s="133" t="s">
        <v>315</v>
      </c>
      <c r="H59" s="133"/>
      <c r="I59" s="133"/>
      <c r="J59" s="133"/>
      <c r="K59" s="133"/>
      <c r="L59" s="133"/>
      <c r="M59" s="133"/>
      <c r="N59" s="10"/>
    </row>
    <row r="60" customFormat="false" ht="7.5" hidden="false" customHeight="true" outlineLevel="0" collapsed="false">
      <c r="A60" s="28"/>
      <c r="B60" s="146" t="s">
        <v>316</v>
      </c>
      <c r="C60" s="28"/>
      <c r="D60" s="146" t="s">
        <v>289</v>
      </c>
      <c r="E60" s="147" t="n">
        <v>46296</v>
      </c>
      <c r="F60" s="146" t="n">
        <f aca="true">IFERROR(INT(E60-TODAY()),"")</f>
        <v>-1</v>
      </c>
      <c r="G60" s="146" t="s">
        <v>317</v>
      </c>
      <c r="H60" s="28"/>
      <c r="I60" s="28"/>
      <c r="J60" s="28"/>
      <c r="K60" s="28"/>
      <c r="L60" s="28"/>
      <c r="M60" s="28"/>
      <c r="N60" s="28"/>
    </row>
    <row r="61" customFormat="false" ht="19.5" hidden="false" customHeight="true" outlineLevel="0" collapsed="false">
      <c r="A61" s="148"/>
      <c r="B61" s="11" t="s">
        <v>318</v>
      </c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48"/>
    </row>
    <row r="62" customFormat="false" ht="21.75" hidden="false" customHeight="true" outlineLevel="0" collapsed="false">
      <c r="A62" s="28"/>
      <c r="B62" s="149" t="s">
        <v>62</v>
      </c>
      <c r="C62" s="149" t="s">
        <v>319</v>
      </c>
      <c r="D62" s="149"/>
      <c r="E62" s="149" t="s">
        <v>66</v>
      </c>
      <c r="F62" s="149"/>
      <c r="G62" s="149" t="s">
        <v>320</v>
      </c>
      <c r="H62" s="149"/>
      <c r="I62" s="149" t="s">
        <v>262</v>
      </c>
      <c r="J62" s="149"/>
      <c r="K62" s="149" t="s">
        <v>321</v>
      </c>
      <c r="L62" s="149" t="s">
        <v>88</v>
      </c>
      <c r="M62" s="149"/>
      <c r="N62" s="28"/>
    </row>
    <row r="63" customFormat="false" ht="19.5" hidden="false" customHeight="true" outlineLevel="0" collapsed="false">
      <c r="A63" s="148"/>
      <c r="B63" s="74" t="s">
        <v>191</v>
      </c>
      <c r="C63" s="130" t="str">
        <f aca="true">IFERROR(MID(IF(('Input Data'!AD18&gt;TODAY())*('Input Data'!AE18&gt;0),", "&amp;'Input Data'!AF18&amp;" ("&amp;'Input Data'!C18&amp;")","")&amp;IF(('Input Data'!AD19&gt;TODAY())*('Input Data'!AE19&gt;0),", "&amp;'Input Data'!AF19&amp;" ("&amp;'Input Data'!C19&amp;")",""),3,999),"—")</f>
        <v>Smile Partners Australia (9.02), AEI Insurance Group (12.02)</v>
      </c>
      <c r="D63" s="130"/>
      <c r="E63" s="128" t="n">
        <f aca="false">SUMPRODUCT(('Input Data'!B3:B24="L12")*'Input Data'!F3:F24)</f>
        <v>787</v>
      </c>
      <c r="F63" s="128"/>
      <c r="G63" s="126" t="n">
        <f aca="true">SUMPRODUCT(('Input Data'!B3:B24="L12")*('Input Data'!AD3:AD24&gt;TODAY())*('Input Data'!AE3:AE24&gt;0)*'Input Data'!Q3:Q24)</f>
        <v>829892.8</v>
      </c>
      <c r="H63" s="126"/>
      <c r="I63" s="150"/>
      <c r="J63" s="150"/>
      <c r="K63" s="129" t="str">
        <f aca="false">IFERROR(IF(SUMPRODUCT(('Input Data'!B3:B24="L12")*('Input Data'!AE3:AE24&gt;0)*('Input Data'!AD3:AD24&gt;TODAY()))=0,"VACANT",TEXT(_xludf.minifs('Input Data'!AD3:AD24,'Input Data'!B3:B24,"L12",'Input Data'!AD3:AD24,"&gt;"&amp;TODAY(),'Input Data'!AE3:AE24,"&gt;0"),"YYYY")),"—")</f>
        <v>—</v>
      </c>
      <c r="L63" s="99"/>
      <c r="M63" s="99"/>
      <c r="N63" s="148"/>
    </row>
    <row r="64" customFormat="false" ht="19.5" hidden="false" customHeight="true" outlineLevel="0" collapsed="false">
      <c r="A64" s="28"/>
      <c r="B64" s="74" t="s">
        <v>220</v>
      </c>
      <c r="C64" s="130" t="str">
        <f aca="true">IFERROR(MID(IF(('Input Data'!AD23&gt;TODAY())*('Input Data'!AE23&gt;0),", "&amp;'Input Data'!AF23&amp;" ("&amp;'Input Data'!C23&amp;")","")&amp;IF(('Input Data'!AD24&gt;TODAY())*('Input Data'!AE24&gt;0),", "&amp;'Input Data'!AF24&amp;" ("&amp;'Input Data'!C24&amp;")",""),3,999),"—")</f>
        <v>Luxasia (11.01), Haskoning Australia (11.02)</v>
      </c>
      <c r="D64" s="130"/>
      <c r="E64" s="128" t="n">
        <f aca="false">SUMPRODUCT(('Input Data'!B3:B24="L11")*'Input Data'!F3:F24)</f>
        <v>790.5</v>
      </c>
      <c r="F64" s="128"/>
      <c r="G64" s="126" t="n">
        <f aca="true">SUMPRODUCT(('Input Data'!B3:B24="L11")*('Input Data'!AD3:AD24&gt;TODAY())*('Input Data'!AE3:AE24&gt;0)*'Input Data'!Q3:Q24)</f>
        <v>165597.52</v>
      </c>
      <c r="H64" s="126"/>
      <c r="I64" s="150"/>
      <c r="J64" s="150"/>
      <c r="K64" s="129" t="str">
        <f aca="false">IFERROR(IF(SUMPRODUCT(('Input Data'!B3:B24="L11")*('Input Data'!AE3:AE24&gt;0)*('Input Data'!AD3:AD24&gt;TODAY()))=0,"VACANT",TEXT(_xludf.minifs('Input Data'!AD3:AD24,'Input Data'!B3:B24,"L11",'Input Data'!AD3:AD24,"&gt;"&amp;TODAY(),'Input Data'!AE3:AE24,"&gt;0"),"YYYY")),"—")</f>
        <v>—</v>
      </c>
      <c r="L64" s="99"/>
      <c r="M64" s="99"/>
      <c r="N64" s="28"/>
    </row>
    <row r="65" customFormat="false" ht="19.5" hidden="false" customHeight="true" outlineLevel="0" collapsed="false">
      <c r="A65" s="148"/>
      <c r="B65" s="74" t="s">
        <v>214</v>
      </c>
      <c r="C65" s="130" t="str">
        <f aca="true">IFERROR(MID(IF(('Input Data'!AD21&gt;TODAY())*('Input Data'!AE21&gt;0),", "&amp;'Input Data'!AF21&amp;" ("&amp;'Input Data'!C21&amp;")","")&amp;IF(('Input Data'!AD22&gt;TODAY())*('Input Data'!AE22&gt;0),", "&amp;'Input Data'!AF22&amp;" ("&amp;'Input Data'!C22&amp;")",""),3,999),"—")</f>
        <v/>
      </c>
      <c r="D65" s="130"/>
      <c r="E65" s="128" t="n">
        <f aca="false">SUMPRODUCT(('Input Data'!B3:B24="L10")*'Input Data'!F3:F24)</f>
        <v>787</v>
      </c>
      <c r="F65" s="128"/>
      <c r="G65" s="126" t="n">
        <f aca="true">SUMPRODUCT(('Input Data'!B3:B24="L10")*('Input Data'!AD3:AD24&gt;TODAY())*('Input Data'!AE3:AE24&gt;0)*'Input Data'!Q3:Q24)</f>
        <v>0</v>
      </c>
      <c r="H65" s="126"/>
      <c r="I65" s="150"/>
      <c r="J65" s="150"/>
      <c r="K65" s="129" t="str">
        <f aca="false">IFERROR(IF(SUMPRODUCT(('Input Data'!B3:B24="L10")*('Input Data'!AE3:AE24&gt;0)*('Input Data'!AD3:AD24&gt;TODAY()))=0,"VACANT",TEXT(_xludf.minifs('Input Data'!AD3:AD24,'Input Data'!B3:B24,"L10",'Input Data'!AD3:AD24,"&gt;"&amp;TODAY(),'Input Data'!AE3:AE24,"&gt;0"),"YYYY")),"—")</f>
        <v>VACANT</v>
      </c>
      <c r="L65" s="99"/>
      <c r="M65" s="99"/>
      <c r="N65" s="148"/>
    </row>
    <row r="66" customFormat="false" ht="19.5" hidden="false" customHeight="true" outlineLevel="0" collapsed="false">
      <c r="A66" s="28"/>
      <c r="B66" s="74" t="s">
        <v>184</v>
      </c>
      <c r="C66" s="130" t="str">
        <f aca="true">IFERROR(MID(IF(('Input Data'!AD16&gt;TODAY())*('Input Data'!AE16&gt;0),", "&amp;'Input Data'!AF16&amp;" ("&amp;'Input Data'!C16&amp;")","")&amp;IF(('Input Data'!AD17&gt;TODAY())*('Input Data'!AE17&gt;0),", "&amp;'Input Data'!AF17&amp;" ("&amp;'Input Data'!C17&amp;")",""),3,999),"—")</f>
        <v>Pitt &amp; Sherry (9.01), Hulsbosch Design (12.01)</v>
      </c>
      <c r="D66" s="130"/>
      <c r="E66" s="128" t="n">
        <f aca="false">SUMPRODUCT(('Input Data'!B3:B24="L09")*'Input Data'!F3:F24)</f>
        <v>797.8</v>
      </c>
      <c r="F66" s="128"/>
      <c r="G66" s="126" t="n">
        <f aca="true">SUMPRODUCT(('Input Data'!B3:B24="L09")*('Input Data'!AD3:AD24&gt;TODAY())*('Input Data'!AE3:AE24&gt;0)*'Input Data'!Q3:Q24)</f>
        <v>627848.333</v>
      </c>
      <c r="H66" s="126"/>
      <c r="I66" s="150"/>
      <c r="J66" s="150"/>
      <c r="K66" s="129" t="str">
        <f aca="false">IFERROR(IF(SUMPRODUCT(('Input Data'!B3:B24="L09")*('Input Data'!AE3:AE24&gt;0)*('Input Data'!AD3:AD24&gt;TODAY()))=0,"VACANT",TEXT(_xludf.minifs('Input Data'!AD3:AD24,'Input Data'!B3:B24,"L09",'Input Data'!AD3:AD24,"&gt;"&amp;TODAY(),'Input Data'!AE3:AE24,"&gt;0"),"YYYY")),"—")</f>
        <v>—</v>
      </c>
      <c r="L66" s="99"/>
      <c r="M66" s="99"/>
      <c r="N66" s="28"/>
    </row>
    <row r="67" customFormat="false" ht="19.5" hidden="false" customHeight="true" outlineLevel="0" collapsed="false">
      <c r="A67" s="148"/>
      <c r="B67" s="74" t="s">
        <v>171</v>
      </c>
      <c r="C67" s="130" t="str">
        <f aca="true">IFERROR(MID(IF(('Input Data'!AD14&gt;TODAY())*('Input Data'!AE14&gt;0),", "&amp;'Input Data'!AF14&amp;" ("&amp;'Input Data'!C14&amp;")","")&amp;IF(('Input Data'!AD15&gt;TODAY())*('Input Data'!AE15&gt;0),", "&amp;'Input Data'!AF15&amp;" ("&amp;'Input Data'!C15&amp;")",""),3,999),"—")</f>
        <v>Vanderlande Industries (8.01), Can Too Foundation (8.03)</v>
      </c>
      <c r="D67" s="130"/>
      <c r="E67" s="128" t="n">
        <f aca="false">SUMPRODUCT(('Input Data'!B3:B24="L08")*'Input Data'!F3:F24)</f>
        <v>803</v>
      </c>
      <c r="F67" s="128"/>
      <c r="G67" s="126" t="n">
        <f aca="true">SUMPRODUCT(('Input Data'!B3:B24="L08")*('Input Data'!AD3:AD24&gt;TODAY())*('Input Data'!AE3:AE24&gt;0)*'Input Data'!Q3:Q24)</f>
        <v>653144.411</v>
      </c>
      <c r="H67" s="126"/>
      <c r="I67" s="150"/>
      <c r="J67" s="150"/>
      <c r="K67" s="129" t="str">
        <f aca="false">IFERROR(IF(SUMPRODUCT(('Input Data'!B3:B24="L08")*('Input Data'!AE3:AE24&gt;0)*('Input Data'!AD3:AD24&gt;TODAY()))=0,"VACANT",TEXT(_xludf.minifs('Input Data'!AD3:AD24,'Input Data'!B3:B24,"L08",'Input Data'!AD3:AD24,"&gt;"&amp;TODAY(),'Input Data'!AE3:AE24,"&gt;0"),"YYYY")),"—")</f>
        <v>—</v>
      </c>
      <c r="L67" s="99"/>
      <c r="M67" s="99"/>
      <c r="N67" s="148"/>
    </row>
    <row r="68" customFormat="false" ht="19.5" hidden="false" customHeight="true" outlineLevel="0" collapsed="false">
      <c r="A68" s="28"/>
      <c r="B68" s="74" t="s">
        <v>159</v>
      </c>
      <c r="C68" s="130" t="str">
        <f aca="true">IFERROR(MID(IF(('Input Data'!AD12&gt;TODAY())*('Input Data'!AE12&gt;0),", "&amp;'Input Data'!AF12&amp;" ("&amp;'Input Data'!C12&amp;")","")&amp;IF(('Input Data'!AD13&gt;TODAY())*('Input Data'!AE13&gt;0),", "&amp;'Input Data'!AF13&amp;" ("&amp;'Input Data'!C13&amp;")",""),3,999),"—")</f>
        <v>Sungrow (L7 Main) (7.01)</v>
      </c>
      <c r="D68" s="130"/>
      <c r="E68" s="128" t="n">
        <f aca="false">SUMPRODUCT(('Input Data'!B3:B24="L07")*'Input Data'!F3:F24)</f>
        <v>849.6</v>
      </c>
      <c r="F68" s="128"/>
      <c r="G68" s="126" t="n">
        <f aca="true">SUMPRODUCT(('Input Data'!B3:B24="L07")*('Input Data'!AD3:AD24&gt;TODAY())*('Input Data'!AE3:AE24&gt;0)*'Input Data'!Q3:Q24)</f>
        <v>693732.304</v>
      </c>
      <c r="H68" s="126"/>
      <c r="I68" s="150"/>
      <c r="J68" s="150"/>
      <c r="K68" s="129" t="str">
        <f aca="false">IFERROR(IF(SUMPRODUCT(('Input Data'!B3:B24="L07")*('Input Data'!AE3:AE24&gt;0)*('Input Data'!AD3:AD24&gt;TODAY()))=0,"VACANT",TEXT(_xludf.minifs('Input Data'!AD3:AD24,'Input Data'!B3:B24,"L07",'Input Data'!AD3:AD24,"&gt;"&amp;TODAY(),'Input Data'!AE3:AE24,"&gt;0"),"YYYY")),"—")</f>
        <v>—</v>
      </c>
      <c r="L68" s="99"/>
      <c r="M68" s="99"/>
      <c r="N68" s="28"/>
    </row>
    <row r="69" customFormat="false" ht="19.5" hidden="false" customHeight="true" outlineLevel="0" collapsed="false">
      <c r="A69" s="148"/>
      <c r="B69" s="74" t="s">
        <v>137</v>
      </c>
      <c r="C69" s="130" t="str">
        <f aca="true">IFERROR(MID(IF(('Input Data'!AD9&gt;TODAY())*('Input Data'!AE9&gt;0),", "&amp;'Input Data'!AF9&amp;" ("&amp;'Input Data'!C9&amp;")","")&amp;IF(('Input Data'!AD10&gt;TODAY())*('Input Data'!AE10&gt;0),", "&amp;'Input Data'!AF10&amp;" ("&amp;'Input Data'!C10&amp;")","")&amp;IF(('Input Data'!AD11&gt;TODAY())*('Input Data'!AE11&gt;0),", "&amp;'Input Data'!AF11&amp;" ("&amp;'Input Data'!C11&amp;")","")&amp;IF(('Input Data'!AD20&gt;TODAY())*('Input Data'!AE20&gt;0),", "&amp;'Input Data'!AF20&amp;" ("&amp;'Input Data'!C20&amp;")",""),3,999),"—")</f>
        <v>Sungrow (L6) (6.02), Keeping Company (6.03), Elekta (6.04), Caldas Constructions (6.01)</v>
      </c>
      <c r="D69" s="130"/>
      <c r="E69" s="128" t="n">
        <f aca="false">SUMPRODUCT(('Input Data'!B3:B24="L06")*'Input Data'!F3:F24)</f>
        <v>1095.4</v>
      </c>
      <c r="F69" s="128"/>
      <c r="G69" s="126" t="n">
        <f aca="true">SUMPRODUCT(('Input Data'!B3:B24="L06")*('Input Data'!AD3:AD24&gt;TODAY())*('Input Data'!AE3:AE24&gt;0)*'Input Data'!Q3:Q24)</f>
        <v>333097.138</v>
      </c>
      <c r="H69" s="126"/>
      <c r="I69" s="150"/>
      <c r="J69" s="150"/>
      <c r="K69" s="129" t="str">
        <f aca="false">IFERROR(IF(SUMPRODUCT(('Input Data'!B3:B24="L06")*('Input Data'!AE3:AE24&gt;0)*('Input Data'!AD3:AD24&gt;TODAY()))=0,"VACANT",TEXT(_xludf.minifs('Input Data'!AD3:AD24,'Input Data'!B3:B24,"L06",'Input Data'!AD3:AD24,"&gt;"&amp;TODAY(),'Input Data'!AE3:AE24,"&gt;0"),"YYYY")),"—")</f>
        <v>—</v>
      </c>
      <c r="L69" s="99"/>
      <c r="M69" s="99"/>
      <c r="N69" s="148"/>
    </row>
    <row r="70" customFormat="false" ht="19.5" hidden="false" customHeight="true" outlineLevel="0" collapsed="false">
      <c r="A70" s="28"/>
      <c r="B70" s="74" t="s">
        <v>116</v>
      </c>
      <c r="C70" s="130" t="str">
        <f aca="true">IFERROR(MID(IF(('Input Data'!AD6&gt;TODAY())*('Input Data'!AE6&gt;0),", "&amp;'Input Data'!AF6&amp;" ("&amp;'Input Data'!C6&amp;")","")&amp;IF(('Input Data'!AD7&gt;TODAY())*('Input Data'!AE7&gt;0),", "&amp;'Input Data'!AF7&amp;" ("&amp;'Input Data'!C7&amp;")","")&amp;IF(('Input Data'!AD8&gt;TODAY())*('Input Data'!AE8&gt;0),", "&amp;'Input Data'!AF8&amp;" ("&amp;'Input Data'!C8&amp;")",""),3,999),"—")</f>
        <v>Fitness First N. Sydney (5.01), Asterx (MediRecords) (5.03), Auctionsplus (5.04)</v>
      </c>
      <c r="D70" s="130"/>
      <c r="E70" s="128" t="n">
        <f aca="false">SUMPRODUCT(('Input Data'!B3:B24="L05")*'Input Data'!F3:F24)</f>
        <v>1080.4</v>
      </c>
      <c r="F70" s="128"/>
      <c r="G70" s="126" t="n">
        <f aca="true">SUMPRODUCT(('Input Data'!B3:B24="L05")*('Input Data'!AD3:AD24&gt;TODAY())*('Input Data'!AE3:AE24&gt;0)*'Input Data'!Q3:Q24)</f>
        <v>948757.799</v>
      </c>
      <c r="H70" s="126"/>
      <c r="I70" s="150"/>
      <c r="J70" s="150"/>
      <c r="K70" s="129" t="str">
        <f aca="false">IFERROR(IF(SUMPRODUCT(('Input Data'!B3:B24="L05")*('Input Data'!AE3:AE24&gt;0)*('Input Data'!AD3:AD24&gt;TODAY()))=0,"VACANT",TEXT(_xludf.minifs('Input Data'!AD3:AD24,'Input Data'!B3:B24,"L05",'Input Data'!AD3:AD24,"&gt;"&amp;TODAY(),'Input Data'!AE3:AE24,"&gt;0"),"YYYY")),"—")</f>
        <v>—</v>
      </c>
      <c r="L70" s="99"/>
      <c r="M70" s="99"/>
      <c r="N70" s="28"/>
    </row>
    <row r="71" customFormat="false" ht="19.5" hidden="false" customHeight="true" outlineLevel="0" collapsed="false">
      <c r="A71" s="148"/>
      <c r="B71" s="74" t="s">
        <v>111</v>
      </c>
      <c r="C71" s="130" t="str">
        <f aca="true">IFERROR(MID(IF(('Input Data'!AD5&gt;TODAY())*('Input Data'!AE5&gt;0),", "&amp;'Input Data'!AF5&amp;" ("&amp;'Input Data'!C5&amp;")",""),3,999),"—")</f>
        <v>Fitness First (L4) (4.01)</v>
      </c>
      <c r="D71" s="130"/>
      <c r="E71" s="128" t="n">
        <f aca="false">SUMPRODUCT(('Input Data'!B3:B24="L04")*'Input Data'!F3:F24)</f>
        <v>1047</v>
      </c>
      <c r="F71" s="128"/>
      <c r="G71" s="126" t="n">
        <f aca="true">SUMPRODUCT(('Input Data'!B3:B24="L04")*('Input Data'!AD3:AD24&gt;TODAY())*('Input Data'!AE3:AE24&gt;0)*'Input Data'!Q3:Q24)</f>
        <v>906078.3</v>
      </c>
      <c r="H71" s="126"/>
      <c r="I71" s="150"/>
      <c r="J71" s="150"/>
      <c r="K71" s="129" t="str">
        <f aca="false">IFERROR(IF(SUMPRODUCT(('Input Data'!B3:B24="L04")*('Input Data'!AE3:AE24&gt;0)*('Input Data'!AD3:AD24&gt;TODAY()))=0,"VACANT",TEXT(_xludf.minifs('Input Data'!AD3:AD24,'Input Data'!B3:B24,"L04",'Input Data'!AD3:AD24,"&gt;"&amp;TODAY(),'Input Data'!AE3:AE24,"&gt;0"),"YYYY")),"—")</f>
        <v>—</v>
      </c>
      <c r="L71" s="99"/>
      <c r="M71" s="99"/>
      <c r="N71" s="148"/>
    </row>
    <row r="72" customFormat="false" ht="19.5" hidden="false" customHeight="true" outlineLevel="0" collapsed="false">
      <c r="A72" s="28"/>
      <c r="B72" s="74" t="s">
        <v>94</v>
      </c>
      <c r="C72" s="130" t="str">
        <f aca="true">IFERROR(MID(IF(('Input Data'!AD3&gt;TODAY())*('Input Data'!AE3&gt;0),", "&amp;'Input Data'!AF3&amp;" ("&amp;'Input Data'!C3&amp;")","")&amp;IF(('Input Data'!AD4&gt;TODAY())*('Input Data'!AE4&gt;0),", "&amp;'Input Data'!AF4&amp;" ("&amp;'Input Data'!C4&amp;")",""),3,999),"—")</f>
        <v>Sydney Smiletree (3.01), Fitness First (L3) (3.02)</v>
      </c>
      <c r="D72" s="130"/>
      <c r="E72" s="128" t="n">
        <f aca="false">SUMPRODUCT(('Input Data'!B3:B24="L03")*'Input Data'!F3:F24)</f>
        <v>903.2</v>
      </c>
      <c r="F72" s="128"/>
      <c r="G72" s="126" t="n">
        <f aca="true">SUMPRODUCT(('Input Data'!B3:B24="L03")*('Input Data'!AD3:AD24&gt;TODAY())*('Input Data'!AE3:AE24&gt;0)*'Input Data'!Q3:Q24)</f>
        <v>852270.728</v>
      </c>
      <c r="H72" s="126"/>
      <c r="I72" s="150"/>
      <c r="J72" s="150"/>
      <c r="K72" s="129" t="str">
        <f aca="false">IFERROR(IF(SUMPRODUCT(('Input Data'!B3:B24="L03")*('Input Data'!AE3:AE24&gt;0)*('Input Data'!AD3:AD24&gt;TODAY()))=0,"VACANT",TEXT(_xludf.minifs('Input Data'!AD3:AD24,'Input Data'!B3:B24,"L03",'Input Data'!AD3:AD24,"&gt;"&amp;TODAY(),'Input Data'!AE3:AE24,"&gt;0"),"YYYY")),"—")</f>
        <v>—</v>
      </c>
      <c r="L72" s="99"/>
      <c r="M72" s="99"/>
      <c r="N72" s="28"/>
    </row>
    <row r="73" customFormat="false" ht="19.5" hidden="false" customHeight="true" outlineLevel="0" collapsed="false">
      <c r="A73" s="148"/>
      <c r="B73" s="74" t="s">
        <v>322</v>
      </c>
      <c r="C73" s="74"/>
      <c r="D73" s="74"/>
      <c r="E73" s="151" t="n">
        <f aca="false">SUM('Input Data'!F3:F24)</f>
        <v>8940.9</v>
      </c>
      <c r="F73" s="151"/>
      <c r="G73" s="76" t="n">
        <f aca="false">SUM('Input Data'!Q3:Q24)</f>
        <v>6047566.053</v>
      </c>
      <c r="H73" s="76"/>
      <c r="I73" s="132" t="s">
        <v>323</v>
      </c>
      <c r="J73" s="132"/>
      <c r="K73" s="132"/>
      <c r="L73" s="132"/>
      <c r="M73" s="132"/>
      <c r="N73" s="148"/>
    </row>
    <row r="74" customFormat="false" ht="9.75" hidden="false" customHeight="true" outlineLevel="0" collapsed="false">
      <c r="A74" s="28"/>
      <c r="B74" s="28"/>
      <c r="C74" s="28"/>
      <c r="D74" s="28"/>
      <c r="E74" s="28"/>
      <c r="F74" s="28"/>
      <c r="G74" s="28"/>
      <c r="H74" s="28"/>
      <c r="I74" s="28"/>
      <c r="J74" s="28"/>
      <c r="K74" s="28"/>
      <c r="L74" s="28"/>
      <c r="M74" s="28"/>
      <c r="N74" s="28"/>
    </row>
    <row r="75" customFormat="false" ht="21.75" hidden="false" customHeight="true" outlineLevel="0" collapsed="false">
      <c r="A75" s="148"/>
      <c r="B75" s="152" t="s">
        <v>324</v>
      </c>
      <c r="C75" s="152"/>
      <c r="D75" s="152"/>
      <c r="E75" s="152"/>
      <c r="F75" s="152"/>
      <c r="G75" s="152"/>
      <c r="H75" s="152"/>
      <c r="I75" s="152"/>
      <c r="J75" s="152"/>
      <c r="K75" s="152"/>
      <c r="L75" s="152"/>
      <c r="M75" s="152"/>
      <c r="N75" s="148"/>
    </row>
    <row r="76" customFormat="false" ht="27.75" hidden="false" customHeight="true" outlineLevel="0" collapsed="false">
      <c r="A76" s="10"/>
      <c r="B76" s="149"/>
      <c r="C76" s="149"/>
      <c r="D76" s="149"/>
      <c r="E76" s="149" t="s">
        <v>325</v>
      </c>
      <c r="F76" s="149" t="s">
        <v>326</v>
      </c>
      <c r="G76" s="149"/>
      <c r="H76" s="149" t="s">
        <v>327</v>
      </c>
      <c r="I76" s="149"/>
      <c r="J76" s="149" t="s">
        <v>328</v>
      </c>
      <c r="K76" s="149"/>
      <c r="L76" s="149"/>
      <c r="M76" s="149"/>
      <c r="N76" s="10"/>
    </row>
    <row r="77" customFormat="false" ht="19.5" hidden="false" customHeight="true" outlineLevel="0" collapsed="false">
      <c r="A77" s="10"/>
      <c r="B77" s="34" t="s">
        <v>329</v>
      </c>
      <c r="C77" s="34"/>
      <c r="D77" s="34"/>
      <c r="E77" s="153" t="n">
        <f aca="false">Valuations!C6</f>
        <v>0</v>
      </c>
      <c r="F77" s="126" t="n">
        <f aca="false">Valuations!D6</f>
        <v>0</v>
      </c>
      <c r="G77" s="126"/>
      <c r="H77" s="126" t="n">
        <f aca="false">Valuations!E6</f>
        <v>0</v>
      </c>
      <c r="I77" s="126"/>
      <c r="J77" s="154" t="n">
        <f aca="false">IFERROR(E77-G77,"")</f>
        <v>0</v>
      </c>
      <c r="K77" s="154"/>
      <c r="L77" s="155" t="str">
        <f aca="false">IFERROR((E77-G77)/G77,"")</f>
        <v/>
      </c>
      <c r="M77" s="155"/>
      <c r="N77" s="10"/>
    </row>
    <row r="78" customFormat="false" ht="19.5" hidden="false" customHeight="true" outlineLevel="0" collapsed="false">
      <c r="A78" s="10"/>
      <c r="B78" s="34" t="s">
        <v>330</v>
      </c>
      <c r="C78" s="34"/>
      <c r="D78" s="34"/>
      <c r="E78" s="156" t="n">
        <f aca="false">Valuations!C7</f>
        <v>0</v>
      </c>
      <c r="F78" s="157" t="n">
        <f aca="false">Valuations!D7</f>
        <v>0</v>
      </c>
      <c r="G78" s="157"/>
      <c r="H78" s="157" t="n">
        <f aca="false">Valuations!E7</f>
        <v>0</v>
      </c>
      <c r="I78" s="157"/>
      <c r="J78" s="22" t="s">
        <v>4</v>
      </c>
      <c r="K78" s="22"/>
      <c r="L78" s="22"/>
      <c r="M78" s="22"/>
      <c r="N78" s="10"/>
    </row>
    <row r="79" customFormat="false" ht="19.5" hidden="false" customHeight="true" outlineLevel="0" collapsed="false">
      <c r="A79" s="10"/>
      <c r="B79" s="34" t="s">
        <v>331</v>
      </c>
      <c r="C79" s="34"/>
      <c r="D79" s="34"/>
      <c r="E79" s="124" t="n">
        <f aca="false">Valuations!C8</f>
        <v>0</v>
      </c>
      <c r="F79" s="129" t="n">
        <f aca="false">Valuations!D8</f>
        <v>0</v>
      </c>
      <c r="G79" s="129"/>
      <c r="H79" s="129" t="n">
        <f aca="false">Valuations!E8</f>
        <v>0</v>
      </c>
      <c r="I79" s="129"/>
      <c r="J79" s="22" t="s">
        <v>4</v>
      </c>
      <c r="K79" s="22"/>
      <c r="L79" s="22"/>
      <c r="M79" s="22"/>
      <c r="N79" s="10"/>
    </row>
    <row r="80" customFormat="false" ht="19.5" hidden="false" customHeight="true" outlineLevel="0" collapsed="false">
      <c r="A80" s="10"/>
      <c r="B80" s="34" t="s">
        <v>332</v>
      </c>
      <c r="C80" s="34"/>
      <c r="D80" s="34"/>
      <c r="E80" s="158" t="n">
        <f aca="false">Valuations!C10</f>
        <v>0</v>
      </c>
      <c r="F80" s="159" t="n">
        <f aca="false">Valuations!D10</f>
        <v>0</v>
      </c>
      <c r="G80" s="159"/>
      <c r="H80" s="159" t="n">
        <f aca="false">Valuations!E10</f>
        <v>0</v>
      </c>
      <c r="I80" s="159"/>
      <c r="J80" s="80" t="n">
        <f aca="false">IFERROR(E80-G80,"")</f>
        <v>0</v>
      </c>
      <c r="K80" s="80"/>
      <c r="L80" s="155" t="str">
        <f aca="false">IFERROR((E80-G80)/G80,"")</f>
        <v/>
      </c>
      <c r="M80" s="155"/>
      <c r="N80" s="10"/>
    </row>
    <row r="81" customFormat="false" ht="19.5" hidden="false" customHeight="true" outlineLevel="0" collapsed="false">
      <c r="A81" s="10"/>
      <c r="B81" s="34" t="s">
        <v>333</v>
      </c>
      <c r="C81" s="34"/>
      <c r="D81" s="34"/>
      <c r="E81" s="158" t="n">
        <f aca="false">Valuations!C11</f>
        <v>0</v>
      </c>
      <c r="F81" s="159" t="n">
        <f aca="false">Valuations!D11</f>
        <v>0</v>
      </c>
      <c r="G81" s="159"/>
      <c r="H81" s="159" t="n">
        <f aca="false">Valuations!E11</f>
        <v>0</v>
      </c>
      <c r="I81" s="159"/>
      <c r="J81" s="80" t="n">
        <f aca="false">IFERROR(E81-G81,"")</f>
        <v>0</v>
      </c>
      <c r="K81" s="80"/>
      <c r="L81" s="155" t="str">
        <f aca="false">IFERROR((E81-G81)/G81,"")</f>
        <v/>
      </c>
      <c r="M81" s="155"/>
      <c r="N81" s="10"/>
    </row>
    <row r="82" customFormat="false" ht="19.5" hidden="false" customHeight="true" outlineLevel="0" collapsed="false">
      <c r="A82" s="10"/>
      <c r="B82" s="34" t="s">
        <v>334</v>
      </c>
      <c r="C82" s="34"/>
      <c r="D82" s="34"/>
      <c r="E82" s="121" t="n">
        <f aca="false">Valuations!C12</f>
        <v>0</v>
      </c>
      <c r="F82" s="126" t="n">
        <f aca="false">Valuations!D12</f>
        <v>0</v>
      </c>
      <c r="G82" s="126"/>
      <c r="H82" s="126" t="n">
        <f aca="false">Valuations!E12</f>
        <v>0</v>
      </c>
      <c r="I82" s="126"/>
      <c r="J82" s="154" t="n">
        <f aca="false">IFERROR(E82-G82,"")</f>
        <v>0</v>
      </c>
      <c r="K82" s="154"/>
      <c r="L82" s="155" t="str">
        <f aca="false">IFERROR((E82-G82)/G82,"")</f>
        <v/>
      </c>
      <c r="M82" s="155"/>
      <c r="N82" s="10"/>
    </row>
    <row r="83" customFormat="false" ht="19.5" hidden="false" customHeight="true" outlineLevel="0" collapsed="false">
      <c r="A83" s="10"/>
      <c r="B83" s="34" t="s">
        <v>335</v>
      </c>
      <c r="C83" s="34"/>
      <c r="D83" s="34"/>
      <c r="E83" s="124" t="n">
        <f aca="false">Valuations!C9</f>
        <v>0</v>
      </c>
      <c r="F83" s="129" t="n">
        <f aca="false">Valuations!D9</f>
        <v>0</v>
      </c>
      <c r="G83" s="129"/>
      <c r="H83" s="129" t="n">
        <f aca="false">Valuations!E9</f>
        <v>0</v>
      </c>
      <c r="I83" s="129"/>
      <c r="J83" s="22" t="s">
        <v>4</v>
      </c>
      <c r="K83" s="22"/>
      <c r="L83" s="22"/>
      <c r="M83" s="22"/>
      <c r="N83" s="10"/>
    </row>
    <row r="84" customFormat="false" ht="9.75" hidden="false" customHeight="true" outlineLevel="0" collapsed="false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</row>
    <row r="85" customFormat="false" ht="19.5" hidden="false" customHeight="true" outlineLevel="0" collapsed="false">
      <c r="A85" s="10"/>
      <c r="B85" s="11" t="s">
        <v>336</v>
      </c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0"/>
    </row>
    <row r="86" customFormat="false" ht="27.75" hidden="false" customHeight="true" outlineLevel="0" collapsed="false">
      <c r="A86" s="10"/>
      <c r="B86" s="149"/>
      <c r="C86" s="149"/>
      <c r="D86" s="149"/>
      <c r="E86" s="149" t="s">
        <v>337</v>
      </c>
      <c r="F86" s="149" t="s">
        <v>338</v>
      </c>
      <c r="G86" s="149"/>
      <c r="H86" s="149" t="s">
        <v>339</v>
      </c>
      <c r="I86" s="149"/>
      <c r="J86" s="149" t="s">
        <v>340</v>
      </c>
      <c r="K86" s="149"/>
      <c r="L86" s="149"/>
      <c r="M86" s="149"/>
      <c r="N86" s="10"/>
    </row>
    <row r="87" customFormat="false" ht="19.5" hidden="false" customHeight="true" outlineLevel="0" collapsed="false">
      <c r="A87" s="10"/>
      <c r="B87" s="34" t="s">
        <v>341</v>
      </c>
      <c r="C87" s="34"/>
      <c r="D87" s="34"/>
      <c r="E87" s="124" t="n">
        <f aca="false">Valuations!C20</f>
        <v>0</v>
      </c>
      <c r="F87" s="129" t="n">
        <f aca="false">Valuations!D20</f>
        <v>0</v>
      </c>
      <c r="G87" s="129"/>
      <c r="H87" s="129" t="n">
        <f aca="false">Valuations!E20</f>
        <v>0</v>
      </c>
      <c r="I87" s="129"/>
      <c r="J87" s="160" t="s">
        <v>4</v>
      </c>
      <c r="K87" s="160"/>
      <c r="L87" s="160"/>
      <c r="M87" s="160"/>
      <c r="N87" s="10"/>
    </row>
    <row r="88" customFormat="false" ht="19.5" hidden="false" customHeight="true" outlineLevel="0" collapsed="false">
      <c r="A88" s="10"/>
      <c r="B88" s="34" t="s">
        <v>342</v>
      </c>
      <c r="C88" s="34"/>
      <c r="D88" s="34"/>
      <c r="E88" s="153" t="n">
        <f aca="false">Valuations!C21</f>
        <v>0</v>
      </c>
      <c r="F88" s="126" t="n">
        <f aca="false">Valuations!D21</f>
        <v>0</v>
      </c>
      <c r="G88" s="126"/>
      <c r="H88" s="126" t="n">
        <f aca="false">Valuations!E21</f>
        <v>0</v>
      </c>
      <c r="I88" s="126"/>
      <c r="J88" s="154" t="n">
        <f aca="false">IFERROR(E88-G88,"")</f>
        <v>0</v>
      </c>
      <c r="K88" s="154"/>
      <c r="L88" s="155" t="str">
        <f aca="false">IFERROR((E88-G88)/G88,"")</f>
        <v/>
      </c>
      <c r="M88" s="155"/>
      <c r="N88" s="10"/>
    </row>
    <row r="89" customFormat="false" ht="19.5" hidden="false" customHeight="true" outlineLevel="0" collapsed="false">
      <c r="A89" s="10"/>
      <c r="B89" s="34" t="s">
        <v>343</v>
      </c>
      <c r="C89" s="34"/>
      <c r="D89" s="34"/>
      <c r="E89" s="121" t="n">
        <f aca="false">Valuations!C22</f>
        <v>0</v>
      </c>
      <c r="F89" s="126" t="n">
        <f aca="false">Valuations!D22</f>
        <v>0</v>
      </c>
      <c r="G89" s="126"/>
      <c r="H89" s="126" t="n">
        <f aca="false">Valuations!E22</f>
        <v>0</v>
      </c>
      <c r="I89" s="126"/>
      <c r="J89" s="154" t="n">
        <f aca="false">IFERROR(E89-G89,"")</f>
        <v>0</v>
      </c>
      <c r="K89" s="154"/>
      <c r="L89" s="155" t="str">
        <f aca="false">IFERROR((E89-G89)/G89,"")</f>
        <v/>
      </c>
      <c r="M89" s="155"/>
      <c r="N89" s="10"/>
    </row>
    <row r="90" customFormat="false" ht="19.5" hidden="false" customHeight="true" outlineLevel="0" collapsed="false">
      <c r="A90" s="10"/>
      <c r="B90" s="34" t="s">
        <v>344</v>
      </c>
      <c r="C90" s="34"/>
      <c r="D90" s="34"/>
      <c r="E90" s="156" t="n">
        <f aca="false">Valuations!C23</f>
        <v>0</v>
      </c>
      <c r="F90" s="157" t="n">
        <f aca="false">Valuations!D23</f>
        <v>0</v>
      </c>
      <c r="G90" s="157"/>
      <c r="H90" s="157" t="n">
        <f aca="false">Valuations!E23</f>
        <v>0</v>
      </c>
      <c r="I90" s="157"/>
      <c r="J90" s="160" t="s">
        <v>4</v>
      </c>
      <c r="K90" s="160"/>
      <c r="L90" s="160"/>
      <c r="M90" s="160"/>
      <c r="N90" s="10"/>
    </row>
    <row r="91" customFormat="false" ht="14.25" hidden="false" customHeight="true" outlineLevel="0" collapsed="false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</row>
    <row r="92" customFormat="false" ht="15.75" hidden="false" customHeight="true" outlineLevel="0" collapsed="false">
      <c r="A92" s="10"/>
      <c r="B92" s="161" t="s">
        <v>345</v>
      </c>
      <c r="C92" s="161"/>
      <c r="D92" s="161"/>
      <c r="E92" s="161"/>
      <c r="F92" s="161"/>
      <c r="G92" s="161"/>
      <c r="H92" s="161"/>
      <c r="I92" s="161"/>
      <c r="J92" s="161"/>
      <c r="K92" s="161"/>
      <c r="L92" s="161"/>
      <c r="M92" s="161"/>
      <c r="N92" s="10"/>
    </row>
  </sheetData>
  <mergeCells count="252">
    <mergeCell ref="A1:N1"/>
    <mergeCell ref="A2:N2"/>
    <mergeCell ref="B4:C4"/>
    <mergeCell ref="D4:E4"/>
    <mergeCell ref="F4:G4"/>
    <mergeCell ref="H4:I4"/>
    <mergeCell ref="J4:K4"/>
    <mergeCell ref="L4:M4"/>
    <mergeCell ref="B5:C5"/>
    <mergeCell ref="D5:E5"/>
    <mergeCell ref="F5:G5"/>
    <mergeCell ref="H5:I5"/>
    <mergeCell ref="J5:K5"/>
    <mergeCell ref="L5:M5"/>
    <mergeCell ref="B6:C6"/>
    <mergeCell ref="D6:E6"/>
    <mergeCell ref="F6:G6"/>
    <mergeCell ref="H6:I6"/>
    <mergeCell ref="J6:K6"/>
    <mergeCell ref="L6:M6"/>
    <mergeCell ref="B8:C8"/>
    <mergeCell ref="D8:E8"/>
    <mergeCell ref="F8:G8"/>
    <mergeCell ref="H8:I8"/>
    <mergeCell ref="J8:K8"/>
    <mergeCell ref="L8:M8"/>
    <mergeCell ref="B9:C9"/>
    <mergeCell ref="D9:E9"/>
    <mergeCell ref="F9:G9"/>
    <mergeCell ref="H9:I9"/>
    <mergeCell ref="J9:K9"/>
    <mergeCell ref="L9:M9"/>
    <mergeCell ref="B10:C10"/>
    <mergeCell ref="D10:E10"/>
    <mergeCell ref="F10:G10"/>
    <mergeCell ref="H10:I10"/>
    <mergeCell ref="J10:K10"/>
    <mergeCell ref="L10:M10"/>
    <mergeCell ref="B12:M12"/>
    <mergeCell ref="B13:D13"/>
    <mergeCell ref="F13:M13"/>
    <mergeCell ref="B14:D14"/>
    <mergeCell ref="F14:M14"/>
    <mergeCell ref="B15:D15"/>
    <mergeCell ref="F15:M15"/>
    <mergeCell ref="B17:M17"/>
    <mergeCell ref="B18:C18"/>
    <mergeCell ref="D18:E18"/>
    <mergeCell ref="J18:M18"/>
    <mergeCell ref="B19:C19"/>
    <mergeCell ref="D19:E19"/>
    <mergeCell ref="J19:M19"/>
    <mergeCell ref="B20:C20"/>
    <mergeCell ref="D20:E20"/>
    <mergeCell ref="J20:M20"/>
    <mergeCell ref="B21:C21"/>
    <mergeCell ref="D21:E21"/>
    <mergeCell ref="J21:M21"/>
    <mergeCell ref="B22:C22"/>
    <mergeCell ref="D22:E22"/>
    <mergeCell ref="J22:M22"/>
    <mergeCell ref="B23:C23"/>
    <mergeCell ref="D23:E23"/>
    <mergeCell ref="J23:M23"/>
    <mergeCell ref="B24:C24"/>
    <mergeCell ref="D24:E24"/>
    <mergeCell ref="J24:M24"/>
    <mergeCell ref="B25:C25"/>
    <mergeCell ref="D25:E25"/>
    <mergeCell ref="B27:M27"/>
    <mergeCell ref="C28:D28"/>
    <mergeCell ref="J28:M28"/>
    <mergeCell ref="C29:D29"/>
    <mergeCell ref="J29:M29"/>
    <mergeCell ref="C30:D30"/>
    <mergeCell ref="J30:M30"/>
    <mergeCell ref="C31:D31"/>
    <mergeCell ref="J31:M31"/>
    <mergeCell ref="C32:D32"/>
    <mergeCell ref="J32:M32"/>
    <mergeCell ref="C33:D33"/>
    <mergeCell ref="J33:M33"/>
    <mergeCell ref="C34:D34"/>
    <mergeCell ref="J34:M34"/>
    <mergeCell ref="C35:D35"/>
    <mergeCell ref="J35:M35"/>
    <mergeCell ref="C36:D36"/>
    <mergeCell ref="J36:M36"/>
    <mergeCell ref="C37:D37"/>
    <mergeCell ref="J37:M37"/>
    <mergeCell ref="C38:D38"/>
    <mergeCell ref="J38:M38"/>
    <mergeCell ref="C39:D39"/>
    <mergeCell ref="J39:M39"/>
    <mergeCell ref="C40:D40"/>
    <mergeCell ref="J40:M40"/>
    <mergeCell ref="C41:D41"/>
    <mergeCell ref="J41:M41"/>
    <mergeCell ref="C42:D42"/>
    <mergeCell ref="J42:M42"/>
    <mergeCell ref="C43:D43"/>
    <mergeCell ref="J43:M43"/>
    <mergeCell ref="C44:D44"/>
    <mergeCell ref="J44:M44"/>
    <mergeCell ref="B46:M46"/>
    <mergeCell ref="B47:C47"/>
    <mergeCell ref="G47:M47"/>
    <mergeCell ref="B48:C48"/>
    <mergeCell ref="G48:M48"/>
    <mergeCell ref="B49:C49"/>
    <mergeCell ref="G49:M49"/>
    <mergeCell ref="B50:C50"/>
    <mergeCell ref="G50:M50"/>
    <mergeCell ref="B51:C51"/>
    <mergeCell ref="G51:M51"/>
    <mergeCell ref="B52:C52"/>
    <mergeCell ref="G52:M52"/>
    <mergeCell ref="B53:C53"/>
    <mergeCell ref="G53:M53"/>
    <mergeCell ref="B54:C54"/>
    <mergeCell ref="G54:M54"/>
    <mergeCell ref="B55:C55"/>
    <mergeCell ref="G55:M55"/>
    <mergeCell ref="B56:C56"/>
    <mergeCell ref="G56:M56"/>
    <mergeCell ref="B57:C57"/>
    <mergeCell ref="G57:M57"/>
    <mergeCell ref="B58:C58"/>
    <mergeCell ref="G58:M58"/>
    <mergeCell ref="B59:C59"/>
    <mergeCell ref="G59:M59"/>
    <mergeCell ref="B61:M61"/>
    <mergeCell ref="C62:D62"/>
    <mergeCell ref="E62:F62"/>
    <mergeCell ref="G62:H62"/>
    <mergeCell ref="I62:J62"/>
    <mergeCell ref="L62:M62"/>
    <mergeCell ref="C63:D63"/>
    <mergeCell ref="E63:F63"/>
    <mergeCell ref="G63:H63"/>
    <mergeCell ref="I63:J63"/>
    <mergeCell ref="L63:M63"/>
    <mergeCell ref="C64:D64"/>
    <mergeCell ref="E64:F64"/>
    <mergeCell ref="G64:H64"/>
    <mergeCell ref="I64:J64"/>
    <mergeCell ref="L64:M64"/>
    <mergeCell ref="C65:D65"/>
    <mergeCell ref="E65:F65"/>
    <mergeCell ref="G65:H65"/>
    <mergeCell ref="I65:J65"/>
    <mergeCell ref="L65:M65"/>
    <mergeCell ref="C66:D66"/>
    <mergeCell ref="E66:F66"/>
    <mergeCell ref="G66:H66"/>
    <mergeCell ref="I66:J66"/>
    <mergeCell ref="L66:M66"/>
    <mergeCell ref="C67:D67"/>
    <mergeCell ref="E67:F67"/>
    <mergeCell ref="G67:H67"/>
    <mergeCell ref="I67:J67"/>
    <mergeCell ref="L67:M67"/>
    <mergeCell ref="C68:D68"/>
    <mergeCell ref="E68:F68"/>
    <mergeCell ref="G68:H68"/>
    <mergeCell ref="I68:J68"/>
    <mergeCell ref="L68:M68"/>
    <mergeCell ref="C69:D69"/>
    <mergeCell ref="E69:F69"/>
    <mergeCell ref="G69:H69"/>
    <mergeCell ref="I69:J69"/>
    <mergeCell ref="L69:M69"/>
    <mergeCell ref="C70:D70"/>
    <mergeCell ref="E70:F70"/>
    <mergeCell ref="G70:H70"/>
    <mergeCell ref="I70:J70"/>
    <mergeCell ref="L70:M70"/>
    <mergeCell ref="C71:D71"/>
    <mergeCell ref="E71:F71"/>
    <mergeCell ref="G71:H71"/>
    <mergeCell ref="I71:J71"/>
    <mergeCell ref="L71:M71"/>
    <mergeCell ref="C72:D72"/>
    <mergeCell ref="E72:F72"/>
    <mergeCell ref="G72:H72"/>
    <mergeCell ref="I72:J72"/>
    <mergeCell ref="L72:M72"/>
    <mergeCell ref="B73:D73"/>
    <mergeCell ref="E73:F73"/>
    <mergeCell ref="G73:H73"/>
    <mergeCell ref="I73:M73"/>
    <mergeCell ref="B75:M75"/>
    <mergeCell ref="B76:D76"/>
    <mergeCell ref="F76:G76"/>
    <mergeCell ref="H76:I76"/>
    <mergeCell ref="J76:M76"/>
    <mergeCell ref="B77:D77"/>
    <mergeCell ref="F77:G77"/>
    <mergeCell ref="H77:I77"/>
    <mergeCell ref="J77:K77"/>
    <mergeCell ref="L77:M77"/>
    <mergeCell ref="B78:D78"/>
    <mergeCell ref="F78:G78"/>
    <mergeCell ref="H78:I78"/>
    <mergeCell ref="J78:M78"/>
    <mergeCell ref="B79:D79"/>
    <mergeCell ref="F79:G79"/>
    <mergeCell ref="H79:I79"/>
    <mergeCell ref="J79:M79"/>
    <mergeCell ref="B80:D80"/>
    <mergeCell ref="F80:G80"/>
    <mergeCell ref="H80:I80"/>
    <mergeCell ref="J80:K80"/>
    <mergeCell ref="L80:M80"/>
    <mergeCell ref="B81:D81"/>
    <mergeCell ref="F81:G81"/>
    <mergeCell ref="H81:I81"/>
    <mergeCell ref="J81:K81"/>
    <mergeCell ref="L81:M81"/>
    <mergeCell ref="B82:D82"/>
    <mergeCell ref="F82:G82"/>
    <mergeCell ref="H82:I82"/>
    <mergeCell ref="J82:K82"/>
    <mergeCell ref="L82:M82"/>
    <mergeCell ref="B83:D83"/>
    <mergeCell ref="F83:G83"/>
    <mergeCell ref="H83:I83"/>
    <mergeCell ref="J83:M83"/>
    <mergeCell ref="B85:M85"/>
    <mergeCell ref="B86:D86"/>
    <mergeCell ref="F86:G86"/>
    <mergeCell ref="H86:I86"/>
    <mergeCell ref="J86:M86"/>
    <mergeCell ref="B87:D87"/>
    <mergeCell ref="F87:G87"/>
    <mergeCell ref="H87:I87"/>
    <mergeCell ref="J87:M87"/>
    <mergeCell ref="B88:D88"/>
    <mergeCell ref="F88:G88"/>
    <mergeCell ref="H88:I88"/>
    <mergeCell ref="J88:K88"/>
    <mergeCell ref="L88:M88"/>
    <mergeCell ref="B89:D89"/>
    <mergeCell ref="F89:G89"/>
    <mergeCell ref="H89:I89"/>
    <mergeCell ref="J89:K89"/>
    <mergeCell ref="L89:M89"/>
    <mergeCell ref="B90:D90"/>
    <mergeCell ref="F90:G90"/>
    <mergeCell ref="H90:I90"/>
    <mergeCell ref="J90:M90"/>
    <mergeCell ref="B92:M92"/>
  </mergeCells>
  <printOptions headings="false" gridLines="false" gridLinesSet="true" horizontalCentered="false" verticalCentered="false"/>
  <pageMargins left="0.75" right="0.75" top="1" bottom="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&amp;C&amp;"Georgia,Regular"Goldberg Family Office</oddHeader>
    <oddFooter>&amp;C&amp;"Georgia,Regular"Prepared by jake goldberg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1" width="1.45"/>
    <col collapsed="false" customWidth="true" hidden="false" outlineLevel="0" max="2" min="2" style="1" width="22"/>
    <col collapsed="false" customWidth="true" hidden="false" outlineLevel="0" max="6" min="3" style="1" width="16"/>
    <col collapsed="false" customWidth="true" hidden="false" outlineLevel="0" max="7" min="7" style="1" width="22"/>
    <col collapsed="false" customWidth="true" hidden="false" outlineLevel="0" max="8" min="8" style="1" width="1.45"/>
  </cols>
  <sheetData>
    <row r="1" customFormat="false" ht="31.5" hidden="false" customHeight="true" outlineLevel="0" collapsed="false">
      <c r="A1" s="8" t="s">
        <v>346</v>
      </c>
      <c r="B1" s="8"/>
      <c r="C1" s="8"/>
      <c r="D1" s="8"/>
      <c r="E1" s="8"/>
      <c r="F1" s="8"/>
      <c r="G1" s="8"/>
      <c r="H1" s="8"/>
    </row>
    <row r="2" customFormat="false" ht="18" hidden="false" customHeight="true" outlineLevel="0" collapsed="false">
      <c r="A2" s="162" t="s">
        <v>347</v>
      </c>
      <c r="B2" s="162"/>
      <c r="C2" s="162"/>
      <c r="D2" s="162"/>
      <c r="E2" s="162"/>
      <c r="F2" s="162"/>
      <c r="G2" s="162"/>
      <c r="H2" s="162"/>
    </row>
    <row r="3" customFormat="false" ht="7.5" hidden="false" customHeight="true" outlineLevel="0" collapsed="false">
      <c r="A3" s="10"/>
      <c r="B3" s="10"/>
      <c r="C3" s="10"/>
      <c r="D3" s="10"/>
      <c r="E3" s="10"/>
      <c r="F3" s="10"/>
      <c r="G3" s="10"/>
      <c r="H3" s="10"/>
    </row>
    <row r="4" customFormat="false" ht="21.75" hidden="false" customHeight="true" outlineLevel="0" collapsed="false">
      <c r="A4" s="10"/>
      <c r="B4" s="152" t="s">
        <v>348</v>
      </c>
      <c r="C4" s="152"/>
      <c r="D4" s="152"/>
      <c r="E4" s="152"/>
      <c r="F4" s="152"/>
      <c r="G4" s="152"/>
      <c r="H4" s="10"/>
    </row>
    <row r="5" customFormat="false" ht="27.75" hidden="false" customHeight="true" outlineLevel="0" collapsed="false">
      <c r="A5" s="10"/>
      <c r="B5" s="149"/>
      <c r="C5" s="149" t="s">
        <v>349</v>
      </c>
      <c r="D5" s="149" t="s">
        <v>350</v>
      </c>
      <c r="E5" s="149" t="s">
        <v>351</v>
      </c>
      <c r="F5" s="149" t="s">
        <v>88</v>
      </c>
      <c r="G5" s="149"/>
      <c r="H5" s="10"/>
    </row>
    <row r="6" customFormat="false" ht="19.5" hidden="false" customHeight="true" outlineLevel="0" collapsed="false">
      <c r="A6" s="10"/>
      <c r="B6" s="34" t="s">
        <v>352</v>
      </c>
      <c r="C6" s="163"/>
      <c r="D6" s="163"/>
      <c r="E6" s="163"/>
      <c r="F6" s="18"/>
      <c r="G6" s="18"/>
      <c r="H6" s="10"/>
    </row>
    <row r="7" customFormat="false" ht="19.5" hidden="false" customHeight="true" outlineLevel="0" collapsed="false">
      <c r="A7" s="10"/>
      <c r="B7" s="34" t="s">
        <v>330</v>
      </c>
      <c r="C7" s="71"/>
      <c r="D7" s="71"/>
      <c r="E7" s="71"/>
      <c r="F7" s="164"/>
      <c r="G7" s="164"/>
      <c r="H7" s="10"/>
    </row>
    <row r="8" customFormat="false" ht="19.5" hidden="false" customHeight="true" outlineLevel="0" collapsed="false">
      <c r="A8" s="10"/>
      <c r="B8" s="34" t="s">
        <v>331</v>
      </c>
      <c r="C8" s="165"/>
      <c r="D8" s="165"/>
      <c r="E8" s="165"/>
      <c r="F8" s="18"/>
      <c r="G8" s="18"/>
      <c r="H8" s="10"/>
    </row>
    <row r="9" customFormat="false" ht="19.5" hidden="false" customHeight="true" outlineLevel="0" collapsed="false">
      <c r="A9" s="10"/>
      <c r="B9" s="34" t="s">
        <v>335</v>
      </c>
      <c r="C9" s="166"/>
      <c r="D9" s="166"/>
      <c r="E9" s="166"/>
      <c r="F9" s="164"/>
      <c r="G9" s="164"/>
      <c r="H9" s="10"/>
    </row>
    <row r="10" customFormat="false" ht="19.5" hidden="false" customHeight="true" outlineLevel="0" collapsed="false">
      <c r="A10" s="10"/>
      <c r="B10" s="34" t="s">
        <v>353</v>
      </c>
      <c r="C10" s="167"/>
      <c r="D10" s="167"/>
      <c r="E10" s="167"/>
      <c r="F10" s="18"/>
      <c r="G10" s="18"/>
      <c r="H10" s="10"/>
    </row>
    <row r="11" customFormat="false" ht="19.5" hidden="false" customHeight="true" outlineLevel="0" collapsed="false">
      <c r="A11" s="10"/>
      <c r="B11" s="34" t="s">
        <v>354</v>
      </c>
      <c r="C11" s="168"/>
      <c r="D11" s="168"/>
      <c r="E11" s="168"/>
      <c r="F11" s="164"/>
      <c r="G11" s="164"/>
      <c r="H11" s="10"/>
    </row>
    <row r="12" customFormat="false" ht="19.5" hidden="false" customHeight="true" outlineLevel="0" collapsed="false">
      <c r="A12" s="10"/>
      <c r="B12" s="34" t="s">
        <v>355</v>
      </c>
      <c r="C12" s="163"/>
      <c r="D12" s="163"/>
      <c r="E12" s="163"/>
      <c r="F12" s="18"/>
      <c r="G12" s="18"/>
      <c r="H12" s="10"/>
    </row>
    <row r="13" customFormat="false" ht="19.5" hidden="false" customHeight="true" outlineLevel="0" collapsed="false">
      <c r="A13" s="10"/>
      <c r="B13" s="34" t="s">
        <v>356</v>
      </c>
      <c r="C13" s="169"/>
      <c r="D13" s="169"/>
      <c r="E13" s="169"/>
      <c r="F13" s="164"/>
      <c r="G13" s="164"/>
      <c r="H13" s="10"/>
    </row>
    <row r="14" customFormat="false" ht="18" hidden="false" customHeight="true" outlineLevel="0" collapsed="false">
      <c r="A14" s="10"/>
      <c r="B14" s="170" t="s">
        <v>357</v>
      </c>
      <c r="C14" s="170"/>
      <c r="D14" s="170"/>
      <c r="E14" s="170"/>
      <c r="F14" s="170"/>
      <c r="G14" s="170"/>
      <c r="H14" s="10"/>
    </row>
    <row r="15" customFormat="false" ht="19.5" hidden="false" customHeight="true" outlineLevel="0" collapsed="false">
      <c r="A15" s="10"/>
      <c r="B15" s="34" t="s">
        <v>358</v>
      </c>
      <c r="C15" s="154" t="n">
        <f aca="false">IFERROR(C6-D6,"")</f>
        <v>0</v>
      </c>
      <c r="D15" s="154"/>
      <c r="E15" s="155" t="str">
        <f aca="false">IFERROR((C6-D6)/D6,"")</f>
        <v/>
      </c>
      <c r="F15" s="171"/>
      <c r="G15" s="171"/>
      <c r="H15" s="10"/>
    </row>
    <row r="16" customFormat="false" ht="19.5" hidden="false" customHeight="true" outlineLevel="0" collapsed="false">
      <c r="A16" s="10"/>
      <c r="B16" s="46" t="s">
        <v>359</v>
      </c>
      <c r="C16" s="154" t="n">
        <f aca="false">IFERROR(D6-E6,"")</f>
        <v>0</v>
      </c>
      <c r="D16" s="154"/>
      <c r="E16" s="155" t="str">
        <f aca="false">IFERROR((D6-E6)/E6,"")</f>
        <v/>
      </c>
      <c r="F16" s="171"/>
      <c r="G16" s="171"/>
      <c r="H16" s="10"/>
    </row>
    <row r="17" customFormat="false" ht="9.75" hidden="false" customHeight="true" outlineLevel="0" collapsed="false">
      <c r="A17" s="10"/>
      <c r="B17" s="10"/>
      <c r="C17" s="10"/>
      <c r="D17" s="10"/>
      <c r="E17" s="10"/>
      <c r="F17" s="10"/>
      <c r="G17" s="10"/>
      <c r="H17" s="10"/>
    </row>
    <row r="18" customFormat="false" ht="21.75" hidden="false" customHeight="true" outlineLevel="0" collapsed="false">
      <c r="A18" s="10"/>
      <c r="B18" s="152" t="s">
        <v>360</v>
      </c>
      <c r="C18" s="152"/>
      <c r="D18" s="152"/>
      <c r="E18" s="152"/>
      <c r="F18" s="152"/>
      <c r="G18" s="152"/>
      <c r="H18" s="10"/>
    </row>
    <row r="19" customFormat="false" ht="27.75" hidden="false" customHeight="true" outlineLevel="0" collapsed="false">
      <c r="A19" s="10"/>
      <c r="B19" s="149"/>
      <c r="C19" s="149" t="s">
        <v>361</v>
      </c>
      <c r="D19" s="149" t="s">
        <v>338</v>
      </c>
      <c r="E19" s="149" t="s">
        <v>339</v>
      </c>
      <c r="F19" s="149" t="s">
        <v>88</v>
      </c>
      <c r="G19" s="149"/>
      <c r="H19" s="10"/>
    </row>
    <row r="20" customFormat="false" ht="19.5" hidden="false" customHeight="true" outlineLevel="0" collapsed="false">
      <c r="A20" s="10"/>
      <c r="B20" s="34" t="s">
        <v>341</v>
      </c>
      <c r="C20" s="165"/>
      <c r="D20" s="165"/>
      <c r="E20" s="165"/>
      <c r="F20" s="18"/>
      <c r="G20" s="18"/>
      <c r="H20" s="10"/>
    </row>
    <row r="21" customFormat="false" ht="19.5" hidden="false" customHeight="true" outlineLevel="0" collapsed="false">
      <c r="A21" s="10"/>
      <c r="B21" s="34" t="s">
        <v>342</v>
      </c>
      <c r="C21" s="169"/>
      <c r="D21" s="169"/>
      <c r="E21" s="169"/>
      <c r="F21" s="164"/>
      <c r="G21" s="164"/>
      <c r="H21" s="10"/>
    </row>
    <row r="22" customFormat="false" ht="19.5" hidden="false" customHeight="true" outlineLevel="0" collapsed="false">
      <c r="A22" s="10"/>
      <c r="B22" s="34" t="s">
        <v>343</v>
      </c>
      <c r="C22" s="163"/>
      <c r="D22" s="163"/>
      <c r="E22" s="163"/>
      <c r="F22" s="18"/>
      <c r="G22" s="18"/>
      <c r="H22" s="10"/>
    </row>
    <row r="23" customFormat="false" ht="19.5" hidden="false" customHeight="true" outlineLevel="0" collapsed="false">
      <c r="A23" s="10"/>
      <c r="B23" s="34" t="s">
        <v>344</v>
      </c>
      <c r="C23" s="71"/>
      <c r="D23" s="71"/>
      <c r="E23" s="71"/>
      <c r="F23" s="164"/>
      <c r="G23" s="164"/>
      <c r="H23" s="10"/>
    </row>
    <row r="24" customFormat="false" ht="19.5" hidden="false" customHeight="true" outlineLevel="0" collapsed="false">
      <c r="A24" s="10"/>
      <c r="B24" s="34" t="s">
        <v>362</v>
      </c>
      <c r="C24" s="163"/>
      <c r="D24" s="163"/>
      <c r="E24" s="163"/>
      <c r="F24" s="18"/>
      <c r="G24" s="18"/>
      <c r="H24" s="10"/>
    </row>
    <row r="25" customFormat="false" ht="19.5" hidden="false" customHeight="true" outlineLevel="0" collapsed="false">
      <c r="A25" s="10"/>
      <c r="B25" s="34" t="s">
        <v>363</v>
      </c>
      <c r="C25" s="172"/>
      <c r="D25" s="172"/>
      <c r="E25" s="172"/>
      <c r="F25" s="164"/>
      <c r="G25" s="164"/>
      <c r="H25" s="10"/>
    </row>
    <row r="26" customFormat="false" ht="19.5" hidden="false" customHeight="true" outlineLevel="0" collapsed="false">
      <c r="A26" s="10"/>
      <c r="B26" s="34" t="s">
        <v>364</v>
      </c>
      <c r="C26" s="72"/>
      <c r="D26" s="72"/>
      <c r="E26" s="72"/>
      <c r="F26" s="18"/>
      <c r="G26" s="18"/>
      <c r="H26" s="10"/>
    </row>
    <row r="27" customFormat="false" ht="19.5" hidden="false" customHeight="true" outlineLevel="0" collapsed="false">
      <c r="A27" s="10"/>
      <c r="B27" s="34" t="s">
        <v>365</v>
      </c>
      <c r="C27" s="166"/>
      <c r="D27" s="166"/>
      <c r="E27" s="166"/>
      <c r="F27" s="164"/>
      <c r="G27" s="164"/>
      <c r="H27" s="10"/>
    </row>
    <row r="28" customFormat="false" ht="9.75" hidden="false" customHeight="true" outlineLevel="0" collapsed="false">
      <c r="A28" s="10"/>
      <c r="B28" s="10"/>
      <c r="C28" s="10"/>
      <c r="D28" s="10"/>
      <c r="E28" s="10"/>
      <c r="F28" s="10"/>
      <c r="G28" s="10"/>
      <c r="H28" s="10"/>
    </row>
    <row r="29" customFormat="false" ht="18" hidden="false" customHeight="true" outlineLevel="0" collapsed="false">
      <c r="A29" s="10"/>
      <c r="B29" s="170" t="s">
        <v>366</v>
      </c>
      <c r="C29" s="170"/>
      <c r="D29" s="170"/>
      <c r="E29" s="170"/>
      <c r="F29" s="170"/>
      <c r="G29" s="170"/>
      <c r="H29" s="10"/>
    </row>
    <row r="30" customFormat="false" ht="19.5" hidden="false" customHeight="true" outlineLevel="0" collapsed="false">
      <c r="A30" s="10"/>
      <c r="B30" s="34" t="s">
        <v>367</v>
      </c>
      <c r="C30" s="154" t="n">
        <f aca="false">IFERROR(C21-D21,"")</f>
        <v>0</v>
      </c>
      <c r="D30" s="154"/>
      <c r="E30" s="155" t="str">
        <f aca="false">IFERROR((C21-D21)/D21,"")</f>
        <v/>
      </c>
      <c r="F30" s="171"/>
      <c r="G30" s="171"/>
      <c r="H30" s="10"/>
    </row>
    <row r="31" customFormat="false" ht="19.5" hidden="false" customHeight="true" outlineLevel="0" collapsed="false">
      <c r="A31" s="10"/>
      <c r="B31" s="173" t="s">
        <v>368</v>
      </c>
      <c r="C31" s="154" t="n">
        <f aca="false">IFERROR(D21-E21,"")</f>
        <v>0</v>
      </c>
      <c r="D31" s="154"/>
      <c r="E31" s="155" t="str">
        <f aca="false">IFERROR((D21-E21)/E21,"")</f>
        <v/>
      </c>
      <c r="F31" s="171"/>
      <c r="G31" s="171"/>
      <c r="H31" s="10"/>
    </row>
    <row r="32" customFormat="false" ht="9.75" hidden="false" customHeight="true" outlineLevel="0" collapsed="false">
      <c r="A32" s="10"/>
      <c r="B32" s="10"/>
      <c r="C32" s="10"/>
      <c r="D32" s="10"/>
      <c r="E32" s="10"/>
      <c r="F32" s="10"/>
      <c r="G32" s="10"/>
      <c r="H32" s="10"/>
    </row>
    <row r="33" customFormat="false" ht="21.75" hidden="false" customHeight="true" outlineLevel="0" collapsed="false">
      <c r="A33" s="10"/>
      <c r="B33" s="152" t="s">
        <v>369</v>
      </c>
      <c r="C33" s="152"/>
      <c r="D33" s="152"/>
      <c r="E33" s="152"/>
      <c r="F33" s="152"/>
      <c r="G33" s="152"/>
      <c r="H33" s="10"/>
    </row>
    <row r="34" customFormat="false" ht="24" hidden="false" customHeight="true" outlineLevel="0" collapsed="false">
      <c r="A34" s="10"/>
      <c r="B34" s="149" t="s">
        <v>370</v>
      </c>
      <c r="C34" s="149"/>
      <c r="D34" s="149" t="s">
        <v>371</v>
      </c>
      <c r="E34" s="149"/>
      <c r="F34" s="149"/>
      <c r="G34" s="149" t="s">
        <v>372</v>
      </c>
      <c r="H34" s="10"/>
    </row>
    <row r="35" customFormat="false" ht="19.5" hidden="false" customHeight="true" outlineLevel="0" collapsed="false">
      <c r="A35" s="10"/>
      <c r="B35" s="34" t="s">
        <v>373</v>
      </c>
      <c r="C35" s="34"/>
      <c r="D35" s="174"/>
      <c r="E35" s="174"/>
      <c r="F35" s="174"/>
      <c r="G35" s="166"/>
      <c r="H35" s="10"/>
    </row>
    <row r="36" customFormat="false" ht="19.5" hidden="false" customHeight="true" outlineLevel="0" collapsed="false">
      <c r="A36" s="10"/>
      <c r="B36" s="34" t="s">
        <v>374</v>
      </c>
      <c r="C36" s="34"/>
      <c r="D36" s="175"/>
      <c r="E36" s="175"/>
      <c r="F36" s="175"/>
      <c r="G36" s="163"/>
      <c r="H36" s="10"/>
    </row>
    <row r="37" customFormat="false" ht="19.5" hidden="false" customHeight="true" outlineLevel="0" collapsed="false">
      <c r="A37" s="10"/>
      <c r="B37" s="34" t="s">
        <v>375</v>
      </c>
      <c r="C37" s="34"/>
      <c r="D37" s="176"/>
      <c r="E37" s="176"/>
      <c r="F37" s="176"/>
      <c r="G37" s="71"/>
      <c r="H37" s="10"/>
    </row>
    <row r="38" customFormat="false" ht="19.5" hidden="false" customHeight="true" outlineLevel="0" collapsed="false">
      <c r="A38" s="10"/>
      <c r="B38" s="34" t="s">
        <v>376</v>
      </c>
      <c r="C38" s="34"/>
      <c r="D38" s="177"/>
      <c r="E38" s="177"/>
      <c r="F38" s="177"/>
      <c r="G38" s="178"/>
      <c r="H38" s="10"/>
    </row>
    <row r="39" customFormat="false" ht="19.5" hidden="false" customHeight="true" outlineLevel="0" collapsed="false">
      <c r="A39" s="10"/>
      <c r="B39" s="34" t="s">
        <v>377</v>
      </c>
      <c r="C39" s="34"/>
      <c r="D39" s="174"/>
      <c r="E39" s="174"/>
      <c r="F39" s="174"/>
      <c r="G39" s="166"/>
      <c r="H39" s="10"/>
    </row>
    <row r="40" customFormat="false" ht="19.5" hidden="false" customHeight="true" outlineLevel="0" collapsed="false">
      <c r="A40" s="10"/>
      <c r="B40" s="34" t="s">
        <v>378</v>
      </c>
      <c r="C40" s="34"/>
      <c r="D40" s="179"/>
      <c r="E40" s="179"/>
      <c r="F40" s="179"/>
      <c r="G40" s="72"/>
      <c r="H40" s="10"/>
    </row>
    <row r="41" customFormat="false" ht="19.5" hidden="false" customHeight="true" outlineLevel="0" collapsed="false">
      <c r="A41" s="10"/>
      <c r="B41" s="34" t="s">
        <v>379</v>
      </c>
      <c r="C41" s="34"/>
      <c r="D41" s="155" t="str">
        <f aca="false">IFERROR(D36/Valuations!C6,"")</f>
        <v/>
      </c>
      <c r="E41" s="155"/>
      <c r="F41" s="155"/>
      <c r="G41" s="180"/>
      <c r="H41" s="10"/>
    </row>
    <row r="42" customFormat="false" ht="19.5" hidden="false" customHeight="true" outlineLevel="0" collapsed="false">
      <c r="A42" s="10"/>
      <c r="B42" s="34" t="s">
        <v>380</v>
      </c>
      <c r="C42" s="34"/>
      <c r="D42" s="181"/>
      <c r="E42" s="181"/>
      <c r="F42" s="181"/>
      <c r="G42" s="182"/>
      <c r="H42" s="10"/>
    </row>
    <row r="43" customFormat="false" ht="19.5" hidden="false" customHeight="true" outlineLevel="0" collapsed="false">
      <c r="A43" s="10"/>
      <c r="B43" s="34" t="s">
        <v>381</v>
      </c>
      <c r="C43" s="34"/>
      <c r="D43" s="174"/>
      <c r="E43" s="174"/>
      <c r="F43" s="174"/>
      <c r="G43" s="166"/>
      <c r="H43" s="10"/>
    </row>
    <row r="44" customFormat="false" ht="9.75" hidden="false" customHeight="true" outlineLevel="0" collapsed="false">
      <c r="A44" s="10"/>
      <c r="B44" s="10"/>
      <c r="C44" s="10"/>
      <c r="D44" s="10"/>
      <c r="E44" s="10"/>
      <c r="F44" s="10"/>
      <c r="G44" s="10"/>
      <c r="H44" s="10"/>
    </row>
    <row r="45" customFormat="false" ht="19.5" hidden="false" customHeight="true" outlineLevel="0" collapsed="false">
      <c r="A45" s="10"/>
      <c r="B45" s="183" t="s">
        <v>382</v>
      </c>
      <c r="C45" s="183"/>
      <c r="D45" s="183"/>
      <c r="E45" s="183"/>
      <c r="F45" s="183"/>
      <c r="G45" s="183"/>
      <c r="H45" s="10"/>
    </row>
  </sheetData>
  <mergeCells count="54">
    <mergeCell ref="A1:H1"/>
    <mergeCell ref="A2:H2"/>
    <mergeCell ref="B4:G4"/>
    <mergeCell ref="F5:G5"/>
    <mergeCell ref="F6:G6"/>
    <mergeCell ref="F7:G7"/>
    <mergeCell ref="F8:G8"/>
    <mergeCell ref="F9:G9"/>
    <mergeCell ref="F10:G10"/>
    <mergeCell ref="F11:G11"/>
    <mergeCell ref="F12:G12"/>
    <mergeCell ref="F13:G13"/>
    <mergeCell ref="B14:G14"/>
    <mergeCell ref="C15:D15"/>
    <mergeCell ref="F15:G15"/>
    <mergeCell ref="C16:D16"/>
    <mergeCell ref="F16:G16"/>
    <mergeCell ref="B18:G18"/>
    <mergeCell ref="F19:G19"/>
    <mergeCell ref="F20:G20"/>
    <mergeCell ref="F21:G21"/>
    <mergeCell ref="F22:G22"/>
    <mergeCell ref="F23:G23"/>
    <mergeCell ref="F24:G24"/>
    <mergeCell ref="F25:G25"/>
    <mergeCell ref="F26:G26"/>
    <mergeCell ref="F27:G27"/>
    <mergeCell ref="B29:G29"/>
    <mergeCell ref="C30:D30"/>
    <mergeCell ref="F30:G30"/>
    <mergeCell ref="C31:D31"/>
    <mergeCell ref="F31:G31"/>
    <mergeCell ref="B33:G33"/>
    <mergeCell ref="B34:C34"/>
    <mergeCell ref="D34:F34"/>
    <mergeCell ref="B35:C35"/>
    <mergeCell ref="D35:F35"/>
    <mergeCell ref="B36:C36"/>
    <mergeCell ref="D36:F36"/>
    <mergeCell ref="B37:C37"/>
    <mergeCell ref="D37:F37"/>
    <mergeCell ref="B38:C38"/>
    <mergeCell ref="D38:F38"/>
    <mergeCell ref="B39:C39"/>
    <mergeCell ref="D39:F39"/>
    <mergeCell ref="B40:C40"/>
    <mergeCell ref="D40:F40"/>
    <mergeCell ref="B41:C41"/>
    <mergeCell ref="D41:F41"/>
    <mergeCell ref="B42:C42"/>
    <mergeCell ref="D42:F42"/>
    <mergeCell ref="B43:C43"/>
    <mergeCell ref="D43:F43"/>
    <mergeCell ref="B45:G45"/>
  </mergeCells>
  <printOptions headings="false" gridLines="false" gridLinesSet="true" horizontalCentered="false" verticalCentered="false"/>
  <pageMargins left="0.75" right="0.75" top="1" bottom="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&amp;C&amp;"Georgia,Regular"Goldberg Family Office</oddHeader>
    <oddFooter>&amp;C&amp;"Georgia,Regular"Prepared by jake goldberg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8"/>
  <sheetViews>
    <sheetView showFormulas="false" showGridLines="false" showRowColHeaders="true" showZeros="true" rightToLeft="false" tabSelected="false" showOutlineSymbols="true" defaultGridColor="true" view="normal" topLeftCell="A1" colorId="64" zoomScale="74" zoomScaleNormal="74" zoomScalePageLayoutView="100" workbookViewId="0">
      <pane xSplit="0" ySplit="3" topLeftCell="A4" activePane="bottomLeft" state="frozen"/>
      <selection pane="topLeft" activeCell="A1" activeCellId="0" sqref="A1"/>
      <selection pane="bottomLeft" activeCell="D4" activeCellId="0" sqref="D4"/>
    </sheetView>
  </sheetViews>
  <sheetFormatPr defaultColWidth="8.6328125" defaultRowHeight="14.25" zeroHeight="false" outlineLevelRow="0" outlineLevelCol="0"/>
  <cols>
    <col collapsed="false" customWidth="true" hidden="false" outlineLevel="0" max="1" min="1" style="1" width="1.45"/>
    <col collapsed="false" customWidth="true" hidden="false" outlineLevel="0" max="2" min="2" style="1" width="10"/>
    <col collapsed="false" customWidth="true" hidden="false" outlineLevel="0" max="3" min="3" style="1" width="12"/>
    <col collapsed="false" customWidth="true" hidden="false" outlineLevel="0" max="4" min="4" style="1" width="28"/>
    <col collapsed="false" customWidth="true" hidden="false" outlineLevel="0" max="5" min="5" style="1" width="19.09"/>
    <col collapsed="false" customWidth="true" hidden="false" outlineLevel="0" max="6" min="6" style="1" width="18.45"/>
    <col collapsed="false" customWidth="true" hidden="false" outlineLevel="0" max="7" min="7" style="1" width="12"/>
    <col collapsed="false" customWidth="true" hidden="false" outlineLevel="0" max="8" min="8" style="1" width="11"/>
    <col collapsed="false" customWidth="true" hidden="false" outlineLevel="0" max="9" min="9" style="1" width="12"/>
    <col collapsed="false" customWidth="true" hidden="false" outlineLevel="0" max="10" min="10" style="1" width="11"/>
    <col collapsed="false" customWidth="true" hidden="false" outlineLevel="0" max="11" min="11" style="1" width="12"/>
    <col collapsed="false" customWidth="true" hidden="false" outlineLevel="0" max="12" min="12" style="1" width="11"/>
    <col collapsed="false" customWidth="true" hidden="false" outlineLevel="0" max="13" min="13" style="1" width="5.73"/>
  </cols>
  <sheetData>
    <row r="1" customFormat="false" ht="27.75" hidden="false" customHeight="true" outlineLevel="0" collapsed="false">
      <c r="A1" s="184" t="s">
        <v>383</v>
      </c>
      <c r="B1" s="184"/>
      <c r="C1" s="184"/>
      <c r="D1" s="184"/>
      <c r="E1" s="184"/>
      <c r="F1" s="184"/>
      <c r="G1" s="184"/>
      <c r="H1" s="184"/>
      <c r="I1" s="184"/>
      <c r="J1" s="184"/>
      <c r="K1" s="184"/>
      <c r="L1" s="184"/>
      <c r="M1" s="184"/>
    </row>
    <row r="2" customFormat="false" ht="15.75" hidden="false" customHeight="true" outlineLevel="0" collapsed="false">
      <c r="A2" s="185" t="s">
        <v>384</v>
      </c>
      <c r="B2" s="185"/>
      <c r="C2" s="185"/>
      <c r="D2" s="185"/>
      <c r="E2" s="185"/>
      <c r="F2" s="185"/>
      <c r="G2" s="185"/>
      <c r="H2" s="185"/>
      <c r="I2" s="185"/>
      <c r="J2" s="185"/>
      <c r="K2" s="185"/>
      <c r="L2" s="185"/>
      <c r="M2" s="185"/>
    </row>
    <row r="3" customFormat="false" ht="36" hidden="false" customHeight="true" outlineLevel="0" collapsed="false">
      <c r="A3" s="10"/>
      <c r="B3" s="149" t="s">
        <v>274</v>
      </c>
      <c r="C3" s="149" t="s">
        <v>385</v>
      </c>
      <c r="D3" s="149" t="s">
        <v>386</v>
      </c>
      <c r="E3" s="149" t="s">
        <v>387</v>
      </c>
      <c r="F3" s="149" t="s">
        <v>388</v>
      </c>
      <c r="G3" s="149" t="s">
        <v>279</v>
      </c>
      <c r="H3" s="149" t="s">
        <v>280</v>
      </c>
      <c r="I3" s="149" t="s">
        <v>389</v>
      </c>
      <c r="J3" s="149" t="s">
        <v>390</v>
      </c>
      <c r="K3" s="149" t="s">
        <v>391</v>
      </c>
      <c r="L3" s="149" t="s">
        <v>392</v>
      </c>
      <c r="M3" s="149" t="s">
        <v>391</v>
      </c>
    </row>
    <row r="4" customFormat="false" ht="18" hidden="false" customHeight="true" outlineLevel="0" collapsed="false">
      <c r="A4" s="10"/>
      <c r="B4" s="186" t="s">
        <v>95</v>
      </c>
      <c r="C4" s="187" t="n">
        <f aca="false">IFERROR(INDEX('Input Data'!F:F,MATCH(B4,'Input Data'!$C:$C,0)),"")</f>
        <v>107.7</v>
      </c>
      <c r="D4" s="34" t="str">
        <f aca="false">IFERROR(INDEX('Input Data'!D:D,MATCH(B4,'Input Data'!$C:$C,0)),"")</f>
        <v>Sydney Smiletree Pty Ltd</v>
      </c>
      <c r="E4" s="188" t="n">
        <f aca="false">IFERROR(INDEX('Input Data'!J:J,MATCH(B4,'Input Data'!$C:$C,0)),"")</f>
        <v>1395.94</v>
      </c>
      <c r="F4" s="189" t="n">
        <v>950</v>
      </c>
      <c r="G4" s="188" t="n">
        <f aca="false">IFERROR(E4-F4,"")</f>
        <v>445.94</v>
      </c>
      <c r="H4" s="190" t="n">
        <f aca="false">IFERROR((E4-F4)/F4,"")</f>
        <v>0.46941052631579</v>
      </c>
      <c r="I4" s="191" t="s">
        <v>393</v>
      </c>
      <c r="J4" s="191" t="s">
        <v>394</v>
      </c>
      <c r="K4" s="191" t="s">
        <v>395</v>
      </c>
      <c r="L4" s="191" t="s">
        <v>396</v>
      </c>
      <c r="M4" s="191" t="s">
        <v>397</v>
      </c>
    </row>
    <row r="5" customFormat="false" ht="18" hidden="false" customHeight="true" outlineLevel="0" collapsed="false">
      <c r="A5" s="10"/>
      <c r="B5" s="192" t="s">
        <v>104</v>
      </c>
      <c r="C5" s="193" t="n">
        <f aca="false">IFERROR(INDEX('Input Data'!F:F,MATCH(B5,'Input Data'!$C:$C,0)),"")</f>
        <v>795.5</v>
      </c>
      <c r="D5" s="173" t="str">
        <f aca="false">IFERROR(INDEX('Input Data'!D:D,MATCH(B5,'Input Data'!$C:$C,0)),"")</f>
        <v>Fitness First Australia Pty Limited</v>
      </c>
      <c r="E5" s="194" t="n">
        <f aca="false">IFERROR(INDEX('Input Data'!J:J,MATCH(B5,'Input Data'!$C:$C,0)),"")</f>
        <v>855.7</v>
      </c>
      <c r="F5" s="195" t="n">
        <v>870</v>
      </c>
      <c r="G5" s="194" t="n">
        <f aca="false">IFERROR(E5-F5,"")</f>
        <v>-14.3</v>
      </c>
      <c r="H5" s="196" t="n">
        <f aca="false">IFERROR((E5-F5)/F5,"")</f>
        <v>-0.0164367816091954</v>
      </c>
      <c r="I5" s="197" t="s">
        <v>393</v>
      </c>
      <c r="J5" s="197" t="s">
        <v>394</v>
      </c>
      <c r="K5" s="197" t="s">
        <v>395</v>
      </c>
      <c r="L5" s="197" t="s">
        <v>396</v>
      </c>
      <c r="M5" s="197" t="s">
        <v>397</v>
      </c>
    </row>
    <row r="6" customFormat="false" ht="18" hidden="false" customHeight="true" outlineLevel="0" collapsed="false">
      <c r="A6" s="10"/>
      <c r="B6" s="186" t="s">
        <v>112</v>
      </c>
      <c r="C6" s="187" t="n">
        <f aca="false">IFERROR(INDEX('Input Data'!F:F,MATCH(B6,'Input Data'!$C:$C,0)),"")</f>
        <v>1047</v>
      </c>
      <c r="D6" s="34" t="str">
        <f aca="false">IFERROR(INDEX('Input Data'!D:D,MATCH(B6,'Input Data'!$C:$C,0)),"")</f>
        <v>Fitness First Australia Pty Limited</v>
      </c>
      <c r="E6" s="188" t="n">
        <f aca="false">IFERROR(INDEX('Input Data'!J:J,MATCH(B6,'Input Data'!$C:$C,0)),"")</f>
        <v>855.7</v>
      </c>
      <c r="F6" s="189" t="n">
        <v>870</v>
      </c>
      <c r="G6" s="188" t="n">
        <f aca="false">IFERROR(E6-F6,"")</f>
        <v>-14.3</v>
      </c>
      <c r="H6" s="190" t="n">
        <f aca="false">IFERROR((E6-F6)/F6,"")</f>
        <v>-0.0164367816091954</v>
      </c>
      <c r="I6" s="191" t="s">
        <v>393</v>
      </c>
      <c r="J6" s="191" t="s">
        <v>394</v>
      </c>
      <c r="K6" s="191" t="s">
        <v>395</v>
      </c>
      <c r="L6" s="191" t="s">
        <v>396</v>
      </c>
      <c r="M6" s="191" t="s">
        <v>397</v>
      </c>
    </row>
    <row r="7" customFormat="false" ht="18" hidden="false" customHeight="true" outlineLevel="0" collapsed="false">
      <c r="A7" s="10"/>
      <c r="B7" s="192" t="s">
        <v>117</v>
      </c>
      <c r="C7" s="193" t="n">
        <f aca="false">IFERROR(INDEX('Input Data'!F:F,MATCH(B7,'Input Data'!$C:$C,0)),"")</f>
        <v>437.1</v>
      </c>
      <c r="D7" s="173" t="str">
        <f aca="false">IFERROR(INDEX('Input Data'!D:D,MATCH(B7,'Input Data'!$C:$C,0)),"")</f>
        <v>Fitness First Australia Pty Limited</v>
      </c>
      <c r="E7" s="194" t="n">
        <f aca="false">IFERROR(INDEX('Input Data'!J:J,MATCH(B7,'Input Data'!$C:$C,0)),"")</f>
        <v>855.7</v>
      </c>
      <c r="F7" s="195" t="n">
        <v>870</v>
      </c>
      <c r="G7" s="194" t="n">
        <f aca="false">IFERROR(E7-F7,"")</f>
        <v>-14.3</v>
      </c>
      <c r="H7" s="196" t="n">
        <f aca="false">IFERROR((E7-F7)/F7,"")</f>
        <v>-0.0164367816091954</v>
      </c>
      <c r="I7" s="197" t="s">
        <v>393</v>
      </c>
      <c r="J7" s="197" t="s">
        <v>394</v>
      </c>
      <c r="K7" s="197" t="s">
        <v>395</v>
      </c>
      <c r="L7" s="197" t="s">
        <v>396</v>
      </c>
      <c r="M7" s="197" t="s">
        <v>397</v>
      </c>
    </row>
    <row r="8" customFormat="false" ht="18" hidden="false" customHeight="true" outlineLevel="0" collapsed="false">
      <c r="A8" s="10"/>
      <c r="B8" s="186" t="s">
        <v>122</v>
      </c>
      <c r="C8" s="187" t="n">
        <f aca="false">IFERROR(INDEX('Input Data'!F:F,MATCH(B8,'Input Data'!$C:$C,0)),"")</f>
        <v>229.8</v>
      </c>
      <c r="D8" s="34" t="str">
        <f aca="false">IFERROR(INDEX('Input Data'!D:D,MATCH(B8,'Input Data'!$C:$C,0)),"")</f>
        <v>Asterx Pty Ltd</v>
      </c>
      <c r="E8" s="188" t="n">
        <f aca="false">IFERROR(INDEX('Input Data'!J:J,MATCH(B8,'Input Data'!$C:$C,0)),"")</f>
        <v>985.53</v>
      </c>
      <c r="F8" s="189" t="n">
        <v>1005</v>
      </c>
      <c r="G8" s="188" t="n">
        <f aca="false">IFERROR(E8-F8,"")</f>
        <v>-19.47</v>
      </c>
      <c r="H8" s="190" t="n">
        <f aca="false">IFERROR((E8-F8)/F8,"")</f>
        <v>-0.0193731343283582</v>
      </c>
      <c r="I8" s="191" t="s">
        <v>393</v>
      </c>
      <c r="J8" s="191" t="s">
        <v>394</v>
      </c>
      <c r="K8" s="191" t="s">
        <v>395</v>
      </c>
      <c r="L8" s="191" t="s">
        <v>396</v>
      </c>
      <c r="M8" s="191" t="s">
        <v>397</v>
      </c>
    </row>
    <row r="9" customFormat="false" ht="18" hidden="false" customHeight="true" outlineLevel="0" collapsed="false">
      <c r="A9" s="10"/>
      <c r="B9" s="192" t="s">
        <v>131</v>
      </c>
      <c r="C9" s="193" t="n">
        <f aca="false">IFERROR(INDEX('Input Data'!F:F,MATCH(B9,'Input Data'!$C:$C,0)),"")</f>
        <v>413.5</v>
      </c>
      <c r="D9" s="173" t="str">
        <f aca="false">IFERROR(INDEX('Input Data'!D:D,MATCH(B9,'Input Data'!$C:$C,0)),"")</f>
        <v>Auctionsplus Pty Ltd</v>
      </c>
      <c r="E9" s="194" t="n">
        <f aca="false">IFERROR(INDEX('Input Data'!J:J,MATCH(B9,'Input Data'!$C:$C,0)),"")</f>
        <v>1005.89</v>
      </c>
      <c r="F9" s="195" t="n">
        <v>1000</v>
      </c>
      <c r="G9" s="194" t="n">
        <f aca="false">IFERROR(E9-F9,"")</f>
        <v>5.88999999999999</v>
      </c>
      <c r="H9" s="196" t="n">
        <f aca="false">IFERROR((E9-F9)/F9,"")</f>
        <v>0.00588999999999999</v>
      </c>
      <c r="I9" s="197" t="s">
        <v>393</v>
      </c>
      <c r="J9" s="197" t="s">
        <v>394</v>
      </c>
      <c r="K9" s="197" t="s">
        <v>395</v>
      </c>
      <c r="L9" s="197" t="s">
        <v>396</v>
      </c>
      <c r="M9" s="197" t="s">
        <v>397</v>
      </c>
    </row>
    <row r="10" customFormat="false" ht="18" hidden="false" customHeight="true" outlineLevel="0" collapsed="false">
      <c r="A10" s="10"/>
      <c r="B10" s="186" t="s">
        <v>209</v>
      </c>
      <c r="C10" s="187" t="n">
        <f aca="false">IFERROR(INDEX('Input Data'!F:F,MATCH(B10,'Input Data'!$C:$C,0)),"")</f>
        <v>186.4</v>
      </c>
      <c r="D10" s="34" t="str">
        <f aca="false">IFERROR(INDEX('Input Data'!D:D,MATCH(B10,'Input Data'!$C:$C,0)),"")</f>
        <v>Caldas Constructions Pty Ltd</v>
      </c>
      <c r="E10" s="188" t="n">
        <f aca="false">IFERROR(INDEX('Input Data'!J:J,MATCH(B10,'Input Data'!$C:$C,0)),"")</f>
        <v>920</v>
      </c>
      <c r="F10" s="189" t="n">
        <v>1010</v>
      </c>
      <c r="G10" s="188" t="n">
        <f aca="false">IFERROR(E10-F10,"")</f>
        <v>-90</v>
      </c>
      <c r="H10" s="190" t="n">
        <f aca="false">IFERROR((E10-F10)/F10,"")</f>
        <v>-0.0891089108910891</v>
      </c>
      <c r="I10" s="191" t="s">
        <v>393</v>
      </c>
      <c r="J10" s="191" t="s">
        <v>394</v>
      </c>
      <c r="K10" s="191" t="s">
        <v>395</v>
      </c>
      <c r="L10" s="191" t="s">
        <v>396</v>
      </c>
      <c r="M10" s="191" t="s">
        <v>397</v>
      </c>
    </row>
    <row r="11" customFormat="false" ht="18" hidden="false" customHeight="true" outlineLevel="0" collapsed="false">
      <c r="A11" s="10"/>
      <c r="B11" s="192" t="s">
        <v>138</v>
      </c>
      <c r="C11" s="193" t="n">
        <f aca="false">IFERROR(INDEX('Input Data'!F:F,MATCH(B11,'Input Data'!$C:$C,0)),"")</f>
        <v>451.7</v>
      </c>
      <c r="D11" s="173" t="str">
        <f aca="false">IFERROR(INDEX('Input Data'!D:D,MATCH(B11,'Input Data'!$C:$C,0)),"")</f>
        <v>Sungrow Australia Group</v>
      </c>
      <c r="E11" s="194" t="n">
        <f aca="false">IFERROR(INDEX('Input Data'!J:J,MATCH(B11,'Input Data'!$C:$C,0)),"")</f>
        <v>954.5</v>
      </c>
      <c r="F11" s="195" t="n">
        <v>1005</v>
      </c>
      <c r="G11" s="194" t="n">
        <f aca="false">IFERROR(E11-F11,"")</f>
        <v>-50.5</v>
      </c>
      <c r="H11" s="196" t="n">
        <f aca="false">IFERROR((E11-F11)/F11,"")</f>
        <v>-0.0502487562189055</v>
      </c>
      <c r="I11" s="197" t="s">
        <v>393</v>
      </c>
      <c r="J11" s="197" t="s">
        <v>394</v>
      </c>
      <c r="K11" s="197" t="s">
        <v>395</v>
      </c>
      <c r="L11" s="197" t="s">
        <v>396</v>
      </c>
      <c r="M11" s="197" t="s">
        <v>397</v>
      </c>
    </row>
    <row r="12" customFormat="false" ht="18" hidden="false" customHeight="true" outlineLevel="0" collapsed="false">
      <c r="A12" s="10"/>
      <c r="B12" s="186" t="s">
        <v>146</v>
      </c>
      <c r="C12" s="187" t="n">
        <f aca="false">IFERROR(INDEX('Input Data'!F:F,MATCH(B12,'Input Data'!$C:$C,0)),"")</f>
        <v>189.4</v>
      </c>
      <c r="D12" s="34" t="str">
        <f aca="false">IFERROR(INDEX('Input Data'!D:D,MATCH(B12,'Input Data'!$C:$C,0)),"")</f>
        <v>Keeping Company Pty Ltd</v>
      </c>
      <c r="E12" s="188" t="n">
        <f aca="false">IFERROR(INDEX('Input Data'!J:J,MATCH(B12,'Input Data'!$C:$C,0)),"")</f>
        <v>1055.72</v>
      </c>
      <c r="F12" s="189" t="n">
        <v>1010</v>
      </c>
      <c r="G12" s="188" t="n">
        <f aca="false">IFERROR(E12-F12,"")</f>
        <v>45.72</v>
      </c>
      <c r="H12" s="190" t="n">
        <f aca="false">IFERROR((E12-F12)/F12,"")</f>
        <v>0.0452673267326733</v>
      </c>
      <c r="I12" s="191" t="s">
        <v>393</v>
      </c>
      <c r="J12" s="191" t="s">
        <v>394</v>
      </c>
      <c r="K12" s="191" t="s">
        <v>395</v>
      </c>
      <c r="L12" s="191" t="s">
        <v>396</v>
      </c>
      <c r="M12" s="191" t="s">
        <v>397</v>
      </c>
    </row>
    <row r="13" customFormat="false" ht="18" hidden="false" customHeight="true" outlineLevel="0" collapsed="false">
      <c r="A13" s="10"/>
      <c r="B13" s="192" t="s">
        <v>152</v>
      </c>
      <c r="C13" s="193" t="n">
        <f aca="false">IFERROR(INDEX('Input Data'!F:F,MATCH(B13,'Input Data'!$C:$C,0)),"")</f>
        <v>267.9</v>
      </c>
      <c r="D13" s="173" t="str">
        <f aca="false">IFERROR(INDEX('Input Data'!D:D,MATCH(B13,'Input Data'!$C:$C,0)),"")</f>
        <v>Elekta Pty Limited</v>
      </c>
      <c r="E13" s="194" t="n">
        <f aca="false">IFERROR(INDEX('Input Data'!J:J,MATCH(B13,'Input Data'!$C:$C,0)),"")</f>
        <v>954.5</v>
      </c>
      <c r="F13" s="195" t="n">
        <v>1005</v>
      </c>
      <c r="G13" s="194" t="n">
        <f aca="false">IFERROR(E13-F13,"")</f>
        <v>-50.5</v>
      </c>
      <c r="H13" s="196" t="n">
        <f aca="false">IFERROR((E13-F13)/F13,"")</f>
        <v>-0.0502487562189055</v>
      </c>
      <c r="I13" s="197" t="s">
        <v>393</v>
      </c>
      <c r="J13" s="197" t="s">
        <v>394</v>
      </c>
      <c r="K13" s="197" t="s">
        <v>395</v>
      </c>
      <c r="L13" s="197" t="s">
        <v>396</v>
      </c>
      <c r="M13" s="197" t="s">
        <v>397</v>
      </c>
    </row>
    <row r="14" customFormat="false" ht="18" hidden="false" customHeight="true" outlineLevel="0" collapsed="false">
      <c r="A14" s="10"/>
      <c r="B14" s="186" t="s">
        <v>160</v>
      </c>
      <c r="C14" s="187" t="n">
        <f aca="false">IFERROR(INDEX('Input Data'!F:F,MATCH(B14,'Input Data'!$C:$C,0)),"")</f>
        <v>484.1</v>
      </c>
      <c r="D14" s="34" t="str">
        <f aca="false">IFERROR(INDEX('Input Data'!D:D,MATCH(B14,'Input Data'!$C:$C,0)),"")</f>
        <v>Sungrow Australia Group</v>
      </c>
      <c r="E14" s="188" t="n">
        <f aca="false">IFERROR(INDEX('Input Data'!J:J,MATCH(B14,'Input Data'!$C:$C,0)),"")</f>
        <v>1911.44</v>
      </c>
      <c r="F14" s="189" t="n">
        <v>1015</v>
      </c>
      <c r="G14" s="188" t="n">
        <f aca="false">IFERROR(E14-F14,"")</f>
        <v>896.44</v>
      </c>
      <c r="H14" s="190" t="n">
        <f aca="false">IFERROR((E14-F14)/F14,"")</f>
        <v>0.883192118226601</v>
      </c>
      <c r="I14" s="191" t="s">
        <v>393</v>
      </c>
      <c r="J14" s="191" t="s">
        <v>394</v>
      </c>
      <c r="K14" s="191" t="s">
        <v>395</v>
      </c>
      <c r="L14" s="191" t="s">
        <v>396</v>
      </c>
      <c r="M14" s="191" t="s">
        <v>397</v>
      </c>
    </row>
    <row r="15" customFormat="false" ht="18" hidden="false" customHeight="true" outlineLevel="0" collapsed="false">
      <c r="A15" s="10"/>
      <c r="B15" s="192" t="s">
        <v>165</v>
      </c>
      <c r="C15" s="193" t="n">
        <f aca="false">IFERROR(INDEX('Input Data'!F:F,MATCH(B15,'Input Data'!$C:$C,0)),"")</f>
        <v>365.5</v>
      </c>
      <c r="D15" s="173" t="str">
        <f aca="false">IFERROR(INDEX('Input Data'!D:D,MATCH(B15,'Input Data'!$C:$C,0)),"")</f>
        <v>Sungrow Australia Group</v>
      </c>
      <c r="E15" s="194" t="n">
        <f aca="false">IFERROR(INDEX('Input Data'!J:J,MATCH(B15,'Input Data'!$C:$C,0)),"")</f>
        <v>0</v>
      </c>
      <c r="F15" s="195" t="n">
        <v>1015</v>
      </c>
      <c r="G15" s="194" t="n">
        <f aca="false">IFERROR(E15-F15,"")</f>
        <v>-1015</v>
      </c>
      <c r="H15" s="196" t="n">
        <f aca="false">IFERROR((E15-F15)/F15,"")</f>
        <v>-1</v>
      </c>
      <c r="I15" s="197" t="s">
        <v>393</v>
      </c>
      <c r="J15" s="197" t="s">
        <v>394</v>
      </c>
      <c r="K15" s="197" t="s">
        <v>395</v>
      </c>
      <c r="L15" s="197" t="s">
        <v>396</v>
      </c>
      <c r="M15" s="197" t="s">
        <v>397</v>
      </c>
    </row>
    <row r="16" customFormat="false" ht="18" hidden="false" customHeight="true" outlineLevel="0" collapsed="false">
      <c r="A16" s="10"/>
      <c r="B16" s="186" t="s">
        <v>172</v>
      </c>
      <c r="C16" s="187" t="n">
        <f aca="false">IFERROR(INDEX('Input Data'!F:F,MATCH(B16,'Input Data'!$C:$C,0)),"")</f>
        <v>686.7</v>
      </c>
      <c r="D16" s="34" t="str">
        <f aca="false">IFERROR(INDEX('Input Data'!D:D,MATCH(B16,'Input Data'!$C:$C,0)),"")</f>
        <v>Vanderlande Industries Australia Pty Ltd</v>
      </c>
      <c r="E16" s="188" t="n">
        <f aca="false">IFERROR(INDEX('Input Data'!J:J,MATCH(B16,'Input Data'!$C:$C,0)),"")</f>
        <v>1029.25</v>
      </c>
      <c r="F16" s="189" t="n">
        <v>1015</v>
      </c>
      <c r="G16" s="188" t="n">
        <f aca="false">IFERROR(E16-F16,"")</f>
        <v>14.25</v>
      </c>
      <c r="H16" s="190" t="n">
        <f aca="false">IFERROR((E16-F16)/F16,"")</f>
        <v>0.0140394088669951</v>
      </c>
      <c r="I16" s="191" t="s">
        <v>393</v>
      </c>
      <c r="J16" s="191" t="s">
        <v>394</v>
      </c>
      <c r="K16" s="191" t="s">
        <v>395</v>
      </c>
      <c r="L16" s="191" t="s">
        <v>396</v>
      </c>
      <c r="M16" s="191" t="s">
        <v>397</v>
      </c>
    </row>
    <row r="17" customFormat="false" ht="18" hidden="false" customHeight="true" outlineLevel="0" collapsed="false">
      <c r="A17" s="10"/>
      <c r="B17" s="192" t="s">
        <v>178</v>
      </c>
      <c r="C17" s="193" t="n">
        <f aca="false">IFERROR(INDEX('Input Data'!F:F,MATCH(B17,'Input Data'!$C:$C,0)),"")</f>
        <v>116.3</v>
      </c>
      <c r="D17" s="173" t="str">
        <f aca="false">IFERROR(INDEX('Input Data'!D:D,MATCH(B17,'Input Data'!$C:$C,0)),"")</f>
        <v>Can Too Foundation Limited</v>
      </c>
      <c r="E17" s="194" t="n">
        <f aca="false">IFERROR(INDEX('Input Data'!J:J,MATCH(B17,'Input Data'!$C:$C,0)),"")</f>
        <v>1027.12</v>
      </c>
      <c r="F17" s="195" t="n">
        <v>1020</v>
      </c>
      <c r="G17" s="194" t="n">
        <f aca="false">IFERROR(E17-F17,"")</f>
        <v>7.11999999999989</v>
      </c>
      <c r="H17" s="196" t="n">
        <f aca="false">IFERROR((E17-F17)/F17,"")</f>
        <v>0.00698039215686264</v>
      </c>
      <c r="I17" s="197" t="s">
        <v>393</v>
      </c>
      <c r="J17" s="197" t="s">
        <v>394</v>
      </c>
      <c r="K17" s="197" t="s">
        <v>395</v>
      </c>
      <c r="L17" s="197" t="s">
        <v>396</v>
      </c>
      <c r="M17" s="197" t="s">
        <v>397</v>
      </c>
    </row>
    <row r="18" customFormat="false" ht="18" hidden="false" customHeight="true" outlineLevel="0" collapsed="false">
      <c r="A18" s="10"/>
      <c r="B18" s="186" t="s">
        <v>185</v>
      </c>
      <c r="C18" s="187" t="n">
        <f aca="false">IFERROR(INDEX('Input Data'!F:F,MATCH(B18,'Input Data'!$C:$C,0)),"")</f>
        <v>453.3</v>
      </c>
      <c r="D18" s="34" t="str">
        <f aca="false">IFERROR(INDEX('Input Data'!D:D,MATCH(B18,'Input Data'!$C:$C,0)),"")</f>
        <v>Pitt &amp; Sherry (Operations) Pty Ltd</v>
      </c>
      <c r="E18" s="188" t="n">
        <f aca="false">IFERROR(INDEX('Input Data'!J:J,MATCH(B18,'Input Data'!$C:$C,0)),"")</f>
        <v>1065.96</v>
      </c>
      <c r="F18" s="189" t="n">
        <v>1030</v>
      </c>
      <c r="G18" s="188" t="n">
        <f aca="false">IFERROR(E18-F18,"")</f>
        <v>35.96</v>
      </c>
      <c r="H18" s="190" t="n">
        <f aca="false">IFERROR((E18-F18)/F18,"")</f>
        <v>0.0349126213592233</v>
      </c>
      <c r="I18" s="191" t="s">
        <v>393</v>
      </c>
      <c r="J18" s="191" t="s">
        <v>394</v>
      </c>
      <c r="K18" s="191" t="s">
        <v>395</v>
      </c>
      <c r="L18" s="191" t="s">
        <v>396</v>
      </c>
      <c r="M18" s="191" t="s">
        <v>397</v>
      </c>
    </row>
    <row r="19" customFormat="false" ht="18" hidden="false" customHeight="true" outlineLevel="0" collapsed="false">
      <c r="A19" s="10"/>
      <c r="B19" s="192" t="s">
        <v>197</v>
      </c>
      <c r="C19" s="193" t="n">
        <f aca="false">IFERROR(INDEX('Input Data'!F:F,MATCH(B19,'Input Data'!$C:$C,0)),"")</f>
        <v>344.5</v>
      </c>
      <c r="D19" s="173" t="str">
        <f aca="false">IFERROR(INDEX('Input Data'!D:D,MATCH(B19,'Input Data'!$C:$C,0)),"")</f>
        <v>Smile Partners Australia</v>
      </c>
      <c r="E19" s="194" t="n">
        <f aca="false">IFERROR(INDEX('Input Data'!J:J,MATCH(B19,'Input Data'!$C:$C,0)),"")</f>
        <v>990.29</v>
      </c>
      <c r="F19" s="195" t="n">
        <v>1030</v>
      </c>
      <c r="G19" s="194" t="n">
        <f aca="false">IFERROR(E19-F19,"")</f>
        <v>-39.71</v>
      </c>
      <c r="H19" s="196" t="n">
        <f aca="false">IFERROR((E19-F19)/F19,"")</f>
        <v>-0.0385533980582525</v>
      </c>
      <c r="I19" s="197" t="s">
        <v>393</v>
      </c>
      <c r="J19" s="197" t="s">
        <v>394</v>
      </c>
      <c r="K19" s="197" t="s">
        <v>395</v>
      </c>
      <c r="L19" s="197" t="s">
        <v>396</v>
      </c>
      <c r="M19" s="197" t="s">
        <v>397</v>
      </c>
    </row>
    <row r="20" customFormat="false" ht="18" hidden="false" customHeight="true" outlineLevel="0" collapsed="false">
      <c r="A20" s="10"/>
      <c r="B20" s="198" t="n">
        <v>10.01</v>
      </c>
      <c r="C20" s="199" t="str">
        <f aca="false">IFERROR(INDEX('Input Data'!F:F,MATCH(B20,'Input Data'!$C:$C,0)),"")</f>
        <v/>
      </c>
      <c r="D20" s="46" t="str">
        <f aca="false">IFERROR(INDEX('Input Data'!D:D,MATCH(B20,'Input Data'!$C:$C,0)),"")</f>
        <v/>
      </c>
      <c r="E20" s="200" t="str">
        <f aca="false">IFERROR(INDEX('Input Data'!J:J,MATCH(B20,'Input Data'!$C:$C,0)),"")</f>
        <v/>
      </c>
      <c r="F20" s="189" t="n">
        <v>1040</v>
      </c>
      <c r="G20" s="200" t="str">
        <f aca="false">IFERROR(E20-F20,"")</f>
        <v/>
      </c>
      <c r="H20" s="201" t="str">
        <f aca="false">IFERROR((E20-F20)/F20,"")</f>
        <v/>
      </c>
      <c r="I20" s="191" t="s">
        <v>393</v>
      </c>
      <c r="J20" s="191" t="s">
        <v>394</v>
      </c>
      <c r="K20" s="191" t="s">
        <v>395</v>
      </c>
      <c r="L20" s="191" t="s">
        <v>396</v>
      </c>
      <c r="M20" s="191" t="s">
        <v>397</v>
      </c>
    </row>
    <row r="21" customFormat="false" ht="18" hidden="false" customHeight="true" outlineLevel="0" collapsed="false">
      <c r="A21" s="10"/>
      <c r="B21" s="192" t="n">
        <v>10.02</v>
      </c>
      <c r="C21" s="193" t="str">
        <f aca="false">IFERROR(INDEX('Input Data'!F:F,MATCH(B21,'Input Data'!$C:$C,0)),"")</f>
        <v/>
      </c>
      <c r="D21" s="173" t="str">
        <f aca="false">IFERROR(INDEX('Input Data'!D:D,MATCH(B21,'Input Data'!$C:$C,0)),"")</f>
        <v/>
      </c>
      <c r="E21" s="194" t="str">
        <f aca="false">IFERROR(INDEX('Input Data'!J:J,MATCH(B21,'Input Data'!$C:$C,0)),"")</f>
        <v/>
      </c>
      <c r="F21" s="195" t="n">
        <v>1040</v>
      </c>
      <c r="G21" s="194" t="str">
        <f aca="false">IFERROR(E21-F21,"")</f>
        <v/>
      </c>
      <c r="H21" s="196" t="str">
        <f aca="false">IFERROR((E21-F21)/F21,"")</f>
        <v/>
      </c>
      <c r="I21" s="197" t="s">
        <v>393</v>
      </c>
      <c r="J21" s="197" t="s">
        <v>394</v>
      </c>
      <c r="K21" s="197" t="s">
        <v>395</v>
      </c>
      <c r="L21" s="197" t="s">
        <v>396</v>
      </c>
      <c r="M21" s="197" t="s">
        <v>397</v>
      </c>
    </row>
    <row r="22" customFormat="false" ht="18" hidden="false" customHeight="true" outlineLevel="0" collapsed="false">
      <c r="A22" s="10"/>
      <c r="B22" s="198" t="n">
        <v>11.01</v>
      </c>
      <c r="C22" s="199" t="str">
        <f aca="false">IFERROR(INDEX('Input Data'!F:F,MATCH(B22,'Input Data'!$C:$C,0)),"")</f>
        <v/>
      </c>
      <c r="D22" s="46" t="str">
        <f aca="false">IFERROR(INDEX('Input Data'!D:D,MATCH(B22,'Input Data'!$C:$C,0)),"")</f>
        <v/>
      </c>
      <c r="E22" s="200" t="str">
        <f aca="false">IFERROR(INDEX('Input Data'!J:J,MATCH(B22,'Input Data'!$C:$C,0)),"")</f>
        <v/>
      </c>
      <c r="F22" s="189" t="n">
        <v>1045</v>
      </c>
      <c r="G22" s="200" t="str">
        <f aca="false">IFERROR(E22-F22,"")</f>
        <v/>
      </c>
      <c r="H22" s="201" t="str">
        <f aca="false">IFERROR((E22-F22)/F22,"")</f>
        <v/>
      </c>
      <c r="I22" s="191" t="s">
        <v>393</v>
      </c>
      <c r="J22" s="191" t="s">
        <v>394</v>
      </c>
      <c r="K22" s="191" t="s">
        <v>395</v>
      </c>
      <c r="L22" s="191" t="s">
        <v>396</v>
      </c>
      <c r="M22" s="191" t="s">
        <v>397</v>
      </c>
    </row>
    <row r="23" customFormat="false" ht="18" hidden="false" customHeight="true" outlineLevel="0" collapsed="false">
      <c r="A23" s="10"/>
      <c r="B23" s="192" t="n">
        <v>11.02</v>
      </c>
      <c r="C23" s="193" t="n">
        <v>536</v>
      </c>
      <c r="D23" s="173" t="str">
        <f aca="false">IFERROR(INDEX('Input Data'!D:D,MATCH(B23,'Input Data'!$C:$C,0)),"")</f>
        <v/>
      </c>
      <c r="E23" s="194" t="str">
        <f aca="false">IFERROR(INDEX('Input Data'!J:J,MATCH(B23,'Input Data'!$C:$C,0)),"")</f>
        <v/>
      </c>
      <c r="F23" s="195" t="n">
        <v>1040</v>
      </c>
      <c r="G23" s="194" t="str">
        <f aca="false">IFERROR(E23-F23,"")</f>
        <v/>
      </c>
      <c r="H23" s="196" t="str">
        <f aca="false">IFERROR((E23-F23)/F23,"")</f>
        <v/>
      </c>
      <c r="I23" s="197" t="s">
        <v>393</v>
      </c>
      <c r="J23" s="197" t="s">
        <v>394</v>
      </c>
      <c r="K23" s="197" t="s">
        <v>395</v>
      </c>
      <c r="L23" s="197" t="s">
        <v>396</v>
      </c>
      <c r="M23" s="197" t="s">
        <v>397</v>
      </c>
    </row>
    <row r="24" customFormat="false" ht="18" hidden="false" customHeight="true" outlineLevel="0" collapsed="false">
      <c r="A24" s="10"/>
      <c r="B24" s="186" t="s">
        <v>192</v>
      </c>
      <c r="C24" s="187" t="n">
        <f aca="false">IFERROR(INDEX('Input Data'!F:F,MATCH(B24,'Input Data'!$C:$C,0)),"")</f>
        <v>251</v>
      </c>
      <c r="D24" s="34" t="str">
        <f aca="false">IFERROR(INDEX('Input Data'!D:D,MATCH(B24,'Input Data'!$C:$C,0)),"")</f>
        <v>Hulsbosch Design Pty Ltd</v>
      </c>
      <c r="E24" s="188" t="n">
        <f aca="false">IFERROR(INDEX('Input Data'!J:J,MATCH(B24,'Input Data'!$C:$C,0)),"")</f>
        <v>985</v>
      </c>
      <c r="F24" s="189" t="n">
        <v>1045</v>
      </c>
      <c r="G24" s="188" t="n">
        <f aca="false">IFERROR(E24-F24,"")</f>
        <v>-60</v>
      </c>
      <c r="H24" s="190" t="n">
        <f aca="false">IFERROR((E24-F24)/F24,"")</f>
        <v>-0.0574162679425837</v>
      </c>
      <c r="I24" s="191" t="n">
        <v>0.24</v>
      </c>
      <c r="J24" s="191" t="n">
        <v>0.27</v>
      </c>
      <c r="K24" s="191" t="n">
        <v>0.3</v>
      </c>
      <c r="L24" s="191" t="n">
        <v>0.22</v>
      </c>
      <c r="M24" s="191" t="n">
        <v>0.27</v>
      </c>
    </row>
    <row r="25" customFormat="false" ht="18" hidden="false" customHeight="true" outlineLevel="0" collapsed="false">
      <c r="A25" s="10"/>
      <c r="B25" s="192" t="s">
        <v>202</v>
      </c>
      <c r="C25" s="193" t="n">
        <f aca="false">IFERROR(INDEX('Input Data'!F:F,MATCH(B25,'Input Data'!$C:$C,0)),"")</f>
        <v>536</v>
      </c>
      <c r="D25" s="173" t="str">
        <f aca="false">IFERROR(INDEX('Input Data'!D:D,MATCH(B25,'Input Data'!$C:$C,0)),"")</f>
        <v>Aei Insurance Group Pty Ltd</v>
      </c>
      <c r="E25" s="194" t="n">
        <f aca="false">IFERROR(INDEX('Input Data'!J:J,MATCH(B25,'Input Data'!$C:$C,0)),"")</f>
        <v>988</v>
      </c>
      <c r="F25" s="195" t="n">
        <v>1050</v>
      </c>
      <c r="G25" s="194" t="n">
        <f aca="false">IFERROR(E25-F25,"")</f>
        <v>-62</v>
      </c>
      <c r="H25" s="196" t="n">
        <f aca="false">IFERROR((E25-F25)/F25,"")</f>
        <v>-0.0590476190476191</v>
      </c>
      <c r="I25" s="197" t="n">
        <v>0.24</v>
      </c>
      <c r="J25" s="197" t="n">
        <v>0.27</v>
      </c>
      <c r="K25" s="197" t="n">
        <v>0.3</v>
      </c>
      <c r="L25" s="197" t="n">
        <v>0.22</v>
      </c>
      <c r="M25" s="197" t="n">
        <v>0.27</v>
      </c>
    </row>
    <row r="26" customFormat="false" ht="19.5" hidden="false" customHeight="true" outlineLevel="0" collapsed="false">
      <c r="A26" s="10"/>
      <c r="B26" s="170" t="s">
        <v>398</v>
      </c>
      <c r="C26" s="95"/>
      <c r="D26" s="95"/>
      <c r="E26" s="202" t="n">
        <f aca="false">IFERROR(SUMPRODUCT(C4:C25,E4:E25)/SUM(C4:C25),"")</f>
        <v>905.693096057929</v>
      </c>
      <c r="F26" s="203" t="n">
        <f aca="false">IFERROR(SUMPRODUCT(C4:C25,F4:F25)/SUM(C4:C25),"")</f>
        <v>976.657910727397</v>
      </c>
      <c r="G26" s="95"/>
      <c r="H26" s="95"/>
      <c r="I26" s="95"/>
      <c r="J26" s="95"/>
      <c r="K26" s="95"/>
      <c r="L26" s="95"/>
      <c r="M26" s="95"/>
    </row>
    <row r="27" customFormat="false" ht="9.75" hidden="false" customHeight="true" outlineLevel="0" collapsed="false">
      <c r="A27" s="10"/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</row>
    <row r="28" customFormat="false" ht="18" hidden="false" customHeight="true" outlineLevel="0" collapsed="false">
      <c r="A28" s="10"/>
      <c r="B28" s="161" t="s">
        <v>399</v>
      </c>
      <c r="C28" s="161"/>
      <c r="D28" s="161"/>
      <c r="E28" s="161"/>
      <c r="F28" s="161"/>
      <c r="G28" s="161"/>
      <c r="H28" s="161"/>
      <c r="I28" s="161"/>
      <c r="J28" s="161"/>
      <c r="K28" s="161"/>
      <c r="L28" s="161"/>
      <c r="M28" s="10"/>
    </row>
  </sheetData>
  <mergeCells count="3">
    <mergeCell ref="A1:M1"/>
    <mergeCell ref="A2:M2"/>
    <mergeCell ref="B28:L28"/>
  </mergeCells>
  <printOptions headings="false" gridLines="false" gridLinesSet="true" horizontalCentered="false" verticalCentered="false"/>
  <pageMargins left="0.75" right="0.75" top="1" bottom="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&amp;C&amp;"Georgia,Regular"Goldberg Family Office</oddHeader>
    <oddFooter>&amp;C&amp;"Georgia,Regular"Prepared by jake goldberg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2"/>
  <sheetViews>
    <sheetView showFormulas="false" showGridLines="false" showRowColHeaders="true" showZeros="true" rightToLeft="false" tabSelected="false" showOutlineSymbols="true" defaultGridColor="true" view="normal" topLeftCell="A2" colorId="64" zoomScale="100" zoomScaleNormal="100" zoomScalePageLayoutView="100" workbookViewId="0">
      <selection pane="topLeft" activeCell="C30" activeCellId="0" sqref="C30"/>
    </sheetView>
  </sheetViews>
  <sheetFormatPr defaultColWidth="8.6328125" defaultRowHeight="14.25" zeroHeight="false" outlineLevelRow="0" outlineLevelCol="0"/>
  <cols>
    <col collapsed="false" customWidth="true" hidden="false" outlineLevel="0" max="1" min="1" style="1" width="1.45"/>
    <col collapsed="false" customWidth="true" hidden="false" outlineLevel="0" max="2" min="2" style="1" width="8"/>
    <col collapsed="false" customWidth="true" hidden="false" outlineLevel="0" max="3" min="3" style="1" width="30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7" min="7" style="1" width="9"/>
    <col collapsed="false" customWidth="true" hidden="false" outlineLevel="0" max="8" min="8" style="1" width="12"/>
    <col collapsed="false" customWidth="true" hidden="false" outlineLevel="0" max="9" min="9" style="1" width="11"/>
    <col collapsed="false" customWidth="true" hidden="false" outlineLevel="0" max="10" min="10" style="1" width="14"/>
    <col collapsed="false" customWidth="true" hidden="false" outlineLevel="0" max="11" min="11" style="1" width="10"/>
    <col collapsed="false" customWidth="true" hidden="false" outlineLevel="0" max="12" min="12" style="1" width="9"/>
    <col collapsed="false" customWidth="true" hidden="false" outlineLevel="0" max="13" min="13" style="1" width="14"/>
    <col collapsed="false" customWidth="true" hidden="false" outlineLevel="0" max="14" min="14" style="1" width="12"/>
  </cols>
  <sheetData>
    <row r="1" customFormat="false" ht="27.75" hidden="false" customHeight="true" outlineLevel="0" collapsed="false">
      <c r="A1" s="184" t="s">
        <v>400</v>
      </c>
      <c r="B1" s="184"/>
      <c r="C1" s="184"/>
      <c r="D1" s="184"/>
      <c r="E1" s="184"/>
      <c r="F1" s="184"/>
      <c r="G1" s="184"/>
      <c r="H1" s="184"/>
      <c r="I1" s="184"/>
      <c r="J1" s="184"/>
      <c r="K1" s="184"/>
      <c r="L1" s="184"/>
      <c r="M1" s="184"/>
      <c r="N1" s="184"/>
    </row>
    <row r="2" customFormat="false" ht="24" hidden="false" customHeight="true" outlineLevel="0" collapsed="false">
      <c r="A2" s="10"/>
      <c r="B2" s="19" t="s">
        <v>62</v>
      </c>
      <c r="C2" s="19" t="s">
        <v>401</v>
      </c>
      <c r="D2" s="19" t="s">
        <v>66</v>
      </c>
      <c r="E2" s="19" t="s">
        <v>67</v>
      </c>
      <c r="F2" s="19" t="s">
        <v>68</v>
      </c>
      <c r="G2" s="19" t="s">
        <v>69</v>
      </c>
      <c r="H2" s="19" t="s">
        <v>402</v>
      </c>
      <c r="I2" s="19" t="s">
        <v>70</v>
      </c>
      <c r="J2" s="19" t="s">
        <v>320</v>
      </c>
      <c r="K2" s="19" t="s">
        <v>260</v>
      </c>
      <c r="L2" s="19" t="s">
        <v>403</v>
      </c>
      <c r="M2" s="19" t="s">
        <v>79</v>
      </c>
      <c r="N2" s="19" t="s">
        <v>85</v>
      </c>
    </row>
    <row r="3" customFormat="false" ht="18" hidden="false" customHeight="true" outlineLevel="0" collapsed="false">
      <c r="A3" s="10"/>
      <c r="B3" s="106" t="s">
        <v>404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</row>
    <row r="4" customFormat="false" ht="15.75" hidden="false" customHeight="true" outlineLevel="0" collapsed="false">
      <c r="A4" s="10"/>
      <c r="B4" s="54" t="str">
        <f aca="false">'Input Data'!B10</f>
        <v>L06</v>
      </c>
      <c r="C4" s="55" t="str">
        <f aca="false">IFERROR('Input Data'!D10&amp;" ("&amp;'Input Data'!C10&amp;")","—")</f>
        <v>Keeping Company Pty Ltd (6.03)</v>
      </c>
      <c r="D4" s="56" t="n">
        <f aca="false">'Input Data'!F10</f>
        <v>189.4</v>
      </c>
      <c r="E4" s="20" t="n">
        <f aca="false">IFERROR('Input Data'!G10,"")</f>
        <v>44713</v>
      </c>
      <c r="F4" s="20" t="n">
        <f aca="false">IFERROR('Input Data'!H10,"")</f>
        <v>46538</v>
      </c>
      <c r="G4" s="57" t="n">
        <f aca="false">'Input Data'!I10</f>
        <v>5</v>
      </c>
      <c r="H4" s="60" t="n">
        <f aca="false">'Input Data'!V10</f>
        <v>0.659822039698837</v>
      </c>
      <c r="I4" s="58" t="n">
        <f aca="false">'Input Data'!J10</f>
        <v>1055.72</v>
      </c>
      <c r="J4" s="58" t="n">
        <f aca="false">'Input Data'!Q10</f>
        <v>219057.038</v>
      </c>
      <c r="K4" s="54" t="n">
        <f aca="false">IFERROR(YEAR('Input Data'!H10),"VACANT")</f>
        <v>2027</v>
      </c>
      <c r="L4" s="54" t="n">
        <f aca="false">'Input Data'!R10</f>
        <v>2</v>
      </c>
      <c r="M4" s="59" t="str">
        <f aca="false">'Input Data'!S10</f>
        <v>FIXED 3.5%</v>
      </c>
      <c r="N4" s="58" t="n">
        <f aca="false">'Input Data'!Y10</f>
        <v>65.72</v>
      </c>
    </row>
    <row r="5" customFormat="false" ht="15.75" hidden="false" customHeight="true" outlineLevel="0" collapsed="false">
      <c r="A5" s="10"/>
      <c r="B5" s="54" t="str">
        <f aca="false">'Input Data'!B16</f>
        <v>L09</v>
      </c>
      <c r="C5" s="55" t="str">
        <f aca="false">IFERROR('Input Data'!D16&amp;" ("&amp;'Input Data'!C16&amp;")","—")</f>
        <v>Pitt &amp; Sherry (Operations) Pty Ltd (9.01)</v>
      </c>
      <c r="D5" s="56" t="n">
        <f aca="false">'Input Data'!F16</f>
        <v>453.3</v>
      </c>
      <c r="E5" s="20" t="n">
        <f aca="false">IFERROR('Input Data'!G16,"")</f>
        <v>44746</v>
      </c>
      <c r="F5" s="20" t="n">
        <f aca="false">IFERROR('Input Data'!H16,"")</f>
        <v>46571</v>
      </c>
      <c r="G5" s="57" t="n">
        <f aca="false">'Input Data'!I16</f>
        <v>5</v>
      </c>
      <c r="H5" s="60" t="n">
        <f aca="false">'Input Data'!V16</f>
        <v>0.750171115674196</v>
      </c>
      <c r="I5" s="58" t="n">
        <f aca="false">'Input Data'!J16</f>
        <v>1065.96</v>
      </c>
      <c r="J5" s="58" t="n">
        <f aca="false">'Input Data'!Q16</f>
        <v>403784.508</v>
      </c>
      <c r="K5" s="54" t="n">
        <f aca="false">IFERROR(YEAR('Input Data'!H16),"VACANT")</f>
        <v>2027</v>
      </c>
      <c r="L5" s="54" t="n">
        <f aca="false">'Input Data'!R16</f>
        <v>1</v>
      </c>
      <c r="M5" s="59" t="str">
        <f aca="false">'Input Data'!S16</f>
        <v>FIXED 3.75%</v>
      </c>
      <c r="N5" s="58" t="n">
        <f aca="false">'Input Data'!Y16</f>
        <v>25.96</v>
      </c>
    </row>
    <row r="6" customFormat="false" ht="18" hidden="false" customHeight="true" outlineLevel="0" collapsed="false">
      <c r="A6" s="10"/>
      <c r="B6" s="14" t="s">
        <v>405</v>
      </c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</row>
    <row r="7" customFormat="false" ht="15.75" hidden="false" customHeight="true" outlineLevel="0" collapsed="false">
      <c r="A7" s="10"/>
      <c r="B7" s="134" t="str">
        <f aca="false">'Input Data'!B14</f>
        <v>L08</v>
      </c>
      <c r="C7" s="204" t="str">
        <f aca="false">IFERROR('Input Data'!D14&amp;" ("&amp;'Input Data'!C14&amp;")","—")</f>
        <v>Vanderlande Industries Australia Pty Ltd (8.01)</v>
      </c>
      <c r="D7" s="136" t="n">
        <f aca="false">'Input Data'!F14</f>
        <v>686.7</v>
      </c>
      <c r="E7" s="205" t="n">
        <f aca="false">IFERROR('Input Data'!G14,"")</f>
        <v>43282</v>
      </c>
      <c r="F7" s="205" t="n">
        <f aca="false">IFERROR('Input Data'!H14,"")</f>
        <v>46934</v>
      </c>
      <c r="G7" s="206" t="n">
        <f aca="false">'Input Data'!I14</f>
        <v>10</v>
      </c>
      <c r="H7" s="207" t="n">
        <f aca="false">'Input Data'!V14</f>
        <v>1.74401095140315</v>
      </c>
      <c r="I7" s="137" t="n">
        <f aca="false">'Input Data'!J14</f>
        <v>1029.25</v>
      </c>
      <c r="J7" s="137" t="n">
        <f aca="false">'Input Data'!Q14</f>
        <v>577101.855</v>
      </c>
      <c r="K7" s="134" t="n">
        <f aca="false">IFERROR(YEAR('Input Data'!H14),"VACANT")</f>
        <v>2028</v>
      </c>
      <c r="L7" s="134" t="n">
        <f aca="false">'Input Data'!R14</f>
        <v>0</v>
      </c>
      <c r="M7" s="135" t="str">
        <f aca="false">'Input Data'!S14</f>
        <v>FIXED 4%</v>
      </c>
      <c r="N7" s="137" t="n">
        <f aca="false">'Input Data'!Y14</f>
        <v>39.25</v>
      </c>
    </row>
    <row r="8" customFormat="false" ht="15.75" hidden="false" customHeight="true" outlineLevel="0" collapsed="false">
      <c r="A8" s="10"/>
      <c r="B8" s="134" t="str">
        <f aca="false">'Input Data'!B3</f>
        <v>L03</v>
      </c>
      <c r="C8" s="204" t="str">
        <f aca="false">IFERROR('Input Data'!D3&amp;" ("&amp;'Input Data'!C3&amp;")","—")</f>
        <v>Sydney Smiletree Pty Ltd (3.01)</v>
      </c>
      <c r="D8" s="136" t="n">
        <f aca="false">'Input Data'!F3</f>
        <v>107.7</v>
      </c>
      <c r="E8" s="205" t="n">
        <f aca="false">IFERROR('Input Data'!G3,"")</f>
        <v>44013</v>
      </c>
      <c r="F8" s="205" t="n">
        <f aca="false">IFERROR('Input Data'!H3,"")</f>
        <v>47118</v>
      </c>
      <c r="G8" s="206" t="n">
        <f aca="false">'Input Data'!I3</f>
        <v>8.5</v>
      </c>
      <c r="H8" s="207" t="n">
        <f aca="false">'Input Data'!V3</f>
        <v>2.24777549623546</v>
      </c>
      <c r="I8" s="137" t="n">
        <f aca="false">'Input Data'!J3</f>
        <v>1395.94</v>
      </c>
      <c r="J8" s="137" t="n">
        <f aca="false">'Input Data'!Q3</f>
        <v>171561.378</v>
      </c>
      <c r="K8" s="134" t="n">
        <f aca="false">IFERROR(YEAR('Input Data'!H3),"VACANT")</f>
        <v>2028</v>
      </c>
      <c r="L8" s="134" t="n">
        <f aca="false">'Input Data'!R3</f>
        <v>1</v>
      </c>
      <c r="M8" s="135" t="str">
        <f aca="false">'Input Data'!S3</f>
        <v>FIXED 4%</v>
      </c>
      <c r="N8" s="137" t="n">
        <f aca="false">'Input Data'!Y3</f>
        <v>445.94</v>
      </c>
    </row>
    <row r="9" customFormat="false" ht="18" hidden="false" customHeight="true" outlineLevel="0" collapsed="false">
      <c r="A9" s="10"/>
      <c r="B9" s="106" t="s">
        <v>406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</row>
    <row r="10" customFormat="false" ht="15.75" hidden="false" customHeight="true" outlineLevel="0" collapsed="false">
      <c r="A10" s="10"/>
      <c r="B10" s="22" t="str">
        <f aca="false">'Input Data'!B8</f>
        <v>L05</v>
      </c>
      <c r="C10" s="34" t="str">
        <f aca="false">IFERROR('Input Data'!D8&amp;" ("&amp;'Input Data'!C8&amp;")","—")</f>
        <v>Auctionsplus Pty Ltd (5.04)</v>
      </c>
      <c r="D10" s="35" t="n">
        <f aca="false">'Input Data'!F8</f>
        <v>413.5</v>
      </c>
      <c r="E10" s="36" t="n">
        <f aca="false">IFERROR('Input Data'!G8,"")</f>
        <v>45352</v>
      </c>
      <c r="F10" s="36" t="n">
        <f aca="false">IFERROR('Input Data'!H8,"")</f>
        <v>47177</v>
      </c>
      <c r="G10" s="37" t="n">
        <f aca="false">'Input Data'!I8</f>
        <v>5</v>
      </c>
      <c r="H10" s="39" t="n">
        <f aca="false">'Input Data'!V8</f>
        <v>2.40930869267625</v>
      </c>
      <c r="I10" s="38" t="n">
        <f aca="false">'Input Data'!J8</f>
        <v>1005.89</v>
      </c>
      <c r="J10" s="38" t="n">
        <f aca="false">'Input Data'!Q8</f>
        <v>366667.895</v>
      </c>
      <c r="K10" s="22" t="n">
        <f aca="false">IFERROR(YEAR('Input Data'!H8),"VACANT")</f>
        <v>2029</v>
      </c>
      <c r="L10" s="22" t="n">
        <f aca="false">'Input Data'!R8</f>
        <v>1</v>
      </c>
      <c r="M10" s="23" t="str">
        <f aca="false">'Input Data'!S8</f>
        <v>FIXED 4%</v>
      </c>
      <c r="N10" s="38" t="n">
        <f aca="false">'Input Data'!Y8</f>
        <v>15.89</v>
      </c>
    </row>
    <row r="11" customFormat="false" ht="15.75" hidden="false" customHeight="true" outlineLevel="0" collapsed="false">
      <c r="A11" s="10"/>
      <c r="B11" s="22" t="str">
        <f aca="false">'Input Data'!B7</f>
        <v>L05</v>
      </c>
      <c r="C11" s="34" t="str">
        <f aca="false">IFERROR('Input Data'!D7&amp;" ("&amp;'Input Data'!C7&amp;")","—")</f>
        <v>Asterx Pty Ltd (5.03)</v>
      </c>
      <c r="D11" s="35" t="n">
        <f aca="false">'Input Data'!F7</f>
        <v>229.8</v>
      </c>
      <c r="E11" s="36" t="n">
        <f aca="false">IFERROR('Input Data'!G7,"")</f>
        <v>45474</v>
      </c>
      <c r="F11" s="36" t="n">
        <f aca="false">IFERROR('Input Data'!H7,"")</f>
        <v>47299</v>
      </c>
      <c r="G11" s="37" t="n">
        <f aca="false">'Input Data'!I7</f>
        <v>5</v>
      </c>
      <c r="H11" s="39" t="n">
        <f aca="false">'Input Data'!V7</f>
        <v>2.74332648870637</v>
      </c>
      <c r="I11" s="38" t="n">
        <f aca="false">'Input Data'!J7</f>
        <v>985.53</v>
      </c>
      <c r="J11" s="38" t="n">
        <f aca="false">'Input Data'!Q7</f>
        <v>205033.434</v>
      </c>
      <c r="K11" s="22" t="n">
        <f aca="false">IFERROR(YEAR('Input Data'!H7),"VACANT")</f>
        <v>2029</v>
      </c>
      <c r="L11" s="22" t="n">
        <f aca="false">'Input Data'!R7</f>
        <v>1</v>
      </c>
      <c r="M11" s="23" t="str">
        <f aca="false">'Input Data'!S7</f>
        <v>FIXED 3.5%</v>
      </c>
      <c r="N11" s="38" t="n">
        <f aca="false">'Input Data'!Y7</f>
        <v>35.53</v>
      </c>
    </row>
    <row r="12" customFormat="false" ht="15.75" hidden="false" customHeight="true" outlineLevel="0" collapsed="false">
      <c r="A12" s="10"/>
      <c r="B12" s="22" t="str">
        <f aca="false">'Input Data'!B9</f>
        <v>L06</v>
      </c>
      <c r="C12" s="34" t="str">
        <f aca="false">IFERROR('Input Data'!D9&amp;" ("&amp;'Input Data'!C9&amp;")","—")</f>
        <v>Sungrow Australia Group (6.02)</v>
      </c>
      <c r="D12" s="35" t="n">
        <f aca="false">'Input Data'!F9</f>
        <v>451.7</v>
      </c>
      <c r="E12" s="36" t="n">
        <f aca="false">IFERROR('Input Data'!G9,"")</f>
        <v>45762</v>
      </c>
      <c r="F12" s="36" t="n">
        <f aca="false">IFERROR('Input Data'!H9,"")</f>
        <v>47375</v>
      </c>
      <c r="G12" s="37" t="n">
        <f aca="false">'Input Data'!I9</f>
        <v>4.4</v>
      </c>
      <c r="H12" s="39" t="n">
        <f aca="false">'Input Data'!V9</f>
        <v>2.95140314852841</v>
      </c>
      <c r="I12" s="38" t="n">
        <f aca="false">'Input Data'!J9</f>
        <v>954.5</v>
      </c>
      <c r="J12" s="38" t="n">
        <f aca="false">'Input Data'!Q9</f>
        <v>283260.35</v>
      </c>
      <c r="K12" s="22" t="n">
        <f aca="false">IFERROR(YEAR('Input Data'!H9),"VACANT")</f>
        <v>2029</v>
      </c>
      <c r="L12" s="22" t="n">
        <f aca="false">'Input Data'!R9</f>
        <v>1</v>
      </c>
      <c r="M12" s="23" t="str">
        <f aca="false">'Input Data'!S9</f>
        <v>FIXED 3.75%</v>
      </c>
      <c r="N12" s="38" t="n">
        <f aca="false">'Input Data'!Y9</f>
        <v>-0.5</v>
      </c>
    </row>
    <row r="13" customFormat="false" ht="15.75" hidden="false" customHeight="true" outlineLevel="0" collapsed="false">
      <c r="A13" s="10"/>
      <c r="B13" s="22" t="str">
        <f aca="false">'Input Data'!B12</f>
        <v>L07</v>
      </c>
      <c r="C13" s="34" t="str">
        <f aca="false">IFERROR('Input Data'!D12&amp;" ("&amp;'Input Data'!C12&amp;")","—")</f>
        <v>Sungrow Australia Group (7.01)</v>
      </c>
      <c r="D13" s="35" t="n">
        <f aca="false">'Input Data'!F12</f>
        <v>484.1</v>
      </c>
      <c r="E13" s="36" t="n">
        <f aca="false">IFERROR('Input Data'!G12,"")</f>
        <v>45184</v>
      </c>
      <c r="F13" s="36" t="n">
        <f aca="false">IFERROR('Input Data'!H12,"")</f>
        <v>47375</v>
      </c>
      <c r="G13" s="37" t="n">
        <f aca="false">'Input Data'!I12</f>
        <v>6</v>
      </c>
      <c r="H13" s="39" t="n">
        <f aca="false">'Input Data'!V12</f>
        <v>2.95140314852841</v>
      </c>
      <c r="I13" s="38" t="n">
        <f aca="false">'Input Data'!J12</f>
        <v>1911.44</v>
      </c>
      <c r="J13" s="38" t="n">
        <f aca="false">'Input Data'!Q12</f>
        <v>693732.304</v>
      </c>
      <c r="K13" s="22" t="n">
        <f aca="false">IFERROR(YEAR('Input Data'!H12),"VACANT")</f>
        <v>2029</v>
      </c>
      <c r="L13" s="22" t="n">
        <f aca="false">'Input Data'!R12</f>
        <v>2</v>
      </c>
      <c r="M13" s="23" t="str">
        <f aca="false">'Input Data'!S12</f>
        <v>FIXED 3.75%</v>
      </c>
      <c r="N13" s="38" t="n">
        <f aca="false">'Input Data'!Y12</f>
        <v>891.44</v>
      </c>
    </row>
    <row r="14" customFormat="false" ht="15.75" hidden="false" customHeight="true" outlineLevel="0" collapsed="false">
      <c r="A14" s="10"/>
      <c r="B14" s="22" t="str">
        <f aca="false">'Input Data'!B13</f>
        <v>L07</v>
      </c>
      <c r="C14" s="34" t="str">
        <f aca="false">IFERROR('Input Data'!D13&amp;" ("&amp;'Input Data'!C13&amp;")","—")</f>
        <v>Sungrow Australia Group (7.02)</v>
      </c>
      <c r="D14" s="35" t="n">
        <f aca="false">'Input Data'!F13</f>
        <v>365.5</v>
      </c>
      <c r="E14" s="36" t="n">
        <f aca="false">IFERROR('Input Data'!G13,"")</f>
        <v>45184</v>
      </c>
      <c r="F14" s="36" t="n">
        <f aca="false">IFERROR('Input Data'!H13,"")</f>
        <v>47375</v>
      </c>
      <c r="G14" s="37" t="n">
        <f aca="false">'Input Data'!I13</f>
        <v>6</v>
      </c>
      <c r="H14" s="39" t="n">
        <f aca="false">'Input Data'!V13</f>
        <v>2.95140314852841</v>
      </c>
      <c r="I14" s="38" t="n">
        <f aca="false">'Input Data'!J13</f>
        <v>0</v>
      </c>
      <c r="J14" s="38" t="n">
        <f aca="false">'Input Data'!Q13</f>
        <v>37146.72</v>
      </c>
      <c r="K14" s="22" t="n">
        <f aca="false">IFERROR(YEAR('Input Data'!H13),"VACANT")</f>
        <v>2029</v>
      </c>
      <c r="L14" s="22" t="n">
        <f aca="false">'Input Data'!R13</f>
        <v>0</v>
      </c>
      <c r="M14" s="23" t="str">
        <f aca="false">'Input Data'!S13</f>
        <v>FIXED 3.75%</v>
      </c>
      <c r="N14" s="38" t="n">
        <f aca="false">'Input Data'!Y13</f>
        <v>0</v>
      </c>
    </row>
    <row r="15" customFormat="false" ht="15.75" hidden="false" customHeight="true" outlineLevel="0" collapsed="false">
      <c r="A15" s="10"/>
      <c r="B15" s="22" t="str">
        <f aca="false">'Input Data'!B17</f>
        <v>L12</v>
      </c>
      <c r="C15" s="34" t="str">
        <f aca="false">IFERROR('Input Data'!D17&amp;" ("&amp;'Input Data'!C17&amp;")","—")</f>
        <v>Hulsbosch Design Pty Ltd (12.01)</v>
      </c>
      <c r="D15" s="35" t="n">
        <f aca="false">'Input Data'!F17</f>
        <v>251</v>
      </c>
      <c r="E15" s="36" t="n">
        <f aca="false">IFERROR('Input Data'!G17,"")</f>
        <v>45962</v>
      </c>
      <c r="F15" s="36" t="n">
        <f aca="false">IFERROR('Input Data'!H17,"")</f>
        <v>47787</v>
      </c>
      <c r="G15" s="37" t="n">
        <f aca="false">'Input Data'!I17</f>
        <v>5</v>
      </c>
      <c r="H15" s="39" t="n">
        <f aca="false">'Input Data'!V17</f>
        <v>4.07939767282683</v>
      </c>
      <c r="I15" s="38" t="n">
        <f aca="false">'Input Data'!J17</f>
        <v>985</v>
      </c>
      <c r="J15" s="38" t="n">
        <f aca="false">'Input Data'!Q17</f>
        <v>191159.6</v>
      </c>
      <c r="K15" s="22" t="n">
        <f aca="false">IFERROR(YEAR('Input Data'!H17),"VACANT")</f>
        <v>2030</v>
      </c>
      <c r="L15" s="22" t="n">
        <f aca="false">'Input Data'!R17</f>
        <v>0</v>
      </c>
      <c r="M15" s="23" t="str">
        <f aca="false">'Input Data'!S17</f>
        <v>FIXED 3.5%</v>
      </c>
      <c r="N15" s="38" t="n">
        <f aca="false">'Input Data'!Y17</f>
        <v>-55</v>
      </c>
    </row>
    <row r="16" customFormat="false" ht="18" hidden="false" customHeight="true" outlineLevel="0" collapsed="false">
      <c r="A16" s="10"/>
      <c r="B16" s="14" t="s">
        <v>407</v>
      </c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</row>
    <row r="17" customFormat="false" ht="15.75" hidden="false" customHeight="true" outlineLevel="0" collapsed="false">
      <c r="A17" s="10"/>
      <c r="B17" s="22" t="str">
        <f aca="false">'Input Data'!B15</f>
        <v>L08</v>
      </c>
      <c r="C17" s="34" t="str">
        <f aca="false">IFERROR('Input Data'!D15&amp;" ("&amp;'Input Data'!C15&amp;")","—")</f>
        <v>Can Too Foundation Limited (8.03)</v>
      </c>
      <c r="D17" s="35" t="n">
        <f aca="false">'Input Data'!F15</f>
        <v>116.3</v>
      </c>
      <c r="E17" s="36" t="n">
        <f aca="false">IFERROR('Input Data'!G15,"")</f>
        <v>45809</v>
      </c>
      <c r="F17" s="36" t="n">
        <f aca="false">IFERROR('Input Data'!H15,"")</f>
        <v>47787</v>
      </c>
      <c r="G17" s="37" t="n">
        <f aca="false">'Input Data'!I15</f>
        <v>5.4</v>
      </c>
      <c r="H17" s="39" t="n">
        <f aca="false">'Input Data'!V15</f>
        <v>4.07939767282683</v>
      </c>
      <c r="I17" s="38" t="n">
        <f aca="false">'Input Data'!J15</f>
        <v>1027.12</v>
      </c>
      <c r="J17" s="38" t="n">
        <f aca="false">'Input Data'!Q15</f>
        <v>76042.556</v>
      </c>
      <c r="K17" s="22" t="n">
        <f aca="false">IFERROR(YEAR('Input Data'!H15),"VACANT")</f>
        <v>2030</v>
      </c>
      <c r="L17" s="22" t="n">
        <f aca="false">'Input Data'!R15</f>
        <v>0</v>
      </c>
      <c r="M17" s="23" t="str">
        <f aca="false">'Input Data'!S15</f>
        <v>FIXED 3.75%</v>
      </c>
      <c r="N17" s="38" t="n">
        <f aca="false">'Input Data'!Y15</f>
        <v>37.1199999999999</v>
      </c>
    </row>
    <row r="18" customFormat="false" ht="15.75" hidden="false" customHeight="true" outlineLevel="0" collapsed="false">
      <c r="A18" s="10"/>
      <c r="B18" s="22" t="str">
        <f aca="false">'Input Data'!B18</f>
        <v>L09</v>
      </c>
      <c r="C18" s="34" t="str">
        <f aca="false">IFERROR('Input Data'!D18&amp;" ("&amp;'Input Data'!C18&amp;")","—")</f>
        <v>Smile Partners Australia (9.02)</v>
      </c>
      <c r="D18" s="35" t="n">
        <f aca="false">'Input Data'!F18</f>
        <v>344.5</v>
      </c>
      <c r="E18" s="36" t="n">
        <f aca="false">IFERROR('Input Data'!G18,"")</f>
        <v>45992</v>
      </c>
      <c r="F18" s="36" t="n">
        <f aca="false">IFERROR('Input Data'!H18,"")</f>
        <v>47483</v>
      </c>
      <c r="G18" s="37" t="n">
        <f aca="false">'Input Data'!I18</f>
        <v>4.1</v>
      </c>
      <c r="H18" s="39" t="n">
        <f aca="false">'Input Data'!V18</f>
        <v>3.24709103353867</v>
      </c>
      <c r="I18" s="38" t="n">
        <f aca="false">'Input Data'!J18</f>
        <v>990.29</v>
      </c>
      <c r="J18" s="38" t="n">
        <f aca="false">'Input Data'!Q18</f>
        <v>224063.825</v>
      </c>
      <c r="K18" s="22" t="n">
        <f aca="false">IFERROR(YEAR('Input Data'!H18),"VACANT")</f>
        <v>2029</v>
      </c>
      <c r="L18" s="22" t="n">
        <f aca="false">'Input Data'!R18</f>
        <v>2</v>
      </c>
      <c r="M18" s="23" t="str">
        <f aca="false">'Input Data'!S18</f>
        <v>FIXED 3.5%</v>
      </c>
      <c r="N18" s="38" t="n">
        <f aca="false">'Input Data'!Y18</f>
        <v>0.289999999999964</v>
      </c>
    </row>
    <row r="19" customFormat="false" ht="15.75" hidden="false" customHeight="true" outlineLevel="0" collapsed="false">
      <c r="A19" s="10"/>
      <c r="B19" s="22" t="str">
        <f aca="false">'Input Data'!B19</f>
        <v>L12</v>
      </c>
      <c r="C19" s="34" t="str">
        <f aca="false">IFERROR('Input Data'!D19&amp;" ("&amp;'Input Data'!C19&amp;")","—")</f>
        <v>Aei Insurance Group Pty Ltd (12.02)</v>
      </c>
      <c r="D19" s="35" t="n">
        <f aca="false">'Input Data'!F19</f>
        <v>536</v>
      </c>
      <c r="E19" s="36" t="n">
        <f aca="false">IFERROR('Input Data'!G19,"")</f>
        <v>45642</v>
      </c>
      <c r="F19" s="36" t="n">
        <f aca="false">IFERROR('Input Data'!H19,"")</f>
        <v>47832</v>
      </c>
      <c r="G19" s="37" t="n">
        <f aca="false">'Input Data'!I19</f>
        <v>6</v>
      </c>
      <c r="H19" s="39" t="n">
        <f aca="false">'Input Data'!V19</f>
        <v>4.20260095824778</v>
      </c>
      <c r="I19" s="38" t="n">
        <f aca="false">'Input Data'!J19</f>
        <v>988</v>
      </c>
      <c r="J19" s="38" t="n">
        <f aca="false">'Input Data'!Q19</f>
        <v>638733.2</v>
      </c>
      <c r="K19" s="22" t="n">
        <f aca="false">IFERROR(YEAR('Input Data'!H19),"VACANT")</f>
        <v>2030</v>
      </c>
      <c r="L19" s="22" t="n">
        <f aca="false">'Input Data'!R19</f>
        <v>10</v>
      </c>
      <c r="M19" s="23" t="str">
        <f aca="false">'Input Data'!S19</f>
        <v>FIXED 4%</v>
      </c>
      <c r="N19" s="38" t="n">
        <f aca="false">'Input Data'!Y19</f>
        <v>-22</v>
      </c>
    </row>
    <row r="20" customFormat="false" ht="18" hidden="false" customHeight="true" outlineLevel="0" collapsed="false">
      <c r="A20" s="10"/>
      <c r="B20" s="14" t="s">
        <v>408</v>
      </c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</row>
    <row r="21" customFormat="false" ht="15.75" hidden="false" customHeight="true" outlineLevel="0" collapsed="false">
      <c r="A21" s="10"/>
      <c r="B21" s="22" t="str">
        <f aca="false">'Input Data'!B4</f>
        <v>L03</v>
      </c>
      <c r="C21" s="34" t="str">
        <f aca="false">IFERROR('Input Data'!D4&amp;" ("&amp;'Input Data'!C4&amp;")","—")</f>
        <v>Fitness First Australia Pty Limited (3.02)</v>
      </c>
      <c r="D21" s="35" t="n">
        <f aca="false">'Input Data'!F4</f>
        <v>795.5</v>
      </c>
      <c r="E21" s="36" t="n">
        <f aca="false">IFERROR('Input Data'!G4,"")</f>
        <v>44378</v>
      </c>
      <c r="F21" s="36" t="n">
        <f aca="false">IFERROR('Input Data'!H4,"")</f>
        <v>48029</v>
      </c>
      <c r="G21" s="37" t="n">
        <f aca="false">'Input Data'!I4</f>
        <v>10</v>
      </c>
      <c r="H21" s="39" t="n">
        <f aca="false">'Input Data'!V4</f>
        <v>4.7419575633128</v>
      </c>
      <c r="I21" s="38" t="n">
        <f aca="false">'Input Data'!J4</f>
        <v>855.7</v>
      </c>
      <c r="J21" s="38" t="n">
        <f aca="false">'Input Data'!Q4</f>
        <v>680709.35</v>
      </c>
      <c r="K21" s="22" t="n">
        <f aca="false">IFERROR(YEAR('Input Data'!H4),"VACANT")</f>
        <v>2031</v>
      </c>
      <c r="L21" s="22" t="n">
        <f aca="false">'Input Data'!R4</f>
        <v>0</v>
      </c>
      <c r="M21" s="23" t="str">
        <f aca="false">'Input Data'!S4</f>
        <v>FIXED 4%</v>
      </c>
      <c r="N21" s="38" t="n">
        <f aca="false">'Input Data'!Y4</f>
        <v>-14.3</v>
      </c>
    </row>
    <row r="22" customFormat="false" ht="15.75" hidden="false" customHeight="true" outlineLevel="0" collapsed="false">
      <c r="A22" s="10"/>
      <c r="B22" s="22" t="str">
        <f aca="false">'Input Data'!B5</f>
        <v>L04</v>
      </c>
      <c r="C22" s="34" t="str">
        <f aca="false">IFERROR('Input Data'!D5&amp;" ("&amp;'Input Data'!C5&amp;")","—")</f>
        <v>Fitness First Australia Pty Limited (4.01)</v>
      </c>
      <c r="D22" s="35" t="n">
        <f aca="false">'Input Data'!F5</f>
        <v>1047</v>
      </c>
      <c r="E22" s="36" t="n">
        <f aca="false">IFERROR('Input Data'!G5,"")</f>
        <v>44378</v>
      </c>
      <c r="F22" s="36" t="n">
        <f aca="false">IFERROR('Input Data'!H5,"")</f>
        <v>48029</v>
      </c>
      <c r="G22" s="37" t="n">
        <f aca="false">'Input Data'!I5</f>
        <v>10</v>
      </c>
      <c r="H22" s="39" t="n">
        <f aca="false">'Input Data'!V5</f>
        <v>4.7419575633128</v>
      </c>
      <c r="I22" s="38" t="n">
        <f aca="false">'Input Data'!J5</f>
        <v>855.7</v>
      </c>
      <c r="J22" s="38" t="n">
        <f aca="false">'Input Data'!Q5</f>
        <v>906078.3</v>
      </c>
      <c r="K22" s="22" t="n">
        <f aca="false">IFERROR(YEAR('Input Data'!H5),"VACANT")</f>
        <v>2031</v>
      </c>
      <c r="L22" s="22" t="n">
        <f aca="false">'Input Data'!R5</f>
        <v>1</v>
      </c>
      <c r="M22" s="23" t="str">
        <f aca="false">'Input Data'!S5</f>
        <v>FIXED 4%</v>
      </c>
      <c r="N22" s="38" t="n">
        <f aca="false">'Input Data'!Y5</f>
        <v>-14.3</v>
      </c>
    </row>
    <row r="23" customFormat="false" ht="15.75" hidden="false" customHeight="true" outlineLevel="0" collapsed="false">
      <c r="A23" s="10"/>
      <c r="B23" s="22" t="str">
        <f aca="false">'Input Data'!B6</f>
        <v>L05</v>
      </c>
      <c r="C23" s="34" t="str">
        <f aca="false">IFERROR('Input Data'!D6&amp;" ("&amp;'Input Data'!C6&amp;")","—")</f>
        <v>Fitness First Australia Pty Limited (5.01)</v>
      </c>
      <c r="D23" s="35" t="n">
        <f aca="false">'Input Data'!F6</f>
        <v>437.1</v>
      </c>
      <c r="E23" s="36" t="n">
        <f aca="false">IFERROR('Input Data'!G6,"")</f>
        <v>44378</v>
      </c>
      <c r="F23" s="36" t="n">
        <f aca="false">IFERROR('Input Data'!H6,"")</f>
        <v>48029</v>
      </c>
      <c r="G23" s="37" t="n">
        <f aca="false">'Input Data'!I6</f>
        <v>10</v>
      </c>
      <c r="H23" s="39" t="n">
        <f aca="false">'Input Data'!V6</f>
        <v>4.7419575633128</v>
      </c>
      <c r="I23" s="38" t="n">
        <f aca="false">'Input Data'!J6</f>
        <v>855.7</v>
      </c>
      <c r="J23" s="38" t="n">
        <f aca="false">'Input Data'!Q6</f>
        <v>377056.47</v>
      </c>
      <c r="K23" s="22" t="n">
        <f aca="false">IFERROR(YEAR('Input Data'!H6),"VACANT")</f>
        <v>2031</v>
      </c>
      <c r="L23" s="22" t="n">
        <f aca="false">'Input Data'!R6</f>
        <v>0</v>
      </c>
      <c r="M23" s="23" t="str">
        <f aca="false">'Input Data'!S6</f>
        <v>FIXED 4%</v>
      </c>
      <c r="N23" s="38" t="n">
        <f aca="false">'Input Data'!Y6</f>
        <v>-14.3</v>
      </c>
    </row>
    <row r="24" customFormat="false" ht="15.75" hidden="false" customHeight="true" outlineLevel="0" collapsed="false">
      <c r="A24" s="10"/>
      <c r="B24" s="22" t="str">
        <f aca="false">'Input Data'!B11</f>
        <v>L06</v>
      </c>
      <c r="C24" s="34" t="str">
        <f aca="false">IFERROR('Input Data'!D11&amp;" ("&amp;'Input Data'!C11&amp;")","—")</f>
        <v>Elekta Pty Limited (6.04)</v>
      </c>
      <c r="D24" s="35" t="n">
        <f aca="false">'Input Data'!F11</f>
        <v>267.9</v>
      </c>
      <c r="E24" s="36" t="n">
        <f aca="false">IFERROR('Input Data'!G11,"")</f>
        <v>45870</v>
      </c>
      <c r="F24" s="36" t="n">
        <f aca="false">IFERROR('Input Data'!H11,"")</f>
        <v>48426</v>
      </c>
      <c r="G24" s="37" t="n">
        <f aca="false">'Input Data'!I11</f>
        <v>7</v>
      </c>
      <c r="H24" s="39" t="n">
        <f aca="false">'Input Data'!V11</f>
        <v>5.82888432580424</v>
      </c>
      <c r="I24" s="38" t="n">
        <f aca="false">'Input Data'!J11</f>
        <v>954.5</v>
      </c>
      <c r="J24" s="38" t="n">
        <f aca="false">'Input Data'!Q11</f>
        <v>171546.75</v>
      </c>
      <c r="K24" s="22" t="n">
        <f aca="false">IFERROR(YEAR('Input Data'!H11),"VACANT")</f>
        <v>2032</v>
      </c>
      <c r="L24" s="22" t="n">
        <f aca="false">'Input Data'!R11</f>
        <v>1</v>
      </c>
      <c r="M24" s="23" t="str">
        <f aca="false">'Input Data'!S11</f>
        <v>FIXED (3.75%)</v>
      </c>
      <c r="N24" s="38" t="n">
        <f aca="false">'Input Data'!Y11</f>
        <v>-0.5</v>
      </c>
    </row>
    <row r="25" customFormat="false" ht="18" hidden="false" customHeight="true" outlineLevel="0" collapsed="false">
      <c r="A25" s="10"/>
      <c r="B25" s="208" t="str">
        <f aca="false">'Input Data'!B24</f>
        <v>L11</v>
      </c>
      <c r="C25" s="208" t="str">
        <f aca="false">IFERROR('Input Data'!D24&amp;" ("&amp;'Input Data'!C24&amp;")","—")</f>
        <v>Haskoning Australia Pty Ltd (11.02)</v>
      </c>
      <c r="D25" s="209" t="n">
        <f aca="false">'Input Data'!F24</f>
        <v>548</v>
      </c>
      <c r="E25" s="210" t="n">
        <f aca="false">IFERROR('Input Data'!G24,"")</f>
        <v>46296</v>
      </c>
      <c r="F25" s="210" t="n">
        <f aca="false">IFERROR('Input Data'!H24,"")</f>
        <v>49582</v>
      </c>
      <c r="G25" s="211" t="n">
        <f aca="false">'Input Data'!I24</f>
        <v>6</v>
      </c>
      <c r="H25" s="212" t="n">
        <f aca="false">'Input Data'!V24</f>
        <v>8.99383983572895</v>
      </c>
      <c r="I25" s="213" t="n">
        <f aca="false">'Input Data'!J24</f>
        <v>1040</v>
      </c>
      <c r="J25" s="213" t="n">
        <f aca="false">'Input Data'!Q24</f>
        <v>-101152</v>
      </c>
      <c r="K25" s="208" t="n">
        <f aca="false">IFERROR(YEAR('Input Data'!H24),"VACANT")</f>
        <v>2035</v>
      </c>
      <c r="L25" s="208" t="n">
        <f aca="false">'Input Data'!R24</f>
        <v>0</v>
      </c>
      <c r="M25" s="208" t="str">
        <f aca="false">'Input Data'!S24</f>
        <v>FIXED 3.5%</v>
      </c>
      <c r="N25" s="213" t="n">
        <f aca="false">'Input Data'!Y24</f>
        <v>0</v>
      </c>
    </row>
    <row r="26" customFormat="false" ht="15.75" hidden="false" customHeight="true" outlineLevel="0" collapsed="false">
      <c r="A26" s="10"/>
      <c r="B26" s="22" t="str">
        <f aca="false">'Input Data'!B20</f>
        <v>L06</v>
      </c>
      <c r="C26" s="34" t="str">
        <f aca="false">IFERROR('Input Data'!D20&amp;" ("&amp;'Input Data'!C20&amp;")","—")</f>
        <v>Caldas Constructions Pty Ltd (6.01)</v>
      </c>
      <c r="D26" s="35" t="n">
        <f aca="false">'Input Data'!F20</f>
        <v>186.4</v>
      </c>
      <c r="E26" s="36" t="n">
        <f aca="false">IFERROR('Input Data'!G20,"")</f>
        <v>46204</v>
      </c>
      <c r="F26" s="36" t="n">
        <f aca="false">IFERROR('Input Data'!H20,"")</f>
        <v>48395</v>
      </c>
      <c r="G26" s="37" t="n">
        <f aca="false">'Input Data'!I20</f>
        <v>6</v>
      </c>
      <c r="H26" s="39" t="n">
        <f aca="false">'Input Data'!V20</f>
        <v>5.74401095140315</v>
      </c>
      <c r="I26" s="38" t="n">
        <f aca="false">'Input Data'!J20</f>
        <v>920</v>
      </c>
      <c r="J26" s="38" t="n">
        <f aca="false">'Input Data'!Q20</f>
        <v>-340767</v>
      </c>
      <c r="K26" s="22" t="n">
        <f aca="false">IFERROR(YEAR('Input Data'!H20),"VACANT")</f>
        <v>2032</v>
      </c>
      <c r="L26" s="22" t="n">
        <f aca="false">'Input Data'!R20</f>
        <v>0</v>
      </c>
      <c r="M26" s="23" t="n">
        <f aca="false">'Input Data'!S20</f>
        <v>0</v>
      </c>
      <c r="N26" s="38" t="n">
        <f aca="false">'Input Data'!Y20</f>
        <v>920</v>
      </c>
    </row>
    <row r="27" customFormat="false" ht="15.75" hidden="false" customHeight="true" outlineLevel="0" collapsed="false">
      <c r="A27" s="10"/>
      <c r="B27" s="208" t="str">
        <f aca="false">'Input Data'!B23</f>
        <v>L11</v>
      </c>
      <c r="C27" s="208" t="str">
        <f aca="false">IFERROR('Input Data'!D23&amp;" ("&amp;'Input Data'!C23&amp;")","—")</f>
        <v>Luxasia (11.01)</v>
      </c>
      <c r="D27" s="209" t="n">
        <f aca="false">'Input Data'!F23</f>
        <v>242.5</v>
      </c>
      <c r="E27" s="210" t="n">
        <f aca="false">IFERROR('Input Data'!G23,"")</f>
        <v>46296</v>
      </c>
      <c r="F27" s="210" t="n">
        <f aca="false">IFERROR('Input Data'!H23,"")</f>
        <v>48121</v>
      </c>
      <c r="G27" s="211" t="n">
        <f aca="false">'Input Data'!I23</f>
        <v>5</v>
      </c>
      <c r="H27" s="212" t="n">
        <f aca="false">'Input Data'!V23</f>
        <v>4.99383983572895</v>
      </c>
      <c r="I27" s="213" t="n">
        <f aca="false">'Input Data'!J23</f>
        <v>1060</v>
      </c>
      <c r="J27" s="213" t="n">
        <f aca="false">'Input Data'!Q23</f>
        <v>266749.52</v>
      </c>
      <c r="K27" s="208" t="n">
        <f aca="false">IFERROR(YEAR('Input Data'!H23),"VACANT")</f>
        <v>2031</v>
      </c>
      <c r="L27" s="208" t="n">
        <f aca="false">'Input Data'!R23</f>
        <v>2</v>
      </c>
      <c r="M27" s="208" t="str">
        <f aca="false">'Input Data'!S23</f>
        <v>FIXED 3.75%</v>
      </c>
      <c r="N27" s="213" t="n">
        <f aca="false">'Input Data'!Y23</f>
        <v>0</v>
      </c>
    </row>
    <row r="28" customFormat="false" ht="15.75" hidden="false" customHeight="true" outlineLevel="0" collapsed="false">
      <c r="A28" s="10"/>
      <c r="B28" s="214" t="s">
        <v>409</v>
      </c>
      <c r="C28" s="10"/>
      <c r="D28" s="215"/>
      <c r="E28" s="216"/>
      <c r="F28" s="216"/>
      <c r="G28" s="10"/>
      <c r="H28" s="217"/>
      <c r="I28" s="10"/>
      <c r="J28" s="218"/>
      <c r="K28" s="10"/>
      <c r="L28" s="10"/>
      <c r="M28" s="10"/>
      <c r="N28" s="218"/>
    </row>
    <row r="29" customFormat="false" ht="15.75" hidden="false" customHeight="true" outlineLevel="0" collapsed="false">
      <c r="A29" s="10"/>
      <c r="B29" s="62" t="str">
        <f aca="false">'Input Data'!B21</f>
        <v>L10</v>
      </c>
      <c r="C29" s="63" t="str">
        <f aca="false">"VACANT — Suite "&amp;'Input Data'!C21</f>
        <v>VACANT — Suite 10.01</v>
      </c>
      <c r="D29" s="64" t="n">
        <f aca="false">'Input Data'!F21</f>
        <v>438</v>
      </c>
      <c r="E29" s="219"/>
      <c r="F29" s="219"/>
      <c r="G29" s="219"/>
      <c r="H29" s="219"/>
      <c r="I29" s="219"/>
      <c r="J29" s="219"/>
      <c r="K29" s="62" t="s">
        <v>216</v>
      </c>
      <c r="L29" s="219"/>
      <c r="M29" s="219"/>
      <c r="N29" s="65" t="n">
        <f aca="false">'Input Data'!X21</f>
        <v>0</v>
      </c>
    </row>
    <row r="30" customFormat="false" ht="14.25" hidden="false" customHeight="true" outlineLevel="0" collapsed="false">
      <c r="A30" s="10"/>
      <c r="B30" s="62" t="str">
        <f aca="false">'Input Data'!B22</f>
        <v>L10</v>
      </c>
      <c r="C30" s="63" t="str">
        <f aca="false">"VACANT — Suite "&amp;'Input Data'!C22</f>
        <v>VACANT — Suite 10.02</v>
      </c>
      <c r="D30" s="64" t="n">
        <f aca="false">'Input Data'!F22</f>
        <v>349</v>
      </c>
      <c r="E30" s="220"/>
      <c r="F30" s="220"/>
      <c r="G30" s="219"/>
      <c r="H30" s="221"/>
      <c r="I30" s="219"/>
      <c r="J30" s="222"/>
      <c r="K30" s="62" t="s">
        <v>216</v>
      </c>
      <c r="L30" s="219"/>
      <c r="M30" s="219"/>
      <c r="N30" s="65" t="n">
        <f aca="false">'Input Data'!X22</f>
        <v>0</v>
      </c>
    </row>
    <row r="31" customFormat="false" ht="19.5" hidden="false" customHeight="true" outlineLevel="0" collapsed="false">
      <c r="A31" s="10"/>
      <c r="B31" s="10"/>
      <c r="D31" s="215"/>
      <c r="E31" s="216"/>
      <c r="F31" s="216"/>
      <c r="G31" s="223"/>
      <c r="H31" s="217"/>
      <c r="I31" s="218"/>
      <c r="J31" s="218"/>
      <c r="K31" s="10"/>
      <c r="L31" s="10"/>
      <c r="M31" s="10"/>
      <c r="N31" s="218"/>
    </row>
    <row r="32" customFormat="false" ht="14.25" hidden="false" customHeight="true" outlineLevel="0" collapsed="false">
      <c r="A32" s="10"/>
      <c r="B32" s="74" t="s">
        <v>410</v>
      </c>
      <c r="C32" s="10"/>
      <c r="D32" s="151" t="n">
        <f aca="false">SUM('Input Data'!F3:F24)</f>
        <v>8940.9</v>
      </c>
      <c r="E32" s="95"/>
      <c r="F32" s="95"/>
      <c r="G32" s="95"/>
      <c r="H32" s="95"/>
      <c r="I32" s="224" t="n">
        <f aca="false">SUMPRODUCT(('Input Data'!H3:H24&lt;&gt;"")*'Input Data'!J3:J24*'Input Data'!F3:F24)/SUMPRODUCT(('Input Data'!H3:H24&lt;&gt;"")*'Input Data'!F3:F24)</f>
        <v>978.844729883859</v>
      </c>
      <c r="J32" s="76" t="n">
        <f aca="false">SUM('Input Data'!Q3:Q24)</f>
        <v>6047566.053</v>
      </c>
      <c r="K32" s="95"/>
      <c r="L32" s="95"/>
      <c r="M32" s="95"/>
      <c r="N32" s="95"/>
    </row>
  </sheetData>
  <mergeCells count="6">
    <mergeCell ref="A1:N1"/>
    <mergeCell ref="B3:N3"/>
    <mergeCell ref="B6:N6"/>
    <mergeCell ref="B9:N9"/>
    <mergeCell ref="B16:N16"/>
    <mergeCell ref="B20:N20"/>
  </mergeCells>
  <printOptions headings="false" gridLines="false" gridLinesSet="true" horizontalCentered="false" verticalCentered="false"/>
  <pageMargins left="0.75" right="0.75" top="1" bottom="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&amp;C&amp;"Georgia,Regular"Goldberg Family Office</oddHeader>
    <oddFooter>&amp;C&amp;"Georgia,Regular"Prepared by jake goldberg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8"/>
    <col collapsed="false" customWidth="true" hidden="false" outlineLevel="0" max="3" min="3" style="1" width="30"/>
    <col collapsed="false" customWidth="true" hidden="false" outlineLevel="0" max="4" min="4" style="1" width="26"/>
    <col collapsed="false" customWidth="true" hidden="false" outlineLevel="0" max="5" min="5" style="1" width="10"/>
    <col collapsed="false" customWidth="true" hidden="false" outlineLevel="0" max="7" min="6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1" min="10" style="1" width="11"/>
    <col collapsed="false" customWidth="true" hidden="false" outlineLevel="0" max="12" min="12" style="1" width="15"/>
    <col collapsed="false" customWidth="true" hidden="false" outlineLevel="0" max="13" min="13" style="1" width="14"/>
    <col collapsed="false" customWidth="true" hidden="false" outlineLevel="0" max="15" min="14" style="1" width="13"/>
    <col collapsed="false" customWidth="true" hidden="false" outlineLevel="0" max="16" min="16" style="1" width="15"/>
    <col collapsed="false" customWidth="true" hidden="false" outlineLevel="0" max="17" min="17" style="1" width="9"/>
    <col collapsed="false" customWidth="true" hidden="false" outlineLevel="0" max="18" min="18" style="1" width="14"/>
    <col collapsed="false" customWidth="true" hidden="false" outlineLevel="0" max="19" min="19" style="1" width="12"/>
    <col collapsed="false" customWidth="true" hidden="false" outlineLevel="0" max="20" min="20" style="1" width="11"/>
    <col collapsed="false" customWidth="true" hidden="false" outlineLevel="0" max="21" min="21" style="1" width="13"/>
    <col collapsed="false" customWidth="true" hidden="false" outlineLevel="0" max="22" min="22" style="1" width="11"/>
    <col collapsed="false" customWidth="true" hidden="false" outlineLevel="0" max="23" min="23" style="1" width="12"/>
    <col collapsed="false" customWidth="true" hidden="false" outlineLevel="0" max="24" min="24" style="1" width="25"/>
  </cols>
  <sheetData>
    <row r="1" customFormat="false" ht="27.75" hidden="false" customHeight="true" outlineLevel="0" collapsed="false">
      <c r="A1" s="184" t="s">
        <v>411</v>
      </c>
      <c r="B1" s="184"/>
      <c r="C1" s="184"/>
      <c r="D1" s="184"/>
      <c r="E1" s="184"/>
      <c r="F1" s="184"/>
      <c r="G1" s="184"/>
      <c r="H1" s="184"/>
      <c r="I1" s="184"/>
      <c r="J1" s="184"/>
      <c r="K1" s="184"/>
      <c r="L1" s="184"/>
      <c r="M1" s="184"/>
      <c r="N1" s="184"/>
      <c r="O1" s="184"/>
      <c r="P1" s="184"/>
      <c r="Q1" s="184"/>
      <c r="R1" s="184"/>
      <c r="S1" s="184"/>
      <c r="T1" s="184"/>
      <c r="U1" s="184"/>
      <c r="V1" s="184"/>
      <c r="W1" s="184"/>
      <c r="X1" s="184"/>
    </row>
    <row r="2" customFormat="false" ht="31.5" hidden="false" customHeight="true" outlineLevel="0" collapsed="false">
      <c r="A2" s="19" t="s">
        <v>62</v>
      </c>
      <c r="B2" s="19" t="s">
        <v>63</v>
      </c>
      <c r="C2" s="19" t="s">
        <v>64</v>
      </c>
      <c r="D2" s="19" t="s">
        <v>65</v>
      </c>
      <c r="E2" s="19" t="s">
        <v>66</v>
      </c>
      <c r="F2" s="19" t="s">
        <v>67</v>
      </c>
      <c r="G2" s="19" t="s">
        <v>68</v>
      </c>
      <c r="H2" s="19" t="s">
        <v>69</v>
      </c>
      <c r="I2" s="19" t="s">
        <v>402</v>
      </c>
      <c r="J2" s="19" t="s">
        <v>70</v>
      </c>
      <c r="K2" s="19" t="s">
        <v>412</v>
      </c>
      <c r="L2" s="19" t="s">
        <v>320</v>
      </c>
      <c r="M2" s="19" t="s">
        <v>72</v>
      </c>
      <c r="N2" s="19" t="s">
        <v>73</v>
      </c>
      <c r="O2" s="19" t="s">
        <v>74</v>
      </c>
      <c r="P2" s="19" t="s">
        <v>413</v>
      </c>
      <c r="Q2" s="19" t="s">
        <v>403</v>
      </c>
      <c r="R2" s="19" t="s">
        <v>79</v>
      </c>
      <c r="S2" s="19" t="s">
        <v>80</v>
      </c>
      <c r="T2" s="19" t="s">
        <v>81</v>
      </c>
      <c r="U2" s="19" t="s">
        <v>279</v>
      </c>
      <c r="V2" s="19" t="s">
        <v>280</v>
      </c>
      <c r="W2" s="19" t="s">
        <v>414</v>
      </c>
      <c r="X2" s="19" t="s">
        <v>88</v>
      </c>
    </row>
    <row r="3" customFormat="false" ht="18" hidden="false" customHeight="true" outlineLevel="0" collapsed="false">
      <c r="A3" s="106" t="s">
        <v>404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  <c r="P3" s="106"/>
      <c r="Q3" s="106"/>
      <c r="R3" s="106"/>
      <c r="S3" s="106"/>
      <c r="T3" s="106"/>
      <c r="U3" s="106"/>
      <c r="V3" s="106"/>
      <c r="W3" s="106"/>
      <c r="X3" s="106"/>
    </row>
    <row r="4" customFormat="false" ht="15.75" hidden="false" customHeight="true" outlineLevel="0" collapsed="false">
      <c r="A4" s="54" t="str">
        <f aca="false">'Input Data'!B10</f>
        <v>L06</v>
      </c>
      <c r="B4" s="54" t="str">
        <f aca="false">'Input Data'!C10</f>
        <v>6.03</v>
      </c>
      <c r="C4" s="55" t="str">
        <f aca="false">'Input Data'!D10</f>
        <v>Keeping Company Pty Ltd</v>
      </c>
      <c r="D4" s="55" t="str">
        <f aca="false">'Input Data'!E10</f>
        <v>Keeping Company Pty Ltd</v>
      </c>
      <c r="E4" s="56" t="n">
        <f aca="false">'Input Data'!F10</f>
        <v>189.4</v>
      </c>
      <c r="F4" s="20" t="n">
        <f aca="false">'Input Data'!G10</f>
        <v>44713</v>
      </c>
      <c r="G4" s="20" t="n">
        <f aca="false">'Input Data'!H10</f>
        <v>46538</v>
      </c>
      <c r="H4" s="57" t="n">
        <f aca="false">'Input Data'!I10</f>
        <v>5</v>
      </c>
      <c r="I4" s="60" t="n">
        <f aca="false">'Input Data'!V10</f>
        <v>0.659822039698837</v>
      </c>
      <c r="J4" s="58" t="n">
        <f aca="false">'Input Data'!J10</f>
        <v>1055.72</v>
      </c>
      <c r="K4" s="58" t="n">
        <f aca="false">'Input Data'!X10</f>
        <v>990</v>
      </c>
      <c r="L4" s="58" t="n">
        <f aca="false">'Input Data'!Q10</f>
        <v>219057.038</v>
      </c>
      <c r="M4" s="58" t="n">
        <f aca="false">'Input Data'!L10</f>
        <v>-23525.37</v>
      </c>
      <c r="N4" s="58" t="n">
        <f aca="false">'Input Data'!M10</f>
        <v>19249.32</v>
      </c>
      <c r="O4" s="58" t="n">
        <f aca="false">'Input Data'!N10</f>
        <v>3136.44</v>
      </c>
      <c r="P4" s="58" t="n">
        <f aca="false">'Input Data'!O10+'Input Data'!P10</f>
        <v>20243.28</v>
      </c>
      <c r="Q4" s="54" t="n">
        <f aca="false">'Input Data'!R10</f>
        <v>2</v>
      </c>
      <c r="R4" s="59" t="str">
        <f aca="false">'Input Data'!S10</f>
        <v>FIXED 3.5%</v>
      </c>
      <c r="S4" s="20" t="n">
        <f aca="false">IFERROR('Input Data'!T10,"")</f>
        <v>46539</v>
      </c>
      <c r="T4" s="59" t="str">
        <f aca="false">'Input Data'!U10</f>
        <v>Semi-Gross</v>
      </c>
      <c r="U4" s="58" t="n">
        <f aca="false">'Input Data'!Y10</f>
        <v>65.72</v>
      </c>
      <c r="V4" s="61" t="n">
        <f aca="false">'Input Data'!Z10</f>
        <v>0.0663838383838384</v>
      </c>
      <c r="W4" s="56" t="n">
        <f aca="false">'Input Data'!W10</f>
        <v>124.97029431896</v>
      </c>
      <c r="X4" s="59" t="str">
        <f aca="false">'Input Data'!AB10</f>
        <v>2 car spaces. BG: $110,739. Incentive: fitout $177,810 + abatement. Base year FY2021.</v>
      </c>
    </row>
    <row r="5" customFormat="false" ht="15.75" hidden="false" customHeight="true" outlineLevel="0" collapsed="false">
      <c r="A5" s="54" t="str">
        <f aca="false">'Input Data'!B16</f>
        <v>L09</v>
      </c>
      <c r="B5" s="54" t="str">
        <f aca="false">'Input Data'!C16</f>
        <v>9.01</v>
      </c>
      <c r="C5" s="55" t="str">
        <f aca="false">'Input Data'!D16</f>
        <v>Pitt &amp; Sherry (Operations) Pty Ltd</v>
      </c>
      <c r="D5" s="55" t="str">
        <f aca="false">'Input Data'!E16</f>
        <v>Pitt &amp; Sherry (Operations) Pty Ltd</v>
      </c>
      <c r="E5" s="56" t="n">
        <f aca="false">'Input Data'!F16</f>
        <v>453.3</v>
      </c>
      <c r="F5" s="20" t="n">
        <f aca="false">'Input Data'!G16</f>
        <v>44746</v>
      </c>
      <c r="G5" s="20" t="n">
        <f aca="false">'Input Data'!H16</f>
        <v>46571</v>
      </c>
      <c r="H5" s="57" t="n">
        <f aca="false">'Input Data'!I16</f>
        <v>5</v>
      </c>
      <c r="I5" s="60" t="n">
        <f aca="false">'Input Data'!V16</f>
        <v>0.750171115674196</v>
      </c>
      <c r="J5" s="58" t="n">
        <f aca="false">'Input Data'!J16</f>
        <v>1065.96</v>
      </c>
      <c r="K5" s="58" t="n">
        <f aca="false">'Input Data'!X16</f>
        <v>1040</v>
      </c>
      <c r="L5" s="58" t="n">
        <f aca="false">'Input Data'!Q16</f>
        <v>403784.508</v>
      </c>
      <c r="M5" s="58" t="n">
        <f aca="false">'Input Data'!L16</f>
        <v>-145962.6</v>
      </c>
      <c r="N5" s="58" t="n">
        <f aca="false">'Input Data'!M16</f>
        <v>46069.68</v>
      </c>
      <c r="O5" s="58" t="n">
        <f aca="false">'Input Data'!N16</f>
        <v>7506.6</v>
      </c>
      <c r="P5" s="58" t="n">
        <f aca="false">'Input Data'!O16+'Input Data'!P16</f>
        <v>12971.16</v>
      </c>
      <c r="Q5" s="54" t="n">
        <f aca="false">'Input Data'!R16</f>
        <v>1</v>
      </c>
      <c r="R5" s="59" t="str">
        <f aca="false">'Input Data'!S16</f>
        <v>FIXED 3.75%</v>
      </c>
      <c r="S5" s="20" t="n">
        <f aca="false">IFERROR('Input Data'!T16,"")</f>
        <v>46572</v>
      </c>
      <c r="T5" s="59" t="str">
        <f aca="false">'Input Data'!U16</f>
        <v>Semi-Gross</v>
      </c>
      <c r="U5" s="58" t="n">
        <f aca="false">'Input Data'!Y16</f>
        <v>25.96</v>
      </c>
      <c r="V5" s="61" t="n">
        <f aca="false">'Input Data'!Z16</f>
        <v>0.0249615384615385</v>
      </c>
      <c r="W5" s="56" t="n">
        <f aca="false">'Input Data'!W16</f>
        <v>340.052566735113</v>
      </c>
      <c r="X5" s="59" t="str">
        <f aca="false">'Input Data'!AB16</f>
        <v>Option: 5 yrs (04/07/27-03/07/32). BG: $281,758. Base year FY2021 5%.</v>
      </c>
    </row>
    <row r="6" customFormat="false" ht="18" hidden="false" customHeight="true" outlineLevel="0" collapsed="false">
      <c r="A6" s="14" t="s">
        <v>405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</row>
    <row r="7" customFormat="false" ht="15.75" hidden="false" customHeight="true" outlineLevel="0" collapsed="false">
      <c r="A7" s="134" t="str">
        <f aca="false">'Input Data'!B14</f>
        <v>L08</v>
      </c>
      <c r="B7" s="134" t="str">
        <f aca="false">'Input Data'!C14</f>
        <v>8.01</v>
      </c>
      <c r="C7" s="204" t="str">
        <f aca="false">'Input Data'!D14</f>
        <v>Vanderlande Industries Australia Pty Ltd</v>
      </c>
      <c r="D7" s="204" t="str">
        <f aca="false">'Input Data'!E14</f>
        <v>Vanderlande Industries Australia Pty Ltd</v>
      </c>
      <c r="E7" s="136" t="n">
        <f aca="false">'Input Data'!F14</f>
        <v>686.7</v>
      </c>
      <c r="F7" s="205" t="n">
        <f aca="false">'Input Data'!G14</f>
        <v>43282</v>
      </c>
      <c r="G7" s="205" t="n">
        <f aca="false">'Input Data'!H14</f>
        <v>46934</v>
      </c>
      <c r="H7" s="206" t="n">
        <f aca="false">'Input Data'!I14</f>
        <v>10</v>
      </c>
      <c r="I7" s="207" t="n">
        <f aca="false">'Input Data'!V14</f>
        <v>1.74401095140315</v>
      </c>
      <c r="J7" s="137" t="n">
        <f aca="false">'Input Data'!J14</f>
        <v>1029.25</v>
      </c>
      <c r="K7" s="137" t="n">
        <f aca="false">'Input Data'!X14</f>
        <v>990</v>
      </c>
      <c r="L7" s="137" t="n">
        <f aca="false">'Input Data'!Q14</f>
        <v>577101.855</v>
      </c>
      <c r="M7" s="137" t="n">
        <f aca="false">'Input Data'!L14</f>
        <v>-219915.72</v>
      </c>
      <c r="N7" s="137" t="n">
        <f aca="false">'Input Data'!M14</f>
        <v>78859.8</v>
      </c>
      <c r="O7" s="137" t="n">
        <f aca="false">'Input Data'!N14</f>
        <v>11371.8</v>
      </c>
      <c r="P7" s="137" t="n">
        <f aca="false">'Input Data'!O14+'Input Data'!P14</f>
        <v>0</v>
      </c>
      <c r="Q7" s="134" t="n">
        <f aca="false">'Input Data'!R14</f>
        <v>0</v>
      </c>
      <c r="R7" s="135" t="str">
        <f aca="false">'Input Data'!S14</f>
        <v>FIXED 4%</v>
      </c>
      <c r="S7" s="205" t="n">
        <f aca="false">IFERROR('Input Data'!T14,"")</f>
        <v>46569</v>
      </c>
      <c r="T7" s="135" t="str">
        <f aca="false">'Input Data'!U14</f>
        <v>Semi-Gross</v>
      </c>
      <c r="U7" s="137" t="n">
        <f aca="false">'Input Data'!Y14</f>
        <v>39.25</v>
      </c>
      <c r="V7" s="138" t="n">
        <f aca="false">'Input Data'!Z14</f>
        <v>0.0396464646464646</v>
      </c>
      <c r="W7" s="136" t="n">
        <f aca="false">'Input Data'!W14</f>
        <v>1197.61232032854</v>
      </c>
      <c r="X7" s="135" t="str">
        <f aca="false">'Input Data'!AB14</f>
        <v>Base year FY2015 7.57%. BG: $288,500. Make good: full open plan. Cleaning $15 psm.</v>
      </c>
    </row>
    <row r="8" customFormat="false" ht="15.75" hidden="false" customHeight="true" outlineLevel="0" collapsed="false">
      <c r="A8" s="134" t="str">
        <f aca="false">'Input Data'!B3</f>
        <v>L03</v>
      </c>
      <c r="B8" s="134" t="str">
        <f aca="false">'Input Data'!C3</f>
        <v>3.01</v>
      </c>
      <c r="C8" s="204" t="str">
        <f aca="false">'Input Data'!D3</f>
        <v>Sydney Smiletree Pty Ltd</v>
      </c>
      <c r="D8" s="204" t="str">
        <f aca="false">'Input Data'!E3</f>
        <v>The Trustee for Sydney Smiletree Unit Trust</v>
      </c>
      <c r="E8" s="136" t="n">
        <f aca="false">'Input Data'!F3</f>
        <v>107.7</v>
      </c>
      <c r="F8" s="205" t="n">
        <f aca="false">'Input Data'!G3</f>
        <v>44013</v>
      </c>
      <c r="G8" s="205" t="n">
        <f aca="false">'Input Data'!H3</f>
        <v>47118</v>
      </c>
      <c r="H8" s="206" t="n">
        <f aca="false">'Input Data'!I3</f>
        <v>8.5</v>
      </c>
      <c r="I8" s="207" t="n">
        <f aca="false">'Input Data'!V3</f>
        <v>2.24777549623546</v>
      </c>
      <c r="J8" s="137" t="n">
        <f aca="false">'Input Data'!J3</f>
        <v>1395.94</v>
      </c>
      <c r="K8" s="137" t="n">
        <f aca="false">'Input Data'!X3</f>
        <v>950</v>
      </c>
      <c r="L8" s="137" t="n">
        <f aca="false">'Input Data'!Q3</f>
        <v>171561.378</v>
      </c>
      <c r="M8" s="137" t="n">
        <f aca="false">'Input Data'!L3</f>
        <v>0</v>
      </c>
      <c r="N8" s="137" t="n">
        <f aca="false">'Input Data'!M3</f>
        <v>9156</v>
      </c>
      <c r="O8" s="137" t="n">
        <f aca="false">'Input Data'!N3</f>
        <v>0</v>
      </c>
      <c r="P8" s="137" t="n">
        <f aca="false">'Input Data'!O3+'Input Data'!P3</f>
        <v>12062.64</v>
      </c>
      <c r="Q8" s="134" t="n">
        <f aca="false">'Input Data'!R3</f>
        <v>1</v>
      </c>
      <c r="R8" s="135" t="str">
        <f aca="false">'Input Data'!S3</f>
        <v>FIXED 4%</v>
      </c>
      <c r="S8" s="205" t="n">
        <f aca="false">IFERROR('Input Data'!T3,"")</f>
        <v>46569</v>
      </c>
      <c r="T8" s="135" t="str">
        <f aca="false">'Input Data'!U3</f>
        <v>Net</v>
      </c>
      <c r="U8" s="137" t="n">
        <f aca="false">'Input Data'!Y3</f>
        <v>445.94</v>
      </c>
      <c r="V8" s="138" t="n">
        <f aca="false">'Input Data'!Z3</f>
        <v>0.46941052631579</v>
      </c>
      <c r="W8" s="136" t="n">
        <f aca="false">'Input Data'!W3</f>
        <v>242.085420944559</v>
      </c>
      <c r="X8" s="135" t="str">
        <f aca="false">'Input Data'!AB3</f>
        <v>Option: 5 yrs. BG: $86,814. Car Space 16.</v>
      </c>
    </row>
    <row r="9" customFormat="false" ht="18" hidden="false" customHeight="true" outlineLevel="0" collapsed="false">
      <c r="A9" s="106" t="s">
        <v>406</v>
      </c>
      <c r="B9" s="106"/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  <c r="P9" s="106"/>
      <c r="Q9" s="106"/>
      <c r="R9" s="106"/>
      <c r="S9" s="106"/>
      <c r="T9" s="106"/>
      <c r="U9" s="106"/>
      <c r="V9" s="106"/>
      <c r="W9" s="106"/>
      <c r="X9" s="106"/>
    </row>
    <row r="10" customFormat="false" ht="15.75" hidden="false" customHeight="true" outlineLevel="0" collapsed="false">
      <c r="A10" s="22" t="str">
        <f aca="false">'Input Data'!B8</f>
        <v>L05</v>
      </c>
      <c r="B10" s="22" t="str">
        <f aca="false">'Input Data'!C8</f>
        <v>5.04</v>
      </c>
      <c r="C10" s="34" t="str">
        <f aca="false">'Input Data'!D8</f>
        <v>Auctionsplus Pty Ltd</v>
      </c>
      <c r="D10" s="34" t="str">
        <f aca="false">'Input Data'!E8</f>
        <v>Auctionsplus Pty Ltd</v>
      </c>
      <c r="E10" s="35" t="n">
        <f aca="false">'Input Data'!F8</f>
        <v>413.5</v>
      </c>
      <c r="F10" s="36" t="n">
        <f aca="false">'Input Data'!G8</f>
        <v>45352</v>
      </c>
      <c r="G10" s="36" t="n">
        <f aca="false">'Input Data'!H8</f>
        <v>47177</v>
      </c>
      <c r="H10" s="37" t="n">
        <f aca="false">'Input Data'!I8</f>
        <v>5</v>
      </c>
      <c r="I10" s="39" t="n">
        <f aca="false">'Input Data'!V8</f>
        <v>2.40930869267625</v>
      </c>
      <c r="J10" s="38" t="n">
        <f aca="false">'Input Data'!J8</f>
        <v>1005.89</v>
      </c>
      <c r="K10" s="38" t="n">
        <f aca="false">'Input Data'!X8</f>
        <v>990</v>
      </c>
      <c r="L10" s="38" t="n">
        <f aca="false">'Input Data'!Q8</f>
        <v>366667.895</v>
      </c>
      <c r="M10" s="38" t="n">
        <f aca="false">'Input Data'!L8</f>
        <v>-104594.82</v>
      </c>
      <c r="N10" s="38" t="n">
        <f aca="false">'Input Data'!M8</f>
        <v>40068.6</v>
      </c>
      <c r="O10" s="38" t="n">
        <f aca="false">'Input Data'!N8</f>
        <v>6847.56</v>
      </c>
      <c r="P10" s="38" t="n">
        <f aca="false">'Input Data'!O8+'Input Data'!P8</f>
        <v>8411.04</v>
      </c>
      <c r="Q10" s="22" t="n">
        <f aca="false">'Input Data'!R8</f>
        <v>1</v>
      </c>
      <c r="R10" s="23" t="str">
        <f aca="false">'Input Data'!S8</f>
        <v>FIXED 4%</v>
      </c>
      <c r="S10" s="36" t="n">
        <f aca="false">IFERROR('Input Data'!T8,"")</f>
        <v>46447</v>
      </c>
      <c r="T10" s="23" t="str">
        <f aca="false">'Input Data'!U8</f>
        <v>Semi-Gross</v>
      </c>
      <c r="U10" s="38" t="n">
        <f aca="false">'Input Data'!Y8</f>
        <v>15.89</v>
      </c>
      <c r="V10" s="40" t="n">
        <f aca="false">'Input Data'!Z8</f>
        <v>0.016050505050505</v>
      </c>
      <c r="W10" s="35" t="n">
        <f aca="false">'Input Data'!W8</f>
        <v>996.249144421629</v>
      </c>
      <c r="X10" s="23" t="str">
        <f aca="false">'Input Data'!AB8</f>
        <v>Semi-gross base year FY24 2.4%. BG equiv $199,187 incl GST. Incentive: fitout contribution $672,971.</v>
      </c>
    </row>
    <row r="11" customFormat="false" ht="15.75" hidden="false" customHeight="true" outlineLevel="0" collapsed="false">
      <c r="A11" s="22" t="str">
        <f aca="false">'Input Data'!B7</f>
        <v>L05</v>
      </c>
      <c r="B11" s="22" t="str">
        <f aca="false">'Input Data'!C7</f>
        <v>5.03</v>
      </c>
      <c r="C11" s="34" t="str">
        <f aca="false">'Input Data'!D7</f>
        <v>Asterx Pty Ltd</v>
      </c>
      <c r="D11" s="34" t="str">
        <f aca="false">'Input Data'!E7</f>
        <v>Asterx Pty Ltd (MediRecords)</v>
      </c>
      <c r="E11" s="35" t="n">
        <f aca="false">'Input Data'!F7</f>
        <v>229.8</v>
      </c>
      <c r="F11" s="36" t="n">
        <f aca="false">'Input Data'!G7</f>
        <v>45474</v>
      </c>
      <c r="G11" s="36" t="n">
        <f aca="false">'Input Data'!H7</f>
        <v>47299</v>
      </c>
      <c r="H11" s="37" t="n">
        <f aca="false">'Input Data'!I7</f>
        <v>5</v>
      </c>
      <c r="I11" s="39" t="n">
        <f aca="false">'Input Data'!V7</f>
        <v>2.74332648870637</v>
      </c>
      <c r="J11" s="38" t="n">
        <f aca="false">'Input Data'!J7</f>
        <v>985.53</v>
      </c>
      <c r="K11" s="38" t="n">
        <f aca="false">'Input Data'!X7</f>
        <v>950</v>
      </c>
      <c r="L11" s="38" t="n">
        <f aca="false">'Input Data'!Q7</f>
        <v>205033.434</v>
      </c>
      <c r="M11" s="38" t="n">
        <f aca="false">'Input Data'!L7</f>
        <v>-46511.52</v>
      </c>
      <c r="N11" s="38" t="n">
        <f aca="false">'Input Data'!M7</f>
        <v>10521.96</v>
      </c>
      <c r="O11" s="38" t="n">
        <f aca="false">'Input Data'!N7</f>
        <v>3805.44</v>
      </c>
      <c r="P11" s="38" t="n">
        <f aca="false">'Input Data'!O7+'Input Data'!P7</f>
        <v>10742.76</v>
      </c>
      <c r="Q11" s="22" t="n">
        <f aca="false">'Input Data'!R7</f>
        <v>1</v>
      </c>
      <c r="R11" s="23" t="str">
        <f aca="false">'Input Data'!S7</f>
        <v>FIXED 3.5%</v>
      </c>
      <c r="S11" s="36" t="n">
        <f aca="false">IFERROR('Input Data'!T7,"")</f>
        <v>46569</v>
      </c>
      <c r="T11" s="23" t="str">
        <f aca="false">'Input Data'!U7</f>
        <v>Semi-Gross</v>
      </c>
      <c r="U11" s="38" t="n">
        <f aca="false">'Input Data'!Y7</f>
        <v>35.53</v>
      </c>
      <c r="V11" s="40" t="n">
        <f aca="false">'Input Data'!Z7</f>
        <v>0.0374</v>
      </c>
      <c r="W11" s="35" t="n">
        <f aca="false">'Input Data'!W7</f>
        <v>630.416427104723</v>
      </c>
      <c r="X11" s="23" t="str">
        <f aca="false">'Input Data'!AB7</f>
        <v>Semi-gross base year FY24. BG: $135,234. 1 car space. Lease start/expiry corrected to 01/07/24–30/06/29 per Sept26 TS (previously recorded as 01/06/24–31/05/29). Abatement, car park rent, cleaning and outgoings all confirmed/updated per Sept26 TS.</v>
      </c>
    </row>
    <row r="12" customFormat="false" ht="15.75" hidden="false" customHeight="true" outlineLevel="0" collapsed="false">
      <c r="A12" s="22" t="str">
        <f aca="false">'Input Data'!B9</f>
        <v>L06</v>
      </c>
      <c r="B12" s="22" t="str">
        <f aca="false">'Input Data'!C9</f>
        <v>6.02</v>
      </c>
      <c r="C12" s="34" t="str">
        <f aca="false">'Input Data'!D9</f>
        <v>Sungrow Australia Group</v>
      </c>
      <c r="D12" s="34" t="str">
        <f aca="false">'Input Data'!E9</f>
        <v>Sungrow Australia Group Pty Ltd</v>
      </c>
      <c r="E12" s="35" t="n">
        <f aca="false">'Input Data'!F9</f>
        <v>451.7</v>
      </c>
      <c r="F12" s="36" t="n">
        <f aca="false">'Input Data'!G9</f>
        <v>45762</v>
      </c>
      <c r="G12" s="36" t="n">
        <f aca="false">'Input Data'!H9</f>
        <v>47375</v>
      </c>
      <c r="H12" s="37" t="n">
        <f aca="false">'Input Data'!I9</f>
        <v>4.4</v>
      </c>
      <c r="I12" s="39" t="n">
        <f aca="false">'Input Data'!V9</f>
        <v>2.95140314852841</v>
      </c>
      <c r="J12" s="38" t="n">
        <f aca="false">'Input Data'!J9</f>
        <v>954.5</v>
      </c>
      <c r="K12" s="38" t="n">
        <f aca="false">'Input Data'!X9</f>
        <v>955</v>
      </c>
      <c r="L12" s="38" t="n">
        <f aca="false">'Input Data'!Q9</f>
        <v>283260.35</v>
      </c>
      <c r="M12" s="38" t="n">
        <f aca="false">'Input Data'!L9</f>
        <v>-211720.82</v>
      </c>
      <c r="N12" s="38" t="n">
        <f aca="false">'Input Data'!M9</f>
        <v>45907.32</v>
      </c>
      <c r="O12" s="38" t="n">
        <f aca="false">'Input Data'!N9</f>
        <v>7480.2</v>
      </c>
      <c r="P12" s="38" t="n">
        <f aca="false">'Input Data'!O9+'Input Data'!P9</f>
        <v>10446</v>
      </c>
      <c r="Q12" s="22" t="n">
        <f aca="false">'Input Data'!R9</f>
        <v>1</v>
      </c>
      <c r="R12" s="23" t="str">
        <f aca="false">'Input Data'!S9</f>
        <v>FIXED 3.75%</v>
      </c>
      <c r="S12" s="36" t="n">
        <f aca="false">IFERROR('Input Data'!T9,"")</f>
        <v>46492</v>
      </c>
      <c r="T12" s="23" t="str">
        <f aca="false">'Input Data'!U9</f>
        <v>Semi-Gross</v>
      </c>
      <c r="U12" s="38" t="n">
        <f aca="false">'Input Data'!Y9</f>
        <v>-0.5</v>
      </c>
      <c r="V12" s="40" t="n">
        <f aca="false">'Input Data'!Z9</f>
        <v>-0.000523560209424084</v>
      </c>
      <c r="W12" s="35" t="n">
        <f aca="false">'Input Data'!W9</f>
        <v>1333.14880219028</v>
      </c>
      <c r="X12" s="23" t="str">
        <f aca="false">'Input Data'!AB9</f>
        <v>BG: $291,050 (6 mths last yr gross rent). Incentive: 50% of rent as abatement. Make Good: $200 psm.</v>
      </c>
    </row>
    <row r="13" customFormat="false" ht="15.75" hidden="false" customHeight="true" outlineLevel="0" collapsed="false">
      <c r="A13" s="22" t="str">
        <f aca="false">'Input Data'!B12</f>
        <v>L07</v>
      </c>
      <c r="B13" s="22" t="str">
        <f aca="false">'Input Data'!C12</f>
        <v>7.01</v>
      </c>
      <c r="C13" s="34" t="str">
        <f aca="false">'Input Data'!D12</f>
        <v>Sungrow Australia Group</v>
      </c>
      <c r="D13" s="34" t="str">
        <f aca="false">'Input Data'!E12</f>
        <v>Sungrow Australia Group Pty Ltd</v>
      </c>
      <c r="E13" s="35" t="n">
        <f aca="false">'Input Data'!F12</f>
        <v>484.1</v>
      </c>
      <c r="F13" s="36" t="n">
        <f aca="false">'Input Data'!G12</f>
        <v>45184</v>
      </c>
      <c r="G13" s="36" t="n">
        <f aca="false">'Input Data'!H12</f>
        <v>47375</v>
      </c>
      <c r="H13" s="37" t="n">
        <f aca="false">'Input Data'!I12</f>
        <v>6</v>
      </c>
      <c r="I13" s="39" t="n">
        <f aca="false">'Input Data'!V12</f>
        <v>2.95140314852841</v>
      </c>
      <c r="J13" s="38" t="n">
        <f aca="false">'Input Data'!J12</f>
        <v>1911.44</v>
      </c>
      <c r="K13" s="38" t="n">
        <f aca="false">'Input Data'!X12</f>
        <v>1020</v>
      </c>
      <c r="L13" s="38" t="n">
        <f aca="false">'Input Data'!Q12</f>
        <v>693732.304</v>
      </c>
      <c r="M13" s="38" t="n">
        <f aca="false">'Input Data'!L12</f>
        <v>-319000.32</v>
      </c>
      <c r="N13" s="38" t="n">
        <f aca="false">'Input Data'!M12</f>
        <v>49200.48</v>
      </c>
      <c r="O13" s="38" t="n">
        <f aca="false">'Input Data'!N12</f>
        <v>14069.4</v>
      </c>
      <c r="P13" s="38" t="n">
        <f aca="false">'Input Data'!O12+'Input Data'!P12</f>
        <v>24134.64</v>
      </c>
      <c r="Q13" s="22" t="n">
        <f aca="false">'Input Data'!R12</f>
        <v>2</v>
      </c>
      <c r="R13" s="23" t="str">
        <f aca="false">'Input Data'!S12</f>
        <v>FIXED 3.75%</v>
      </c>
      <c r="S13" s="36" t="n">
        <f aca="false">IFERROR('Input Data'!T12,"")</f>
        <v>46645</v>
      </c>
      <c r="T13" s="23" t="str">
        <f aca="false">'Input Data'!U12</f>
        <v>Semi-Gross</v>
      </c>
      <c r="U13" s="38" t="n">
        <f aca="false">'Input Data'!Y12</f>
        <v>891.44</v>
      </c>
      <c r="V13" s="40" t="n">
        <f aca="false">'Input Data'!Z12</f>
        <v>0.873960784313726</v>
      </c>
      <c r="W13" s="35" t="n">
        <f aca="false">'Input Data'!W12</f>
        <v>1428.7742642026</v>
      </c>
      <c r="X13" s="23" t="str">
        <f aca="false">'Input Data'!AB12</f>
        <v>Tandem bays x2. BG: $536,314. Base year FY2021 9.41%. Sept26 TS shows office rent reset to a combined total of $925,326 pa across 7.01+7.02 (849.6 sqm) — PSM above is a blended rate ($925,326/484.1 sqm) to keep this in the existing K=PSM×NLA formula; not a genuine per-sqm market rate, so Var to Mkt for this row is not meaningful. This is an 82% jump on the prior $508k combined rent — flagging for verification against the lease before relying on it.</v>
      </c>
    </row>
    <row r="14" customFormat="false" ht="15.75" hidden="false" customHeight="true" outlineLevel="0" collapsed="false">
      <c r="A14" s="22" t="str">
        <f aca="false">'Input Data'!B13</f>
        <v>L07</v>
      </c>
      <c r="B14" s="22" t="str">
        <f aca="false">'Input Data'!C13</f>
        <v>7.02</v>
      </c>
      <c r="C14" s="34" t="str">
        <f aca="false">'Input Data'!D13</f>
        <v>Sungrow Australia Group</v>
      </c>
      <c r="D14" s="34" t="str">
        <f aca="false">'Input Data'!E13</f>
        <v>Additional Space (Sungrow)</v>
      </c>
      <c r="E14" s="35" t="n">
        <f aca="false">'Input Data'!F13</f>
        <v>365.5</v>
      </c>
      <c r="F14" s="36" t="n">
        <f aca="false">'Input Data'!G13</f>
        <v>45184</v>
      </c>
      <c r="G14" s="36" t="n">
        <f aca="false">'Input Data'!H13</f>
        <v>47375</v>
      </c>
      <c r="H14" s="37" t="n">
        <f aca="false">'Input Data'!I13</f>
        <v>6</v>
      </c>
      <c r="I14" s="39" t="n">
        <f aca="false">'Input Data'!V13</f>
        <v>2.95140314852841</v>
      </c>
      <c r="J14" s="38" t="n">
        <f aca="false">'Input Data'!J13</f>
        <v>0</v>
      </c>
      <c r="K14" s="38" t="n">
        <f aca="false">'Input Data'!X13</f>
        <v>1020</v>
      </c>
      <c r="L14" s="38" t="n">
        <f aca="false">'Input Data'!Q13</f>
        <v>37146.72</v>
      </c>
      <c r="M14" s="38" t="n">
        <f aca="false">'Input Data'!L13</f>
        <v>0</v>
      </c>
      <c r="N14" s="38" t="n">
        <f aca="false">'Input Data'!M13</f>
        <v>37146.72</v>
      </c>
      <c r="O14" s="38" t="n">
        <f aca="false">'Input Data'!N13</f>
        <v>0</v>
      </c>
      <c r="P14" s="38" t="n">
        <f aca="false">'Input Data'!O13+'Input Data'!P13</f>
        <v>0</v>
      </c>
      <c r="Q14" s="22" t="n">
        <f aca="false">'Input Data'!R13</f>
        <v>0</v>
      </c>
      <c r="R14" s="23" t="str">
        <f aca="false">'Input Data'!S13</f>
        <v>FIXED 3.75%</v>
      </c>
      <c r="S14" s="36" t="n">
        <f aca="false">IFERROR('Input Data'!T13,"")</f>
        <v>46645</v>
      </c>
      <c r="T14" s="23" t="str">
        <f aca="false">'Input Data'!U13</f>
        <v>Semi-Gross</v>
      </c>
      <c r="U14" s="38" t="n">
        <f aca="false">'Input Data'!Y13</f>
        <v>0</v>
      </c>
      <c r="V14" s="40" t="n">
        <f aca="false">'Input Data'!Z13</f>
        <v>0</v>
      </c>
      <c r="W14" s="35" t="n">
        <f aca="false">'Input Data'!W13</f>
        <v>1078.73785078713</v>
      </c>
      <c r="X14" s="23" t="str">
        <f aca="false">'Input Data'!AB13</f>
        <v>Additional space - office rent included in Suite 7.01 totals (same lease). Sept26 TS now shows a separate Outgoings Recoverable charge of $37,146.72 pa billed against this suite.</v>
      </c>
    </row>
    <row r="15" customFormat="false" ht="15.75" hidden="false" customHeight="true" outlineLevel="0" collapsed="false">
      <c r="A15" s="22" t="str">
        <f aca="false">'Input Data'!B17</f>
        <v>L12</v>
      </c>
      <c r="B15" s="22" t="str">
        <f aca="false">'Input Data'!C17</f>
        <v>12.01</v>
      </c>
      <c r="C15" s="34" t="str">
        <f aca="false">'Input Data'!D17</f>
        <v>Hulsbosch Design Pty Ltd</v>
      </c>
      <c r="D15" s="34" t="str">
        <f aca="false">'Input Data'!E17</f>
        <v>Hulsbosch Design Pty Ltd</v>
      </c>
      <c r="E15" s="35" t="n">
        <f aca="false">'Input Data'!F17</f>
        <v>251</v>
      </c>
      <c r="F15" s="36" t="n">
        <f aca="false">'Input Data'!G17</f>
        <v>45962</v>
      </c>
      <c r="G15" s="36" t="n">
        <f aca="false">'Input Data'!H17</f>
        <v>47787</v>
      </c>
      <c r="H15" s="37" t="n">
        <f aca="false">'Input Data'!I17</f>
        <v>5</v>
      </c>
      <c r="I15" s="39" t="n">
        <f aca="false">'Input Data'!V17</f>
        <v>4.07939767282683</v>
      </c>
      <c r="J15" s="38" t="n">
        <f aca="false">'Input Data'!J17</f>
        <v>985</v>
      </c>
      <c r="K15" s="38" t="n">
        <f aca="false">'Input Data'!X17</f>
        <v>1040</v>
      </c>
      <c r="L15" s="38" t="n">
        <f aca="false">'Input Data'!Q17</f>
        <v>191159.6</v>
      </c>
      <c r="M15" s="38" t="n">
        <f aca="false">'Input Data'!L17</f>
        <v>-66750.12</v>
      </c>
      <c r="N15" s="38" t="n">
        <f aca="false">'Input Data'!M17</f>
        <v>6518.16</v>
      </c>
      <c r="O15" s="38" t="n">
        <f aca="false">'Input Data'!N17</f>
        <v>4156.56</v>
      </c>
      <c r="P15" s="38" t="n">
        <f aca="false">'Input Data'!O17+'Input Data'!P17</f>
        <v>0</v>
      </c>
      <c r="Q15" s="22" t="n">
        <f aca="false">'Input Data'!R17</f>
        <v>0</v>
      </c>
      <c r="R15" s="23" t="str">
        <f aca="false">'Input Data'!S17</f>
        <v>FIXED 3.5%</v>
      </c>
      <c r="S15" s="36" t="n">
        <f aca="false">IFERROR('Input Data'!T17,"")</f>
        <v>46327</v>
      </c>
      <c r="T15" s="23" t="str">
        <f aca="false">'Input Data'!U17</f>
        <v>Semi-Gross</v>
      </c>
      <c r="U15" s="38" t="n">
        <f aca="false">'Input Data'!Y17</f>
        <v>-55</v>
      </c>
      <c r="V15" s="40" t="n">
        <f aca="false">'Input Data'!Z17</f>
        <v>-0.0528846153846154</v>
      </c>
      <c r="W15" s="35" t="n">
        <f aca="false">'Input Data'!W17</f>
        <v>1023.92881587953</v>
      </c>
      <c r="X15" s="23" t="str">
        <f aca="false">'Input Data'!AB17</f>
        <v>Base year FY25 3.8%. Corrected per Sept26 TS: this row's NLA/financials were previously swapped with Smile Partners (0902) in the master file. Suite 1201 (Hulsbosch) is actually 251 sqm, 01/11/25–31/10/30, 5 yr term — not 344.5 sqm/4.1 yrs as previously recorded. No car park charges shown for this suite on the TS.</v>
      </c>
    </row>
    <row r="16" customFormat="false" ht="18" hidden="false" customHeight="true" outlineLevel="0" collapsed="false">
      <c r="A16" s="14" t="s">
        <v>407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</row>
    <row r="17" customFormat="false" ht="15.75" hidden="false" customHeight="true" outlineLevel="0" collapsed="false">
      <c r="A17" s="22" t="str">
        <f aca="false">'Input Data'!B15</f>
        <v>L08</v>
      </c>
      <c r="B17" s="22" t="str">
        <f aca="false">'Input Data'!C15</f>
        <v>8.03</v>
      </c>
      <c r="C17" s="34" t="str">
        <f aca="false">'Input Data'!D15</f>
        <v>Can Too Foundation Limited</v>
      </c>
      <c r="D17" s="34" t="str">
        <f aca="false">'Input Data'!E15</f>
        <v>Can Too Foundation Limited</v>
      </c>
      <c r="E17" s="35" t="n">
        <f aca="false">'Input Data'!F15</f>
        <v>116.3</v>
      </c>
      <c r="F17" s="36" t="n">
        <f aca="false">'Input Data'!G15</f>
        <v>45809</v>
      </c>
      <c r="G17" s="36" t="n">
        <f aca="false">'Input Data'!H15</f>
        <v>47787</v>
      </c>
      <c r="H17" s="37" t="n">
        <f aca="false">'Input Data'!I15</f>
        <v>5.4</v>
      </c>
      <c r="I17" s="39" t="n">
        <f aca="false">'Input Data'!V15</f>
        <v>4.07939767282683</v>
      </c>
      <c r="J17" s="38" t="n">
        <f aca="false">'Input Data'!J15</f>
        <v>1027.12</v>
      </c>
      <c r="K17" s="38" t="n">
        <f aca="false">'Input Data'!X15</f>
        <v>990</v>
      </c>
      <c r="L17" s="38" t="n">
        <f aca="false">'Input Data'!Q15</f>
        <v>76042.556</v>
      </c>
      <c r="M17" s="38" t="n">
        <f aca="false">'Input Data'!L15</f>
        <v>-48357.54</v>
      </c>
      <c r="N17" s="38" t="n">
        <f aca="false">'Input Data'!M15</f>
        <v>3020.16</v>
      </c>
      <c r="O17" s="38" t="n">
        <f aca="false">'Input Data'!N15</f>
        <v>1925.88</v>
      </c>
      <c r="P17" s="38" t="n">
        <f aca="false">'Input Data'!O15+'Input Data'!P15</f>
        <v>0</v>
      </c>
      <c r="Q17" s="22" t="n">
        <f aca="false">'Input Data'!R15</f>
        <v>0</v>
      </c>
      <c r="R17" s="23" t="str">
        <f aca="false">'Input Data'!S15</f>
        <v>FIXED 3.75%</v>
      </c>
      <c r="S17" s="36" t="n">
        <f aca="false">IFERROR('Input Data'!T15,"")</f>
        <v>46539</v>
      </c>
      <c r="T17" s="23" t="str">
        <f aca="false">'Input Data'!U15</f>
        <v>Semi-Gross</v>
      </c>
      <c r="U17" s="38" t="n">
        <f aca="false">'Input Data'!Y15</f>
        <v>37.1199999999999</v>
      </c>
      <c r="V17" s="40" t="n">
        <f aca="false">'Input Data'!Z15</f>
        <v>0.0374949494949494</v>
      </c>
      <c r="W17" s="35" t="n">
        <f aca="false">'Input Data'!W15</f>
        <v>474.43394934976</v>
      </c>
      <c r="X17" s="23" t="str">
        <f aca="false">'Input Data'!AB15</f>
        <v>BG: $74,934. Base year 2025 1.29%. Cleaning $15.77 psm.</v>
      </c>
    </row>
    <row r="18" customFormat="false" ht="15.75" hidden="false" customHeight="true" outlineLevel="0" collapsed="false">
      <c r="A18" s="22" t="str">
        <f aca="false">'Input Data'!B18</f>
        <v>L09</v>
      </c>
      <c r="B18" s="22" t="str">
        <f aca="false">'Input Data'!C18</f>
        <v>9.02</v>
      </c>
      <c r="C18" s="34" t="str">
        <f aca="false">'Input Data'!D18</f>
        <v>Smile Partners Australia</v>
      </c>
      <c r="D18" s="34" t="str">
        <f aca="false">'Input Data'!E18</f>
        <v>Smile Partners Australia Pty Ltd</v>
      </c>
      <c r="E18" s="35" t="n">
        <f aca="false">'Input Data'!F18</f>
        <v>344.5</v>
      </c>
      <c r="F18" s="36" t="n">
        <f aca="false">'Input Data'!G18</f>
        <v>45992</v>
      </c>
      <c r="G18" s="36" t="n">
        <f aca="false">'Input Data'!H18</f>
        <v>47483</v>
      </c>
      <c r="H18" s="37" t="n">
        <f aca="false">'Input Data'!I18</f>
        <v>4.1</v>
      </c>
      <c r="I18" s="39" t="n">
        <f aca="false">'Input Data'!V18</f>
        <v>3.24709103353867</v>
      </c>
      <c r="J18" s="38" t="n">
        <f aca="false">'Input Data'!J18</f>
        <v>990.29</v>
      </c>
      <c r="K18" s="38" t="n">
        <f aca="false">'Input Data'!X18</f>
        <v>990</v>
      </c>
      <c r="L18" s="38" t="n">
        <f aca="false">'Input Data'!Q18</f>
        <v>224063.825</v>
      </c>
      <c r="M18" s="38" t="n">
        <f aca="false">'Input Data'!L18</f>
        <v>-137802.12</v>
      </c>
      <c r="N18" s="38" t="n">
        <f aca="false">'Input Data'!M18</f>
        <v>8946.12</v>
      </c>
      <c r="O18" s="38" t="n">
        <f aca="false">'Input Data'!N18</f>
        <v>5704.92</v>
      </c>
      <c r="P18" s="38" t="n">
        <f aca="false">'Input Data'!O18+'Input Data'!P18</f>
        <v>6060</v>
      </c>
      <c r="Q18" s="22" t="n">
        <f aca="false">'Input Data'!R18</f>
        <v>2</v>
      </c>
      <c r="R18" s="23" t="str">
        <f aca="false">'Input Data'!S18</f>
        <v>FIXED 3.5%</v>
      </c>
      <c r="S18" s="36" t="n">
        <f aca="false">IFERROR('Input Data'!T18,"")</f>
        <v>46357</v>
      </c>
      <c r="T18" s="23" t="str">
        <f aca="false">'Input Data'!U18</f>
        <v>Semi-Gross</v>
      </c>
      <c r="U18" s="38" t="n">
        <f aca="false">'Input Data'!Y18</f>
        <v>0.289999999999964</v>
      </c>
      <c r="V18" s="40" t="n">
        <f aca="false">'Input Data'!Z18</f>
        <v>0.000292929292929256</v>
      </c>
      <c r="W18" s="35" t="n">
        <f aca="false">'Input Data'!W18</f>
        <v>1118.62286105407</v>
      </c>
      <c r="X18" s="23" t="str">
        <f aca="false">'Input Data'!AB18</f>
        <v>Corrected per Sept26 TS: this row's NLA/financials were previously swapped with Hulsbosch Design (1201) in the master file. Suite 0902 (Smile Partners) is actually 344.5 sqm, 01/12/25–31/12/29, 4.1 yr term, 2 car spaces ($6,060 pa levy) — not 251 sqm/5 yrs/no car parks as previously recorded.</v>
      </c>
    </row>
    <row r="19" customFormat="false" ht="15.75" hidden="false" customHeight="true" outlineLevel="0" collapsed="false">
      <c r="A19" s="22" t="str">
        <f aca="false">'Input Data'!B19</f>
        <v>L12</v>
      </c>
      <c r="B19" s="22" t="str">
        <f aca="false">'Input Data'!C19</f>
        <v>12.02</v>
      </c>
      <c r="C19" s="34" t="str">
        <f aca="false">'Input Data'!D19</f>
        <v>Aei Insurance Group Pty Ltd</v>
      </c>
      <c r="D19" s="34" t="str">
        <f aca="false">'Input Data'!E19</f>
        <v>AEI Insurance Group Pty Ltd</v>
      </c>
      <c r="E19" s="35" t="n">
        <f aca="false">'Input Data'!F19</f>
        <v>536</v>
      </c>
      <c r="F19" s="36" t="n">
        <f aca="false">'Input Data'!G19</f>
        <v>45642</v>
      </c>
      <c r="G19" s="36" t="n">
        <f aca="false">'Input Data'!H19</f>
        <v>47832</v>
      </c>
      <c r="H19" s="37" t="n">
        <f aca="false">'Input Data'!I19</f>
        <v>6</v>
      </c>
      <c r="I19" s="39" t="n">
        <f aca="false">'Input Data'!V19</f>
        <v>4.20260095824778</v>
      </c>
      <c r="J19" s="38" t="n">
        <f aca="false">'Input Data'!J19</f>
        <v>988</v>
      </c>
      <c r="K19" s="38" t="n">
        <f aca="false">'Input Data'!X19</f>
        <v>1010</v>
      </c>
      <c r="L19" s="38" t="n">
        <f aca="false">'Input Data'!Q19</f>
        <v>638733.2</v>
      </c>
      <c r="M19" s="38" t="n">
        <f aca="false">'Input Data'!L19</f>
        <v>-51200.76</v>
      </c>
      <c r="N19" s="38" t="n">
        <f aca="false">'Input Data'!M19</f>
        <v>24542.16</v>
      </c>
      <c r="O19" s="38" t="n">
        <f aca="false">'Input Data'!N19</f>
        <v>8876.16</v>
      </c>
      <c r="P19" s="38" t="n">
        <f aca="false">'Input Data'!O19+'Input Data'!P19</f>
        <v>126947.64</v>
      </c>
      <c r="Q19" s="22" t="n">
        <f aca="false">'Input Data'!R19</f>
        <v>10</v>
      </c>
      <c r="R19" s="23" t="str">
        <f aca="false">'Input Data'!S19</f>
        <v>FIXED 4%</v>
      </c>
      <c r="S19" s="36" t="n">
        <f aca="false">IFERROR('Input Data'!T19,"")</f>
        <v>46372</v>
      </c>
      <c r="T19" s="23" t="str">
        <f aca="false">'Input Data'!U19</f>
        <v>Semi-Gross</v>
      </c>
      <c r="U19" s="38" t="n">
        <f aca="false">'Input Data'!Y19</f>
        <v>-22</v>
      </c>
      <c r="V19" s="40" t="n">
        <f aca="false">'Input Data'!Z19</f>
        <v>-0.0217821782178218</v>
      </c>
      <c r="W19" s="35" t="n">
        <f aca="false">'Input Data'!W19</f>
        <v>2252.59411362081</v>
      </c>
      <c r="X19" s="23" t="str">
        <f aca="false">'Input Data'!AB19</f>
        <v>Option: 6 mths. BG: $440,704 (no expiry). 10 car spaces. Formerly Austbrokers.</v>
      </c>
    </row>
    <row r="20" customFormat="false" ht="18" hidden="false" customHeight="true" outlineLevel="0" collapsed="false">
      <c r="A20" s="14" t="s">
        <v>408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</row>
    <row r="21" customFormat="false" ht="15.75" hidden="false" customHeight="true" outlineLevel="0" collapsed="false">
      <c r="A21" s="22" t="str">
        <f aca="false">'Input Data'!B4</f>
        <v>L03</v>
      </c>
      <c r="B21" s="22" t="str">
        <f aca="false">'Input Data'!C4</f>
        <v>3.02</v>
      </c>
      <c r="C21" s="34" t="str">
        <f aca="false">'Input Data'!D4</f>
        <v>Fitness First Australia Pty Limited</v>
      </c>
      <c r="D21" s="34" t="str">
        <f aca="false">'Input Data'!E4</f>
        <v>Fitness First Australia Pty Limited</v>
      </c>
      <c r="E21" s="35" t="n">
        <f aca="false">'Input Data'!F4</f>
        <v>795.5</v>
      </c>
      <c r="F21" s="36" t="n">
        <f aca="false">'Input Data'!G4</f>
        <v>44378</v>
      </c>
      <c r="G21" s="36" t="n">
        <f aca="false">'Input Data'!H4</f>
        <v>48029</v>
      </c>
      <c r="H21" s="37" t="n">
        <f aca="false">'Input Data'!I4</f>
        <v>10</v>
      </c>
      <c r="I21" s="39" t="n">
        <f aca="false">'Input Data'!V4</f>
        <v>4.7419575633128</v>
      </c>
      <c r="J21" s="38" t="n">
        <f aca="false">'Input Data'!J4</f>
        <v>855.7</v>
      </c>
      <c r="K21" s="38" t="n">
        <f aca="false">'Input Data'!X4</f>
        <v>870</v>
      </c>
      <c r="L21" s="38" t="n">
        <f aca="false">'Input Data'!Q4</f>
        <v>680709.35</v>
      </c>
      <c r="M21" s="38" t="n">
        <f aca="false">'Input Data'!L4</f>
        <v>0</v>
      </c>
      <c r="N21" s="38" t="n">
        <f aca="false">'Input Data'!M4</f>
        <v>0</v>
      </c>
      <c r="O21" s="38" t="n">
        <f aca="false">'Input Data'!N4</f>
        <v>0</v>
      </c>
      <c r="P21" s="38" t="n">
        <f aca="false">'Input Data'!O4+'Input Data'!P4</f>
        <v>0</v>
      </c>
      <c r="Q21" s="22" t="n">
        <f aca="false">'Input Data'!R4</f>
        <v>0</v>
      </c>
      <c r="R21" s="23" t="str">
        <f aca="false">'Input Data'!S4</f>
        <v>FIXED 4%</v>
      </c>
      <c r="S21" s="36" t="n">
        <f aca="false">IFERROR('Input Data'!T4,"")</f>
        <v>46204</v>
      </c>
      <c r="T21" s="23" t="str">
        <f aca="false">'Input Data'!U4</f>
        <v>Gross</v>
      </c>
      <c r="U21" s="38" t="n">
        <f aca="false">'Input Data'!Y4</f>
        <v>-14.3</v>
      </c>
      <c r="V21" s="40" t="n">
        <f aca="false">'Input Data'!Z4</f>
        <v>-0.0164367816091954</v>
      </c>
      <c r="W21" s="35" t="n">
        <f aca="false">'Input Data'!W4</f>
        <v>3772.22724161533</v>
      </c>
      <c r="X21" s="23" t="str">
        <f aca="false">'Input Data'!AB4</f>
        <v>Gross lease - Nil outgoings. Includes direct AC recovery $108.09 psm. Option: 5 yrs (01/07/26-30/06/31).</v>
      </c>
    </row>
    <row r="22" customFormat="false" ht="15.75" hidden="false" customHeight="true" outlineLevel="0" collapsed="false">
      <c r="A22" s="22" t="str">
        <f aca="false">'Input Data'!B5</f>
        <v>L04</v>
      </c>
      <c r="B22" s="22" t="str">
        <f aca="false">'Input Data'!C5</f>
        <v>4.01</v>
      </c>
      <c r="C22" s="34" t="str">
        <f aca="false">'Input Data'!D5</f>
        <v>Fitness First Australia Pty Limited</v>
      </c>
      <c r="D22" s="34" t="str">
        <f aca="false">'Input Data'!E5</f>
        <v>Fitness First Australia Pty Limited</v>
      </c>
      <c r="E22" s="35" t="n">
        <f aca="false">'Input Data'!F5</f>
        <v>1047</v>
      </c>
      <c r="F22" s="36" t="n">
        <f aca="false">'Input Data'!G5</f>
        <v>44378</v>
      </c>
      <c r="G22" s="36" t="n">
        <f aca="false">'Input Data'!H5</f>
        <v>48029</v>
      </c>
      <c r="H22" s="37" t="n">
        <f aca="false">'Input Data'!I5</f>
        <v>10</v>
      </c>
      <c r="I22" s="39" t="n">
        <f aca="false">'Input Data'!V5</f>
        <v>4.7419575633128</v>
      </c>
      <c r="J22" s="38" t="n">
        <f aca="false">'Input Data'!J5</f>
        <v>855.7</v>
      </c>
      <c r="K22" s="38" t="n">
        <f aca="false">'Input Data'!X5</f>
        <v>870</v>
      </c>
      <c r="L22" s="38" t="n">
        <f aca="false">'Input Data'!Q5</f>
        <v>906078.3</v>
      </c>
      <c r="M22" s="38" t="n">
        <f aca="false">'Input Data'!L5</f>
        <v>0</v>
      </c>
      <c r="N22" s="38" t="n">
        <f aca="false">'Input Data'!M5</f>
        <v>0</v>
      </c>
      <c r="O22" s="38" t="n">
        <f aca="false">'Input Data'!N5</f>
        <v>0</v>
      </c>
      <c r="P22" s="38" t="n">
        <f aca="false">'Input Data'!O5+'Input Data'!P5</f>
        <v>10160.4</v>
      </c>
      <c r="Q22" s="22" t="n">
        <f aca="false">'Input Data'!R5</f>
        <v>1</v>
      </c>
      <c r="R22" s="23" t="str">
        <f aca="false">'Input Data'!S5</f>
        <v>FIXED 4%</v>
      </c>
      <c r="S22" s="36" t="n">
        <f aca="false">IFERROR('Input Data'!T5,"")</f>
        <v>46204</v>
      </c>
      <c r="T22" s="23" t="str">
        <f aca="false">'Input Data'!U5</f>
        <v>Gross</v>
      </c>
      <c r="U22" s="38" t="n">
        <f aca="false">'Input Data'!Y5</f>
        <v>-14.3</v>
      </c>
      <c r="V22" s="40" t="n">
        <f aca="false">'Input Data'!Z5</f>
        <v>-0.0164367816091954</v>
      </c>
      <c r="W22" s="35" t="n">
        <f aca="false">'Input Data'!W5</f>
        <v>4964.8295687885</v>
      </c>
      <c r="X22" s="23" t="str">
        <f aca="false">'Input Data'!AB5</f>
        <v>Gross lease - Nil outgoings. 1 car space.</v>
      </c>
    </row>
    <row r="23" customFormat="false" ht="15.75" hidden="false" customHeight="true" outlineLevel="0" collapsed="false">
      <c r="A23" s="22" t="str">
        <f aca="false">'Input Data'!B6</f>
        <v>L05</v>
      </c>
      <c r="B23" s="22" t="str">
        <f aca="false">'Input Data'!C6</f>
        <v>5.01</v>
      </c>
      <c r="C23" s="34" t="str">
        <f aca="false">'Input Data'!D6</f>
        <v>Fitness First Australia Pty Limited</v>
      </c>
      <c r="D23" s="34" t="str">
        <f aca="false">'Input Data'!E6</f>
        <v>Fitness First North Sydney</v>
      </c>
      <c r="E23" s="35" t="n">
        <f aca="false">'Input Data'!F6</f>
        <v>437.1</v>
      </c>
      <c r="F23" s="36" t="n">
        <f aca="false">'Input Data'!G6</f>
        <v>44378</v>
      </c>
      <c r="G23" s="36" t="n">
        <f aca="false">'Input Data'!H6</f>
        <v>48029</v>
      </c>
      <c r="H23" s="37" t="n">
        <f aca="false">'Input Data'!I6</f>
        <v>10</v>
      </c>
      <c r="I23" s="39" t="n">
        <f aca="false">'Input Data'!V6</f>
        <v>4.7419575633128</v>
      </c>
      <c r="J23" s="38" t="n">
        <f aca="false">'Input Data'!J6</f>
        <v>855.7</v>
      </c>
      <c r="K23" s="38" t="n">
        <f aca="false">'Input Data'!X6</f>
        <v>870</v>
      </c>
      <c r="L23" s="38" t="n">
        <f aca="false">'Input Data'!Q6</f>
        <v>377056.47</v>
      </c>
      <c r="M23" s="38" t="n">
        <f aca="false">'Input Data'!L6</f>
        <v>0</v>
      </c>
      <c r="N23" s="38" t="n">
        <f aca="false">'Input Data'!M6</f>
        <v>0</v>
      </c>
      <c r="O23" s="38" t="n">
        <f aca="false">'Input Data'!N6</f>
        <v>0</v>
      </c>
      <c r="P23" s="38" t="n">
        <f aca="false">'Input Data'!O6+'Input Data'!P6</f>
        <v>3030</v>
      </c>
      <c r="Q23" s="22" t="n">
        <f aca="false">'Input Data'!R6</f>
        <v>0</v>
      </c>
      <c r="R23" s="23" t="str">
        <f aca="false">'Input Data'!S6</f>
        <v>FIXED 4%</v>
      </c>
      <c r="S23" s="36" t="n">
        <f aca="false">IFERROR('Input Data'!T6,"")</f>
        <v>46204</v>
      </c>
      <c r="T23" s="23" t="str">
        <f aca="false">'Input Data'!U6</f>
        <v>Gross</v>
      </c>
      <c r="U23" s="38" t="n">
        <f aca="false">'Input Data'!Y6</f>
        <v>-14.3</v>
      </c>
      <c r="V23" s="40" t="n">
        <f aca="false">'Input Data'!Z6</f>
        <v>-0.0164367816091954</v>
      </c>
      <c r="W23" s="35" t="n">
        <f aca="false">'Input Data'!W6</f>
        <v>2072.70965092402</v>
      </c>
      <c r="X23" s="23" t="str">
        <f aca="false">'Input Data'!AB6</f>
        <v>Gross lease - Nil outgoings. Car park levy only.</v>
      </c>
    </row>
    <row r="24" customFormat="false" ht="15.75" hidden="false" customHeight="true" outlineLevel="0" collapsed="false">
      <c r="A24" s="22" t="str">
        <f aca="false">'Input Data'!B11</f>
        <v>L06</v>
      </c>
      <c r="B24" s="22" t="str">
        <f aca="false">'Input Data'!C11</f>
        <v>6.04</v>
      </c>
      <c r="C24" s="34" t="str">
        <f aca="false">'Input Data'!D11</f>
        <v>Elekta Pty Limited</v>
      </c>
      <c r="D24" s="34" t="str">
        <f aca="false">'Input Data'!E11</f>
        <v>Elekta Pty Limited</v>
      </c>
      <c r="E24" s="35" t="n">
        <f aca="false">'Input Data'!F11</f>
        <v>267.9</v>
      </c>
      <c r="F24" s="36" t="n">
        <f aca="false">'Input Data'!G11</f>
        <v>45870</v>
      </c>
      <c r="G24" s="36" t="n">
        <f aca="false">'Input Data'!H11</f>
        <v>48426</v>
      </c>
      <c r="H24" s="37" t="n">
        <f aca="false">'Input Data'!I11</f>
        <v>7</v>
      </c>
      <c r="I24" s="39" t="n">
        <f aca="false">'Input Data'!V11</f>
        <v>5.82888432580424</v>
      </c>
      <c r="J24" s="38" t="n">
        <f aca="false">'Input Data'!J11</f>
        <v>954.5</v>
      </c>
      <c r="K24" s="38" t="n">
        <f aca="false">'Input Data'!X11</f>
        <v>955</v>
      </c>
      <c r="L24" s="38" t="n">
        <f aca="false">'Input Data'!Q11</f>
        <v>171546.75</v>
      </c>
      <c r="M24" s="38" t="n">
        <f aca="false">'Input Data'!L11</f>
        <v>-98587.2</v>
      </c>
      <c r="N24" s="38" t="n">
        <f aca="false">'Input Data'!M11</f>
        <v>6957</v>
      </c>
      <c r="O24" s="38" t="n">
        <f aca="false">'Input Data'!N11</f>
        <v>4436.4</v>
      </c>
      <c r="P24" s="38" t="n">
        <f aca="false">'Input Data'!O11+'Input Data'!P11</f>
        <v>3030</v>
      </c>
      <c r="Q24" s="22" t="n">
        <f aca="false">'Input Data'!R11</f>
        <v>1</v>
      </c>
      <c r="R24" s="23" t="str">
        <f aca="false">'Input Data'!S11</f>
        <v>FIXED (3.75%)</v>
      </c>
      <c r="S24" s="36" t="n">
        <f aca="false">IFERROR('Input Data'!T11,"")</f>
        <v>46600</v>
      </c>
      <c r="T24" s="23" t="str">
        <f aca="false">'Input Data'!U11</f>
        <v>Semi-Gross</v>
      </c>
      <c r="U24" s="38" t="n">
        <f aca="false">'Input Data'!Y11</f>
        <v>-0.5</v>
      </c>
      <c r="V24" s="40" t="n">
        <f aca="false">'Input Data'!Z11</f>
        <v>-0.000523560209424084</v>
      </c>
      <c r="W24" s="35" t="n">
        <f aca="false">'Input Data'!W11</f>
        <v>1561.55811088296</v>
      </c>
      <c r="X24" s="23" t="str">
        <f aca="false">'Input Data'!AB11</f>
        <v>New lease 01/08/25. BG: $210,969. Abatement: $2,576 psm over term. Outgoings 2.95% base FY2025.</v>
      </c>
    </row>
    <row r="25" customFormat="false" ht="18" hidden="false" customHeight="true" outlineLevel="0" collapsed="false">
      <c r="A25" s="208" t="str">
        <f aca="false">'Input Data'!B24</f>
        <v>L11</v>
      </c>
      <c r="B25" s="208" t="str">
        <f aca="false">'Input Data'!C24</f>
        <v>11.02</v>
      </c>
      <c r="C25" s="208" t="str">
        <f aca="false">'Input Data'!D24</f>
        <v>Haskoning Australia Pty Ltd</v>
      </c>
      <c r="D25" s="208" t="str">
        <f aca="false">'Input Data'!E24</f>
        <v>Haskoning Australia Pty Ltd</v>
      </c>
      <c r="E25" s="209" t="n">
        <f aca="false">'Input Data'!F24</f>
        <v>548</v>
      </c>
      <c r="F25" s="210" t="n">
        <f aca="false">'Input Data'!G24</f>
        <v>46296</v>
      </c>
      <c r="G25" s="210" t="n">
        <f aca="false">'Input Data'!H24</f>
        <v>49582</v>
      </c>
      <c r="H25" s="211" t="n">
        <f aca="false">'Input Data'!I24</f>
        <v>6</v>
      </c>
      <c r="I25" s="212" t="n">
        <f aca="false">'Input Data'!V24</f>
        <v>8.99383983572895</v>
      </c>
      <c r="J25" s="213" t="n">
        <f aca="false">'Input Data'!J24</f>
        <v>1040</v>
      </c>
      <c r="K25" s="213" t="n">
        <f aca="false">'Input Data'!X24</f>
        <v>1040</v>
      </c>
      <c r="L25" s="213" t="n">
        <f aca="false">'Input Data'!Q24</f>
        <v>-101152</v>
      </c>
      <c r="M25" s="213" t="n">
        <f aca="false">'Input Data'!L24</f>
        <v>-671072</v>
      </c>
      <c r="N25" s="213" t="n">
        <f aca="false">'Input Data'!M24</f>
        <v>0</v>
      </c>
      <c r="O25" s="213" t="n">
        <f aca="false">'Input Data'!N24</f>
        <v>0</v>
      </c>
      <c r="P25" s="208" t="n">
        <f aca="false">'Input Data'!O24+'Input Data'!P24</f>
        <v>0</v>
      </c>
      <c r="Q25" s="208" t="n">
        <f aca="false">'Input Data'!R24</f>
        <v>0</v>
      </c>
      <c r="R25" s="208" t="str">
        <f aca="false">'Input Data'!S24</f>
        <v>FIXED 3.5%</v>
      </c>
      <c r="S25" s="210" t="n">
        <f aca="false">IFERROR('Input Data'!T24,"")</f>
        <v>46661</v>
      </c>
      <c r="T25" s="213" t="n">
        <f aca="false">'Input Data'!Y24</f>
        <v>0</v>
      </c>
      <c r="U25" s="225" t="n">
        <f aca="false">'Input Data'!Z24</f>
        <v>0</v>
      </c>
      <c r="V25" s="209" t="n">
        <f aca="false">'Input Data'!W24</f>
        <v>4928.62422997947</v>
      </c>
      <c r="W25" s="208" t="str">
        <f aca="false">'Input Data'!AB24</f>
        <v>Haskoning Australia Pty Ltd — new lease commencing 01/10/26, 6 yr term, $1,040 psm, fixed 3.5% review. Fitout contribution $750,400 (landlord funded). Outgoings/cleaning/car park TBC pending TS confirmation. Next review date estimated.</v>
      </c>
      <c r="X25" s="10"/>
    </row>
    <row r="26" customFormat="false" ht="15.75" hidden="false" customHeight="true" outlineLevel="0" collapsed="false">
      <c r="A26" s="22" t="str">
        <f aca="false">'Input Data'!B23</f>
        <v>L11</v>
      </c>
      <c r="B26" s="22" t="str">
        <f aca="false">'Input Data'!C23</f>
        <v>11.01</v>
      </c>
      <c r="C26" s="34" t="str">
        <f aca="false">'Input Data'!D23</f>
        <v>Luxasia</v>
      </c>
      <c r="D26" s="34" t="str">
        <f aca="false">'Input Data'!E23</f>
        <v>LUXASIA</v>
      </c>
      <c r="E26" s="35" t="n">
        <f aca="false">'Input Data'!F23</f>
        <v>242.5</v>
      </c>
      <c r="F26" s="36" t="n">
        <f aca="false">'Input Data'!G23</f>
        <v>46296</v>
      </c>
      <c r="G26" s="36" t="n">
        <f aca="false">'Input Data'!H23</f>
        <v>48121</v>
      </c>
      <c r="H26" s="37" t="n">
        <f aca="false">'Input Data'!I23</f>
        <v>5</v>
      </c>
      <c r="I26" s="39" t="n">
        <f aca="false">'Input Data'!V23</f>
        <v>4.99383983572895</v>
      </c>
      <c r="J26" s="38" t="n">
        <f aca="false">'Input Data'!J23</f>
        <v>1060</v>
      </c>
      <c r="K26" s="38" t="n">
        <f aca="false">'Input Data'!X23</f>
        <v>1060</v>
      </c>
      <c r="L26" s="38" t="n">
        <f aca="false">'Input Data'!Q23</f>
        <v>266749.52</v>
      </c>
      <c r="M26" s="38" t="n">
        <f aca="false">'Input Data'!L23</f>
        <v>-25705</v>
      </c>
      <c r="N26" s="38" t="n">
        <f aca="false">'Input Data'!M23</f>
        <v>9728.72</v>
      </c>
      <c r="O26" s="38" t="n">
        <f aca="false">'Input Data'!N23</f>
        <v>4015.8</v>
      </c>
      <c r="P26" s="38" t="n">
        <f aca="false">'Input Data'!O23+'Input Data'!P23</f>
        <v>21660</v>
      </c>
      <c r="Q26" s="22" t="n">
        <f aca="false">'Input Data'!R23</f>
        <v>2</v>
      </c>
      <c r="R26" s="23" t="str">
        <f aca="false">'Input Data'!S23</f>
        <v>FIXED 3.75%</v>
      </c>
      <c r="S26" s="36" t="n">
        <f aca="false">IFERROR('Input Data'!T23,"")</f>
        <v>46661</v>
      </c>
      <c r="T26" s="23" t="str">
        <f aca="false">'Input Data'!U23</f>
        <v>Semi-Gross</v>
      </c>
      <c r="U26" s="38" t="n">
        <f aca="false">'Input Data'!Y23</f>
        <v>0</v>
      </c>
      <c r="V26" s="40" t="n">
        <f aca="false">'Input Data'!Z23</f>
        <v>0</v>
      </c>
      <c r="W26" s="35" t="n">
        <f aca="false">'Input Data'!W23</f>
        <v>1211.00616016427</v>
      </c>
      <c r="X26" s="23" t="str">
        <f aca="false">'Input Data'!AB23</f>
        <v>Break at 3 years. Lease commenced 1/10/26, 5 yr term, $1,060 psm. Incentive: landlord fitout contribution $369,812.50 (see Fitout Costs register) + rent abatement totalling $192,787.50 over the term — Yr 1-3 $25,705 pa (reflected in Abatement PA), Yr 4-5 $57,836.25 pa. Abatement PA will need manual updating to -$57,836.25 from the Yr 4 anniversary (1/10/29).</v>
      </c>
    </row>
    <row r="27" customFormat="false" ht="15.75" hidden="false" customHeight="true" outlineLevel="0" collapsed="false">
      <c r="A27" s="208" t="str">
        <f aca="false">'Input Data'!B20</f>
        <v>L06</v>
      </c>
      <c r="B27" s="208" t="str">
        <f aca="false">'Input Data'!C20</f>
        <v>6.01</v>
      </c>
      <c r="C27" s="208" t="str">
        <f aca="false">'Input Data'!D20</f>
        <v>Caldas Constructions Pty Ltd</v>
      </c>
      <c r="D27" s="208" t="str">
        <f aca="false">'Input Data'!E20</f>
        <v>Caldas Constructions Pty Ltd</v>
      </c>
      <c r="E27" s="209" t="n">
        <f aca="false">'Input Data'!F20</f>
        <v>186.4</v>
      </c>
      <c r="F27" s="210" t="n">
        <f aca="false">'Input Data'!G20</f>
        <v>46204</v>
      </c>
      <c r="G27" s="210" t="n">
        <f aca="false">'Input Data'!H20</f>
        <v>48395</v>
      </c>
      <c r="H27" s="211" t="n">
        <f aca="false">'Input Data'!I20</f>
        <v>6</v>
      </c>
      <c r="I27" s="212" t="n">
        <f aca="false">'Input Data'!V20</f>
        <v>5.74401095140315</v>
      </c>
      <c r="J27" s="213" t="n">
        <f aca="false">'Input Data'!J20</f>
        <v>920</v>
      </c>
      <c r="K27" s="213" t="n">
        <f aca="false">'Input Data'!X20</f>
        <v>0</v>
      </c>
      <c r="L27" s="213" t="n">
        <f aca="false">'Input Data'!Q20</f>
        <v>-340767</v>
      </c>
      <c r="M27" s="213" t="n">
        <f aca="false">'Input Data'!L20</f>
        <v>-512255</v>
      </c>
      <c r="N27" s="213" t="n">
        <f aca="false">'Input Data'!M20</f>
        <v>0</v>
      </c>
      <c r="O27" s="213" t="n">
        <f aca="false">'Input Data'!N20</f>
        <v>0</v>
      </c>
      <c r="P27" s="208" t="n">
        <f aca="false">'Input Data'!O20+'Input Data'!P20</f>
        <v>0</v>
      </c>
      <c r="Q27" s="208" t="n">
        <f aca="false">'Input Data'!R20</f>
        <v>0</v>
      </c>
      <c r="R27" s="208" t="n">
        <f aca="false">'Input Data'!S20</f>
        <v>0</v>
      </c>
      <c r="S27" s="210" t="n">
        <f aca="false">IFERROR('Input Data'!T20,"")</f>
        <v>0</v>
      </c>
      <c r="T27" s="213" t="n">
        <f aca="false">'Input Data'!U20</f>
        <v>0</v>
      </c>
      <c r="U27" s="225" t="n">
        <f aca="false">'Input Data'!Y20</f>
        <v>920</v>
      </c>
      <c r="V27" s="209" t="n">
        <f aca="false">'Input Data'!Z20</f>
        <v>0</v>
      </c>
      <c r="W27" s="209" t="n">
        <f aca="false">'Input Data'!W20</f>
        <v>1070.68364134155</v>
      </c>
      <c r="X27" s="10" t="str">
        <f aca="false">'Input Data'!AB20</f>
        <v>Caldas Constructions — new lease 01/07/26 (corrected from 30/06/26), 6 yr term, $920 psm. Prepaid rent held (no BG). Outgoings/cleaning/car park still TBC pending TS confirmation (still NIL on Sept26 TS). Tenant legal name corrected to "Caldas" (previously "Caladas").</v>
      </c>
    </row>
    <row r="28" customFormat="false" ht="15.75" hidden="false" customHeight="true" outlineLevel="0" collapsed="false">
      <c r="A28" s="62" t="s">
        <v>415</v>
      </c>
      <c r="B28" s="62"/>
      <c r="C28" s="63"/>
      <c r="D28" s="62"/>
      <c r="E28" s="64"/>
      <c r="F28" s="219"/>
      <c r="G28" s="219"/>
      <c r="H28" s="219"/>
      <c r="I28" s="219"/>
      <c r="J28" s="219"/>
      <c r="K28" s="219"/>
      <c r="L28" s="219"/>
      <c r="M28" s="219"/>
      <c r="N28" s="219"/>
      <c r="O28" s="219"/>
      <c r="P28" s="219"/>
      <c r="Q28" s="219"/>
      <c r="R28" s="219"/>
      <c r="S28" s="219"/>
      <c r="T28" s="219"/>
      <c r="U28" s="219"/>
      <c r="V28" s="219"/>
      <c r="W28" s="219"/>
      <c r="X28" s="226"/>
    </row>
    <row r="29" customFormat="false" ht="15.75" hidden="false" customHeight="true" outlineLevel="0" collapsed="false">
      <c r="A29" s="62" t="str">
        <f aca="false">'Input Data'!B21</f>
        <v>L10</v>
      </c>
      <c r="B29" s="62" t="str">
        <f aca="false">'Input Data'!C21</f>
        <v>10.01</v>
      </c>
      <c r="C29" s="63" t="str">
        <f aca="false">'Input Data'!D21</f>
        <v>VACANT</v>
      </c>
      <c r="D29" s="62" t="n">
        <f aca="false">'Input Data'!E21</f>
        <v>0</v>
      </c>
      <c r="E29" s="64" t="n">
        <f aca="false">'Input Data'!F21</f>
        <v>438</v>
      </c>
      <c r="F29" s="219"/>
      <c r="G29" s="219"/>
      <c r="H29" s="219"/>
      <c r="I29" s="219"/>
      <c r="J29" s="219"/>
      <c r="K29" s="219"/>
      <c r="L29" s="219"/>
      <c r="M29" s="219"/>
      <c r="N29" s="219"/>
      <c r="O29" s="219"/>
      <c r="P29" s="219"/>
      <c r="Q29" s="219"/>
      <c r="R29" s="219"/>
      <c r="S29" s="219"/>
      <c r="T29" s="219"/>
      <c r="U29" s="219"/>
      <c r="V29" s="219"/>
      <c r="W29" s="219"/>
      <c r="X29" s="226" t="n">
        <f aca="false">'Input Data'!AB21</f>
        <v>0</v>
      </c>
    </row>
    <row r="30" customFormat="false" ht="19.5" hidden="false" customHeight="true" outlineLevel="0" collapsed="false">
      <c r="A30" s="62" t="str">
        <f aca="false">'Input Data'!B22</f>
        <v>L10</v>
      </c>
      <c r="B30" s="62" t="str">
        <f aca="false">'Input Data'!C22</f>
        <v>10.02</v>
      </c>
      <c r="C30" s="63" t="str">
        <f aca="false">'Input Data'!D22</f>
        <v>VACANT</v>
      </c>
      <c r="D30" s="62" t="n">
        <f aca="false">'Input Data'!E22</f>
        <v>0</v>
      </c>
      <c r="E30" s="64" t="n">
        <f aca="false">'Input Data'!F22</f>
        <v>349</v>
      </c>
      <c r="F30" s="219"/>
      <c r="G30" s="219"/>
      <c r="H30" s="219"/>
      <c r="I30" s="219"/>
      <c r="J30" s="219"/>
      <c r="K30" s="219"/>
      <c r="L30" s="219"/>
      <c r="M30" s="219"/>
      <c r="N30" s="219"/>
      <c r="O30" s="219"/>
      <c r="P30" s="219"/>
      <c r="Q30" s="219"/>
      <c r="R30" s="219"/>
      <c r="S30" s="219"/>
      <c r="T30" s="219"/>
      <c r="U30" s="219"/>
      <c r="V30" s="219"/>
      <c r="W30" s="219"/>
      <c r="X30" s="226" t="n">
        <f aca="false">'Input Data'!AB22</f>
        <v>0</v>
      </c>
    </row>
    <row r="31" customFormat="false" ht="14.25" hidden="false" customHeight="true" outlineLevel="0" collapsed="false">
      <c r="A31" s="227"/>
      <c r="B31" s="228"/>
      <c r="C31" s="228"/>
      <c r="D31" s="228"/>
      <c r="E31" s="229"/>
      <c r="F31" s="216"/>
      <c r="G31" s="216"/>
      <c r="H31" s="10"/>
      <c r="I31" s="217"/>
      <c r="J31" s="10"/>
      <c r="K31" s="10"/>
      <c r="L31" s="218"/>
      <c r="M31" s="10"/>
      <c r="N31" s="10"/>
      <c r="O31" s="10"/>
      <c r="P31" s="10"/>
      <c r="Q31" s="10"/>
      <c r="R31" s="10"/>
      <c r="S31" s="10"/>
      <c r="T31" s="10"/>
      <c r="U31" s="218"/>
      <c r="V31" s="230"/>
      <c r="W31" s="215"/>
      <c r="X31" s="231"/>
    </row>
    <row r="32" customFormat="false" ht="14.25" hidden="false" customHeight="true" outlineLevel="0" collapsed="false">
      <c r="A32" s="74" t="s">
        <v>410</v>
      </c>
      <c r="B32" s="10"/>
      <c r="C32" s="10"/>
      <c r="D32" s="10"/>
      <c r="E32" s="75" t="n">
        <f aca="false">SUM('Input Data'!F3:F24)</f>
        <v>8940.9</v>
      </c>
      <c r="F32" s="95"/>
      <c r="G32" s="95"/>
      <c r="H32" s="95"/>
      <c r="I32" s="232" t="n">
        <f aca="true">IFERROR(SUMPRODUCT(('Input Data'!H3:H24&lt;&gt;"")*'Input Data'!F3:F24*MAX(('Input Data'!H3:H24-TODAY())/365.25,0))/SUMPRODUCT(('Input Data'!H3:H24&lt;&gt;"")*'Input Data'!F3:F24),0)</f>
        <v>8.99383983572895</v>
      </c>
      <c r="J32" s="224" t="n">
        <f aca="false">SUMPRODUCT(('Input Data'!H3:H24&lt;&gt;"")*'Input Data'!J3:J24*'Input Data'!F3:F24)/SUMPRODUCT(('Input Data'!H3:H24&lt;&gt;"")*'Input Data'!F3:F24)</f>
        <v>978.844729883859</v>
      </c>
      <c r="K32" s="95"/>
      <c r="L32" s="76" t="n">
        <f aca="false">SUM('Input Data'!Q3:Q24)</f>
        <v>6047566.053</v>
      </c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</row>
  </sheetData>
  <mergeCells count="6">
    <mergeCell ref="A1:X1"/>
    <mergeCell ref="A3:X3"/>
    <mergeCell ref="A6:X6"/>
    <mergeCell ref="A9:X9"/>
    <mergeCell ref="A16:X16"/>
    <mergeCell ref="A20:X20"/>
  </mergeCells>
  <printOptions headings="false" gridLines="false" gridLinesSet="true" horizontalCentered="false" verticalCentered="false"/>
  <pageMargins left="0.75" right="0.75" top="1" bottom="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&amp;C&amp;"Georgia,Regular"Goldberg Family Office</oddHeader>
    <oddFooter>&amp;C&amp;"Georgia,Regular"Prepared by jake goldberg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5"/>
  <sheetViews>
    <sheetView showFormulas="false" showGridLines="false" showRowColHeaders="true" showZeros="true" rightToLeft="false" tabSelected="false" showOutlineSymbols="true" defaultGridColor="true" view="normal" topLeftCell="C8" colorId="64" zoomScale="100" zoomScaleNormal="100" zoomScalePageLayoutView="100" workbookViewId="0">
      <selection pane="topLeft" activeCell="N15" activeCellId="0" sqref="N15"/>
    </sheetView>
  </sheetViews>
  <sheetFormatPr defaultColWidth="8.6796875" defaultRowHeight="14.25" zeroHeight="false" outlineLevelRow="0" outlineLevelCol="0"/>
  <cols>
    <col collapsed="false" customWidth="true" hidden="false" outlineLevel="0" max="1" min="1" style="1" width="1.54"/>
    <col collapsed="false" customWidth="true" hidden="false" outlineLevel="0" max="2" min="2" style="1" width="8"/>
    <col collapsed="false" customWidth="true" hidden="false" outlineLevel="0" max="3" min="3" style="1" width="14.63"/>
    <col collapsed="false" customWidth="true" hidden="false" outlineLevel="0" max="4" min="4" style="1" width="28"/>
    <col collapsed="false" customWidth="true" hidden="false" outlineLevel="0" max="6" min="5" style="1" width="12"/>
    <col collapsed="false" customWidth="true" hidden="false" outlineLevel="0" max="7" min="7" style="1" width="14"/>
    <col collapsed="false" customWidth="true" hidden="false" outlineLevel="0" max="9" min="8" style="1" width="12"/>
    <col collapsed="false" customWidth="true" hidden="false" outlineLevel="0" max="10" min="10" style="1" width="14"/>
    <col collapsed="false" customWidth="true" hidden="false" outlineLevel="0" max="13" min="11" style="1" width="13"/>
    <col collapsed="false" customWidth="true" hidden="false" outlineLevel="0" max="14" min="14" style="1" width="42.36"/>
    <col collapsed="false" customWidth="true" hidden="false" outlineLevel="0" max="15" min="15" style="1" width="1.54"/>
    <col collapsed="false" customWidth="true" hidden="false" outlineLevel="0" max="16" min="16" style="1" width="50.27"/>
  </cols>
  <sheetData>
    <row r="1" customFormat="false" ht="30" hidden="false" customHeight="true" outlineLevel="0" collapsed="false">
      <c r="A1" s="233" t="s">
        <v>416</v>
      </c>
      <c r="B1" s="233"/>
      <c r="C1" s="233"/>
      <c r="D1" s="233"/>
      <c r="E1" s="233"/>
      <c r="F1" s="233"/>
      <c r="G1" s="233"/>
      <c r="H1" s="233"/>
      <c r="I1" s="233"/>
      <c r="J1" s="233"/>
      <c r="K1" s="233"/>
      <c r="L1" s="233"/>
      <c r="M1" s="233"/>
      <c r="N1" s="233"/>
    </row>
    <row r="2" customFormat="false" ht="15.75" hidden="false" customHeight="true" outlineLevel="0" collapsed="false">
      <c r="A2" s="234" t="s">
        <v>417</v>
      </c>
      <c r="B2" s="234"/>
      <c r="C2" s="234"/>
      <c r="D2" s="234"/>
      <c r="E2" s="234"/>
      <c r="F2" s="234"/>
      <c r="G2" s="234"/>
      <c r="H2" s="234"/>
      <c r="I2" s="234"/>
      <c r="J2" s="234"/>
      <c r="K2" s="234"/>
      <c r="L2" s="234"/>
      <c r="M2" s="234"/>
      <c r="N2" s="234"/>
    </row>
    <row r="3" customFormat="false" ht="7.5" hidden="false" customHeight="true" outlineLevel="0" collapsed="false"/>
    <row r="4" customFormat="false" ht="19.5" hidden="false" customHeight="true" outlineLevel="0" collapsed="false">
      <c r="B4" s="235" t="s">
        <v>418</v>
      </c>
      <c r="C4" s="235"/>
      <c r="D4" s="235"/>
      <c r="E4" s="235"/>
      <c r="F4" s="235"/>
      <c r="G4" s="235"/>
      <c r="H4" s="235"/>
      <c r="I4" s="235"/>
      <c r="J4" s="235"/>
      <c r="K4" s="235"/>
      <c r="L4" s="235"/>
      <c r="M4" s="235"/>
    </row>
    <row r="5" customFormat="false" ht="21.75" hidden="false" customHeight="true" outlineLevel="0" collapsed="false">
      <c r="B5" s="236" t="s">
        <v>419</v>
      </c>
      <c r="C5" s="236"/>
      <c r="E5" s="236" t="s">
        <v>420</v>
      </c>
      <c r="F5" s="236"/>
      <c r="H5" s="236" t="s">
        <v>421</v>
      </c>
      <c r="I5" s="236"/>
      <c r="K5" s="236" t="s">
        <v>422</v>
      </c>
      <c r="L5" s="236"/>
    </row>
    <row r="6" customFormat="false" ht="21.75" hidden="false" customHeight="true" outlineLevel="0" collapsed="false">
      <c r="B6" s="237" t="n">
        <f aca="false">COUNTIF(G10:G32,"Yes")</f>
        <v>10</v>
      </c>
      <c r="C6" s="237"/>
      <c r="E6" s="238" t="n">
        <f aca="false">SUMIF(G10:G32,"Yes",H10:H32)</f>
        <v>0</v>
      </c>
      <c r="F6" s="238"/>
      <c r="H6" s="237" t="n">
        <f aca="false">COUNTIF(L10:L32,"Overdue")+COUNTIF(L10:L32,"Due &lt; 6 Mths")</f>
        <v>0</v>
      </c>
      <c r="I6" s="237"/>
      <c r="K6" s="237" t="s">
        <v>423</v>
      </c>
      <c r="L6" s="237"/>
    </row>
    <row r="7" customFormat="false" ht="7.5" hidden="false" customHeight="true" outlineLevel="0" collapsed="false"/>
    <row r="8" customFormat="false" ht="19.5" hidden="false" customHeight="true" outlineLevel="0" collapsed="false">
      <c r="B8" s="239" t="s">
        <v>424</v>
      </c>
      <c r="C8" s="239"/>
      <c r="D8" s="239"/>
      <c r="E8" s="239"/>
      <c r="F8" s="239"/>
      <c r="G8" s="239"/>
      <c r="H8" s="239"/>
      <c r="I8" s="239"/>
      <c r="J8" s="239"/>
      <c r="K8" s="239"/>
      <c r="L8" s="239"/>
      <c r="M8" s="239"/>
      <c r="N8" s="239"/>
      <c r="O8" s="239"/>
      <c r="P8" s="239"/>
    </row>
    <row r="9" customFormat="false" ht="36" hidden="false" customHeight="true" outlineLevel="0" collapsed="false">
      <c r="B9" s="240" t="s">
        <v>62</v>
      </c>
      <c r="C9" s="240" t="s">
        <v>274</v>
      </c>
      <c r="D9" s="240" t="s">
        <v>64</v>
      </c>
      <c r="E9" s="240" t="s">
        <v>425</v>
      </c>
      <c r="F9" s="240" t="s">
        <v>426</v>
      </c>
      <c r="G9" s="240" t="s">
        <v>427</v>
      </c>
      <c r="H9" s="240" t="s">
        <v>428</v>
      </c>
      <c r="I9" s="240" t="s">
        <v>429</v>
      </c>
      <c r="J9" s="240" t="s">
        <v>430</v>
      </c>
      <c r="K9" s="240" t="s">
        <v>431</v>
      </c>
      <c r="L9" s="240" t="s">
        <v>432</v>
      </c>
      <c r="M9" s="240" t="s">
        <v>433</v>
      </c>
      <c r="N9" s="240" t="s">
        <v>434</v>
      </c>
      <c r="P9" s="240" t="s">
        <v>435</v>
      </c>
    </row>
    <row r="10" customFormat="false" ht="30" hidden="false" customHeight="true" outlineLevel="0" collapsed="false">
      <c r="B10" s="241" t="s">
        <v>94</v>
      </c>
      <c r="C10" s="241" t="s">
        <v>93</v>
      </c>
      <c r="D10" s="242" t="str">
        <f aca="false">IFERROR(INDEX('Input Data'!D:D,MATCH("0301",'Input Data'!$A:$A,0)),"")</f>
        <v>Sydney Smiletree Pty Ltd</v>
      </c>
      <c r="E10" s="243" t="n">
        <f aca="false">IFERROR(INDEX('Input Data'!H:H,MATCH("0301",'Input Data'!$A:$A,0)),"")</f>
        <v>47118</v>
      </c>
      <c r="F10" s="244" t="s">
        <v>436</v>
      </c>
      <c r="G10" s="241" t="s">
        <v>437</v>
      </c>
      <c r="H10" s="245"/>
      <c r="I10" s="246" t="n">
        <f aca="false">IFERROR(H10/INDEX('Input Data'!F:F,MATCH("0301",'Input Data'!$A:$A,0)),"")</f>
        <v>0</v>
      </c>
      <c r="J10" s="245"/>
      <c r="K10" s="241" t="s">
        <v>438</v>
      </c>
      <c r="L10" s="241" t="str">
        <f aca="true">IF(OR(E10="—",E10="N/A",E10="",F10="N/A"),"N/A",IF(NOT(ISNUMBER(E10)),"N/A",IF(E10&lt;TODAY(),"Overdue",IF(E10&lt;TODAY()+183,"Due &lt; 6 Mths",IF(E10&lt;TODAY()+365,"Due &lt; 12 Mths","Not Due")))))</f>
        <v>Not Due</v>
      </c>
      <c r="M10" s="241" t="s">
        <v>439</v>
      </c>
      <c r="N10" s="247" t="s">
        <v>440</v>
      </c>
      <c r="P10" s="248" t="s">
        <v>440</v>
      </c>
    </row>
    <row r="11" customFormat="false" ht="30" hidden="false" customHeight="true" outlineLevel="0" collapsed="false">
      <c r="B11" s="21" t="s">
        <v>94</v>
      </c>
      <c r="C11" s="21" t="s">
        <v>103</v>
      </c>
      <c r="D11" s="249" t="str">
        <f aca="false">IFERROR(INDEX('Input Data'!D:D,MATCH("0302",'Input Data'!$A:$A,0)),"")</f>
        <v>Fitness First Australia Pty Limited</v>
      </c>
      <c r="E11" s="250" t="n">
        <f aca="false">IFERROR(INDEX('Input Data'!H:H,MATCH("0302",'Input Data'!$A:$A,0)),"")</f>
        <v>48029</v>
      </c>
      <c r="F11" s="21" t="s">
        <v>311</v>
      </c>
      <c r="G11" s="21" t="s">
        <v>311</v>
      </c>
      <c r="H11" s="245"/>
      <c r="I11" s="246" t="n">
        <f aca="false">IFERROR(H11/INDEX('Input Data'!F:F,MATCH("0302",'Input Data'!$A:$A,0)),"")</f>
        <v>0</v>
      </c>
      <c r="J11" s="245"/>
      <c r="K11" s="21" t="s">
        <v>438</v>
      </c>
      <c r="L11" s="21" t="str">
        <f aca="true">IF(OR(E11="—",E11="N/A",E11="",F11="N/A"),"N/A",IF(NOT(ISNUMBER(E11)),"N/A",IF(E11&lt;TODAY(),"Overdue",IF(E11&lt;TODAY()+183,"Due &lt; 6 Mths",IF(E11&lt;TODAY()+365,"Due &lt; 12 Mths","Not Due")))))</f>
        <v>Not Due</v>
      </c>
      <c r="M11" s="21" t="s">
        <v>439</v>
      </c>
      <c r="N11" s="251" t="s">
        <v>441</v>
      </c>
      <c r="P11" s="248"/>
    </row>
    <row r="12" customFormat="false" ht="30" hidden="false" customHeight="true" outlineLevel="0" collapsed="false">
      <c r="B12" s="241" t="s">
        <v>111</v>
      </c>
      <c r="C12" s="241" t="s">
        <v>110</v>
      </c>
      <c r="D12" s="242" t="str">
        <f aca="false">IFERROR(INDEX('Input Data'!D:D,MATCH("0401",'Input Data'!$A:$A,0)),"")</f>
        <v>Fitness First Australia Pty Limited</v>
      </c>
      <c r="E12" s="243" t="n">
        <f aca="false">IFERROR(INDEX('Input Data'!H:H,MATCH("0401",'Input Data'!$A:$A,0)),"")</f>
        <v>48029</v>
      </c>
      <c r="F12" s="241" t="s">
        <v>311</v>
      </c>
      <c r="G12" s="241" t="s">
        <v>311</v>
      </c>
      <c r="H12" s="245"/>
      <c r="I12" s="246" t="n">
        <f aca="false">IFERROR(H12/INDEX('Input Data'!F:F,MATCH("0401",'Input Data'!$A:$A,0)),"")</f>
        <v>0</v>
      </c>
      <c r="J12" s="245"/>
      <c r="K12" s="241" t="s">
        <v>438</v>
      </c>
      <c r="L12" s="241" t="str">
        <f aca="true">IF(OR(E12="—",E12="N/A",E12="",F12="N/A"),"N/A",IF(NOT(ISNUMBER(E12)),"N/A",IF(E12&lt;TODAY(),"Overdue",IF(E12&lt;TODAY()+183,"Due &lt; 6 Mths",IF(E12&lt;TODAY()+365,"Due &lt; 12 Mths","Not Due")))))</f>
        <v>Not Due</v>
      </c>
      <c r="M12" s="241" t="s">
        <v>439</v>
      </c>
      <c r="N12" s="247" t="s">
        <v>441</v>
      </c>
      <c r="P12" s="248"/>
    </row>
    <row r="13" customFormat="false" ht="30" hidden="false" customHeight="true" outlineLevel="0" collapsed="false">
      <c r="B13" s="21" t="s">
        <v>116</v>
      </c>
      <c r="C13" s="21" t="s">
        <v>115</v>
      </c>
      <c r="D13" s="249" t="str">
        <f aca="false">IFERROR(INDEX('Input Data'!D:D,MATCH("0501",'Input Data'!$A:$A,0)),"")</f>
        <v>Fitness First Australia Pty Limited</v>
      </c>
      <c r="E13" s="250" t="n">
        <f aca="false">IFERROR(INDEX('Input Data'!H:H,MATCH("0501",'Input Data'!$A:$A,0)),"")</f>
        <v>48029</v>
      </c>
      <c r="F13" s="21" t="s">
        <v>311</v>
      </c>
      <c r="G13" s="21" t="s">
        <v>311</v>
      </c>
      <c r="H13" s="245"/>
      <c r="I13" s="246" t="n">
        <f aca="false">IFERROR(H13/INDEX('Input Data'!F:F,MATCH("0501",'Input Data'!$A:$A,0)),"")</f>
        <v>0</v>
      </c>
      <c r="J13" s="245"/>
      <c r="K13" s="21" t="s">
        <v>438</v>
      </c>
      <c r="L13" s="21" t="str">
        <f aca="true">IF(OR(E13="—",E13="N/A",E13="",F13="N/A"),"N/A",IF(NOT(ISNUMBER(E13)),"N/A",IF(E13&lt;TODAY(),"Overdue",IF(E13&lt;TODAY()+183,"Due &lt; 6 Mths",IF(E13&lt;TODAY()+365,"Due &lt; 12 Mths","Not Due")))))</f>
        <v>Not Due</v>
      </c>
      <c r="M13" s="21" t="s">
        <v>439</v>
      </c>
      <c r="N13" s="251" t="s">
        <v>442</v>
      </c>
      <c r="P13" s="248"/>
    </row>
    <row r="14" customFormat="false" ht="45" hidden="false" customHeight="true" outlineLevel="0" collapsed="false">
      <c r="B14" s="241" t="s">
        <v>116</v>
      </c>
      <c r="C14" s="241" t="s">
        <v>121</v>
      </c>
      <c r="D14" s="242" t="str">
        <f aca="false">IFERROR(INDEX('Input Data'!D:D,MATCH("0503",'Input Data'!$A:$A,0)),"")</f>
        <v>Asterx Pty Ltd</v>
      </c>
      <c r="E14" s="243" t="n">
        <f aca="false">IFERROR(INDEX('Input Data'!H:H,MATCH("0503",'Input Data'!$A:$A,0)),"")</f>
        <v>47299</v>
      </c>
      <c r="F14" s="241" t="s">
        <v>311</v>
      </c>
      <c r="G14" s="241" t="s">
        <v>437</v>
      </c>
      <c r="H14" s="245"/>
      <c r="I14" s="246" t="n">
        <f aca="false">IFERROR(H14/INDEX('Input Data'!F:F,MATCH("0503",'Input Data'!$A:$A,0)),"")</f>
        <v>0</v>
      </c>
      <c r="J14" s="245"/>
      <c r="K14" s="241" t="s">
        <v>438</v>
      </c>
      <c r="L14" s="241" t="str">
        <f aca="true">IF(OR(E14="—",E14="N/A",E14="",F14="N/A"),"N/A",IF(NOT(ISNUMBER(E14)),"N/A",IF(E14&lt;TODAY(),"Overdue",IF(E14&lt;TODAY()+183,"Due &lt; 6 Mths",IF(E14&lt;TODAY()+365,"Due &lt; 12 Mths","Not Due")))))</f>
        <v>Not Due</v>
      </c>
      <c r="M14" s="241" t="s">
        <v>439</v>
      </c>
      <c r="N14" s="247" t="s">
        <v>443</v>
      </c>
      <c r="P14" s="248" t="s">
        <v>444</v>
      </c>
    </row>
    <row r="15" customFormat="false" ht="30" hidden="false" customHeight="true" outlineLevel="0" collapsed="false">
      <c r="B15" s="21" t="s">
        <v>116</v>
      </c>
      <c r="C15" s="21" t="s">
        <v>130</v>
      </c>
      <c r="D15" s="249" t="str">
        <f aca="false">IFERROR(INDEX('Input Data'!D:D,MATCH("0504",'Input Data'!$A:$A,0)),"")</f>
        <v>Auctionsplus Pty Ltd</v>
      </c>
      <c r="E15" s="250" t="n">
        <f aca="false">IFERROR(INDEX('Input Data'!H:H,MATCH("0504",'Input Data'!$A:$A,0)),"")</f>
        <v>47177</v>
      </c>
      <c r="F15" s="21" t="s">
        <v>311</v>
      </c>
      <c r="G15" s="21" t="s">
        <v>437</v>
      </c>
      <c r="H15" s="245"/>
      <c r="I15" s="246" t="n">
        <f aca="false">IFERROR(H15/INDEX('Input Data'!F:F,MATCH("0504",'Input Data'!$A:$A,0)),"")</f>
        <v>0</v>
      </c>
      <c r="J15" s="245"/>
      <c r="K15" s="21" t="s">
        <v>438</v>
      </c>
      <c r="L15" s="21" t="str">
        <f aca="true">IF(OR(E15="—",E15="N/A",E15="",F15="N/A"),"N/A",IF(NOT(ISNUMBER(E15)),"N/A",IF(E15&lt;TODAY(),"Overdue",IF(E15&lt;TODAY()+183,"Due &lt; 6 Mths",IF(E15&lt;TODAY()+365,"Due &lt; 12 Mths","Not Due")))))</f>
        <v>Not Due</v>
      </c>
      <c r="M15" s="21" t="s">
        <v>439</v>
      </c>
      <c r="N15" s="251" t="s">
        <v>445</v>
      </c>
      <c r="P15" s="248" t="s">
        <v>446</v>
      </c>
    </row>
    <row r="16" customFormat="false" ht="45" hidden="false" customHeight="true" outlineLevel="0" collapsed="false">
      <c r="B16" s="241" t="s">
        <v>137</v>
      </c>
      <c r="C16" s="241" t="s">
        <v>208</v>
      </c>
      <c r="D16" s="242" t="str">
        <f aca="false">IFERROR(INDEX('Input Data'!D:D,MATCH("0601",'Input Data'!$A:$A,0)),"")</f>
        <v>Caldas Constructions Pty Ltd</v>
      </c>
      <c r="E16" s="243" t="n">
        <f aca="false">IFERROR(INDEX('Input Data'!H:H,MATCH("0601",'Input Data'!$A:$A,0)),"")</f>
        <v>48395</v>
      </c>
      <c r="F16" s="241" t="s">
        <v>311</v>
      </c>
      <c r="G16" s="241" t="s">
        <v>437</v>
      </c>
      <c r="H16" s="245"/>
      <c r="I16" s="246" t="n">
        <f aca="false">IFERROR(H16/INDEX('Input Data'!F:F,MATCH("0601",'Input Data'!$A:$A,0)),"")</f>
        <v>0</v>
      </c>
      <c r="J16" s="245"/>
      <c r="K16" s="241" t="s">
        <v>438</v>
      </c>
      <c r="L16" s="241" t="str">
        <f aca="true">IF(OR(E16="—",E16="N/A",E16="",F16="N/A"),"N/A",IF(NOT(ISNUMBER(E16)),"N/A",IF(E16&lt;TODAY(),"Overdue",IF(E16&lt;TODAY()+183,"Due &lt; 6 Mths",IF(E16&lt;TODAY()+365,"Due &lt; 12 Mths","Not Due")))))</f>
        <v>Not Due</v>
      </c>
      <c r="M16" s="241" t="s">
        <v>439</v>
      </c>
      <c r="N16" s="247" t="s">
        <v>447</v>
      </c>
      <c r="P16" s="248" t="s">
        <v>448</v>
      </c>
    </row>
    <row r="17" customFormat="false" ht="30" hidden="false" customHeight="true" outlineLevel="0" collapsed="false">
      <c r="B17" s="21" t="s">
        <v>137</v>
      </c>
      <c r="C17" s="21" t="s">
        <v>136</v>
      </c>
      <c r="D17" s="249" t="str">
        <f aca="false">IFERROR(INDEX('Input Data'!D:D,MATCH("0602",'Input Data'!$A:$A,0)),"")</f>
        <v>Sungrow Australia Group</v>
      </c>
      <c r="E17" s="250" t="n">
        <f aca="false">IFERROR(INDEX('Input Data'!H:H,MATCH("0602",'Input Data'!$A:$A,0)),"")</f>
        <v>47375</v>
      </c>
      <c r="F17" s="21" t="s">
        <v>311</v>
      </c>
      <c r="G17" s="21" t="s">
        <v>437</v>
      </c>
      <c r="H17" s="245"/>
      <c r="I17" s="246" t="n">
        <f aca="false">IFERROR(H17/INDEX('Input Data'!F:F,MATCH("0602",'Input Data'!$A:$A,0)),"")</f>
        <v>0</v>
      </c>
      <c r="J17" s="245"/>
      <c r="K17" s="21" t="s">
        <v>438</v>
      </c>
      <c r="L17" s="21" t="str">
        <f aca="true">IF(OR(E17="—",E17="N/A",E17="",F17="N/A"),"N/A",IF(NOT(ISNUMBER(E17)),"N/A",IF(E17&lt;TODAY(),"Overdue",IF(E17&lt;TODAY()+183,"Due &lt; 6 Mths",IF(E17&lt;TODAY()+365,"Due &lt; 12 Mths","Not Due")))))</f>
        <v>Not Due</v>
      </c>
      <c r="M17" s="21" t="s">
        <v>439</v>
      </c>
      <c r="N17" s="251" t="s">
        <v>449</v>
      </c>
      <c r="P17" s="248" t="s">
        <v>450</v>
      </c>
    </row>
    <row r="18" customFormat="false" ht="30" hidden="false" customHeight="true" outlineLevel="0" collapsed="false">
      <c r="B18" s="241" t="s">
        <v>137</v>
      </c>
      <c r="C18" s="241" t="s">
        <v>145</v>
      </c>
      <c r="D18" s="242" t="str">
        <f aca="false">IFERROR(INDEX('Input Data'!D:D,MATCH("0603",'Input Data'!$A:$A,0)),"")</f>
        <v>Keeping Company Pty Ltd</v>
      </c>
      <c r="E18" s="243" t="n">
        <f aca="false">IFERROR(INDEX('Input Data'!H:H,MATCH("0603",'Input Data'!$A:$A,0)),"")</f>
        <v>46538</v>
      </c>
      <c r="F18" s="241" t="s">
        <v>311</v>
      </c>
      <c r="G18" s="241" t="s">
        <v>311</v>
      </c>
      <c r="H18" s="245"/>
      <c r="I18" s="246" t="n">
        <f aca="false">IFERROR(H18/INDEX('Input Data'!F:F,MATCH("0603",'Input Data'!$A:$A,0)),"")</f>
        <v>0</v>
      </c>
      <c r="J18" s="245"/>
      <c r="K18" s="241" t="s">
        <v>438</v>
      </c>
      <c r="L18" s="241" t="str">
        <f aca="true">IF(OR(E18="—",E18="N/A",E18="",F18="N/A"),"N/A",IF(NOT(ISNUMBER(E18)),"N/A",IF(E18&lt;TODAY(),"Overdue",IF(E18&lt;TODAY()+183,"Due &lt; 6 Mths",IF(E18&lt;TODAY()+365,"Due &lt; 12 Mths","Not Due")))))</f>
        <v>Due &lt; 12 Mths</v>
      </c>
      <c r="M18" s="241" t="s">
        <v>439</v>
      </c>
      <c r="N18" s="247" t="s">
        <v>451</v>
      </c>
      <c r="P18" s="248"/>
    </row>
    <row r="19" customFormat="false" ht="30" hidden="false" customHeight="true" outlineLevel="0" collapsed="false">
      <c r="B19" s="21" t="s">
        <v>137</v>
      </c>
      <c r="C19" s="21" t="s">
        <v>151</v>
      </c>
      <c r="D19" s="249" t="str">
        <f aca="false">IFERROR(INDEX('Input Data'!D:D,MATCH("0604",'Input Data'!$A:$A,0)),"")</f>
        <v>Elekta Pty Limited</v>
      </c>
      <c r="E19" s="250" t="n">
        <f aca="false">IFERROR(INDEX('Input Data'!H:H,MATCH("0604",'Input Data'!$A:$A,0)),"")</f>
        <v>48426</v>
      </c>
      <c r="F19" s="21" t="s">
        <v>311</v>
      </c>
      <c r="G19" s="21" t="s">
        <v>311</v>
      </c>
      <c r="H19" s="245"/>
      <c r="I19" s="246" t="n">
        <f aca="false">IFERROR(H19/INDEX('Input Data'!F:F,MATCH("0604",'Input Data'!$A:$A,0)),"")</f>
        <v>0</v>
      </c>
      <c r="J19" s="245"/>
      <c r="K19" s="21" t="s">
        <v>438</v>
      </c>
      <c r="L19" s="21" t="str">
        <f aca="true">IF(OR(E19="—",E19="N/A",E19="",F19="N/A"),"N/A",IF(NOT(ISNUMBER(E19)),"N/A",IF(E19&lt;TODAY(),"Overdue",IF(E19&lt;TODAY()+183,"Due &lt; 6 Mths",IF(E19&lt;TODAY()+365,"Due &lt; 12 Mths","Not Due")))))</f>
        <v>Not Due</v>
      </c>
      <c r="M19" s="21" t="s">
        <v>439</v>
      </c>
      <c r="N19" s="251" t="s">
        <v>452</v>
      </c>
      <c r="P19" s="248"/>
    </row>
    <row r="20" customFormat="false" ht="45" hidden="false" customHeight="true" outlineLevel="0" collapsed="false">
      <c r="B20" s="241" t="s">
        <v>159</v>
      </c>
      <c r="C20" s="241" t="s">
        <v>158</v>
      </c>
      <c r="D20" s="242" t="str">
        <f aca="false">IFERROR(INDEX('Input Data'!D:D,MATCH("0701",'Input Data'!$A:$A,0)),"")</f>
        <v>Sungrow Australia Group</v>
      </c>
      <c r="E20" s="243" t="n">
        <f aca="false">IFERROR(INDEX('Input Data'!H:H,MATCH("0701",'Input Data'!$A:$A,0)),"")</f>
        <v>47375</v>
      </c>
      <c r="F20" s="241" t="s">
        <v>311</v>
      </c>
      <c r="G20" s="241" t="s">
        <v>437</v>
      </c>
      <c r="H20" s="245"/>
      <c r="I20" s="246" t="n">
        <f aca="false">IFERROR(H20/INDEX('Input Data'!F:F,MATCH("0701",'Input Data'!$A:$A,0)),"")</f>
        <v>0</v>
      </c>
      <c r="J20" s="245"/>
      <c r="K20" s="241" t="s">
        <v>438</v>
      </c>
      <c r="L20" s="241" t="str">
        <f aca="true">IF(OR(E20="—",E20="N/A",E20="",F20="N/A"),"N/A",IF(NOT(ISNUMBER(E20)),"N/A",IF(E20&lt;TODAY(),"Overdue",IF(E20&lt;TODAY()+183,"Due &lt; 6 Mths",IF(E20&lt;TODAY()+365,"Due &lt; 12 Mths","Not Due")))))</f>
        <v>Not Due</v>
      </c>
      <c r="M20" s="241" t="s">
        <v>439</v>
      </c>
      <c r="N20" s="247" t="s">
        <v>453</v>
      </c>
      <c r="P20" s="248" t="s">
        <v>454</v>
      </c>
    </row>
    <row r="21" customFormat="false" ht="30" hidden="false" customHeight="true" outlineLevel="0" collapsed="false">
      <c r="B21" s="21" t="s">
        <v>159</v>
      </c>
      <c r="C21" s="21" t="s">
        <v>164</v>
      </c>
      <c r="D21" s="249" t="str">
        <f aca="false">IFERROR(INDEX('Input Data'!D:D,MATCH("0702",'Input Data'!$A:$A,0)),"")</f>
        <v>Sungrow Australia Group</v>
      </c>
      <c r="E21" s="250" t="n">
        <f aca="false">IFERROR(INDEX('Input Data'!H:H,MATCH("0702",'Input Data'!$A:$A,0)),"")</f>
        <v>47375</v>
      </c>
      <c r="F21" s="21" t="s">
        <v>311</v>
      </c>
      <c r="G21" s="21" t="s">
        <v>437</v>
      </c>
      <c r="H21" s="245"/>
      <c r="I21" s="246" t="n">
        <f aca="false">IFERROR(H21/INDEX('Input Data'!F:F,MATCH("0702",'Input Data'!$A:$A,0)),"")</f>
        <v>0</v>
      </c>
      <c r="J21" s="245"/>
      <c r="K21" s="21" t="s">
        <v>438</v>
      </c>
      <c r="L21" s="21" t="str">
        <f aca="true">IF(OR(E21="—",E21="N/A",E21="",F21="N/A"),"N/A",IF(NOT(ISNUMBER(E21)),"N/A",IF(E21&lt;TODAY(),"Overdue",IF(E21&lt;TODAY()+183,"Due &lt; 6 Mths",IF(E21&lt;TODAY()+365,"Due &lt; 12 Mths","Not Due")))))</f>
        <v>Not Due</v>
      </c>
      <c r="M21" s="21" t="s">
        <v>439</v>
      </c>
      <c r="N21" s="251" t="s">
        <v>455</v>
      </c>
      <c r="P21" s="248" t="s">
        <v>456</v>
      </c>
    </row>
    <row r="22" customFormat="false" ht="19.5" hidden="false" customHeight="true" outlineLevel="0" collapsed="false">
      <c r="B22" s="241" t="s">
        <v>171</v>
      </c>
      <c r="C22" s="241" t="s">
        <v>170</v>
      </c>
      <c r="D22" s="242" t="str">
        <f aca="false">IFERROR(INDEX('Input Data'!D:D,MATCH("0801",'Input Data'!$A:$A,0)),"")</f>
        <v>Vanderlande Industries Australia Pty Ltd</v>
      </c>
      <c r="E22" s="243" t="n">
        <f aca="false">IFERROR(INDEX('Input Data'!H:H,MATCH("0801",'Input Data'!$A:$A,0)),"")</f>
        <v>46934</v>
      </c>
      <c r="F22" s="241" t="s">
        <v>311</v>
      </c>
      <c r="G22" s="241" t="s">
        <v>437</v>
      </c>
      <c r="H22" s="245"/>
      <c r="I22" s="246" t="n">
        <f aca="false">IFERROR(H22/INDEX('Input Data'!F:F,MATCH("0801",'Input Data'!$A:$A,0)),"")</f>
        <v>0</v>
      </c>
      <c r="J22" s="245"/>
      <c r="K22" s="241" t="s">
        <v>438</v>
      </c>
      <c r="L22" s="241" t="str">
        <f aca="true">IF(OR(E22="—",E22="N/A",E22="",F22="N/A"),"N/A",IF(NOT(ISNUMBER(E22)),"N/A",IF(E22&lt;TODAY(),"Overdue",IF(E22&lt;TODAY()+183,"Due &lt; 6 Mths",IF(E22&lt;TODAY()+365,"Due &lt; 12 Mths","Not Due")))))</f>
        <v>Not Due</v>
      </c>
      <c r="M22" s="241" t="s">
        <v>439</v>
      </c>
      <c r="N22" s="247" t="s">
        <v>457</v>
      </c>
      <c r="P22" s="248" t="s">
        <v>458</v>
      </c>
    </row>
    <row r="23" customFormat="false" ht="30" hidden="false" customHeight="true" outlineLevel="0" collapsed="false">
      <c r="B23" s="21" t="s">
        <v>171</v>
      </c>
      <c r="C23" s="21" t="s">
        <v>459</v>
      </c>
      <c r="D23" s="249" t="s">
        <v>173</v>
      </c>
      <c r="E23" s="21" t="s">
        <v>460</v>
      </c>
      <c r="F23" s="21" t="s">
        <v>311</v>
      </c>
      <c r="G23" s="21" t="s">
        <v>437</v>
      </c>
      <c r="H23" s="245"/>
      <c r="I23" s="246" t="str">
        <f aca="false">IFERROR(H23/INDEX('Input Data'!F:F,MATCH("0802",'Input Data'!$A:$A,0)),"")</f>
        <v/>
      </c>
      <c r="J23" s="245"/>
      <c r="K23" s="21" t="s">
        <v>438</v>
      </c>
      <c r="L23" s="21" t="str">
        <f aca="true">IF(OR(E23="—",E23="N/A",E23="",F23="N/A"),"N/A",IF(NOT(ISNUMBER(E23)),"N/A",IF(E23&lt;TODAY(),"Overdue",IF(E23&lt;TODAY()+183,"Due &lt; 6 Mths",IF(E23&lt;TODAY()+365,"Due &lt; 12 Mths","Not Due")))))</f>
        <v>N/A</v>
      </c>
      <c r="M23" s="21" t="s">
        <v>439</v>
      </c>
      <c r="N23" s="251" t="s">
        <v>461</v>
      </c>
      <c r="P23" s="248"/>
    </row>
    <row r="24" customFormat="false" ht="30" hidden="false" customHeight="true" outlineLevel="0" collapsed="false">
      <c r="B24" s="241" t="s">
        <v>171</v>
      </c>
      <c r="C24" s="241" t="s">
        <v>177</v>
      </c>
      <c r="D24" s="242" t="str">
        <f aca="false">IFERROR(INDEX('Input Data'!D:D,MATCH("0803",'Input Data'!$A:$A,0)),"")</f>
        <v>Can Too Foundation Limited</v>
      </c>
      <c r="E24" s="243" t="n">
        <f aca="false">IFERROR(INDEX('Input Data'!H:H,MATCH("0803",'Input Data'!$A:$A,0)),"")</f>
        <v>47787</v>
      </c>
      <c r="F24" s="241" t="s">
        <v>311</v>
      </c>
      <c r="G24" s="241" t="s">
        <v>311</v>
      </c>
      <c r="H24" s="245"/>
      <c r="I24" s="246" t="n">
        <f aca="false">IFERROR(H24/INDEX('Input Data'!F:F,MATCH("0803",'Input Data'!$A:$A,0)),"")</f>
        <v>0</v>
      </c>
      <c r="J24" s="245"/>
      <c r="K24" s="241" t="s">
        <v>438</v>
      </c>
      <c r="L24" s="241" t="str">
        <f aca="true">IF(OR(E24="—",E24="N/A",E24="",F24="N/A"),"N/A",IF(NOT(ISNUMBER(E24)),"N/A",IF(E24&lt;TODAY(),"Overdue",IF(E24&lt;TODAY()+183,"Due &lt; 6 Mths",IF(E24&lt;TODAY()+365,"Due &lt; 12 Mths","Not Due")))))</f>
        <v>Not Due</v>
      </c>
      <c r="M24" s="241" t="s">
        <v>439</v>
      </c>
      <c r="N24" s="247" t="s">
        <v>462</v>
      </c>
      <c r="P24" s="248"/>
    </row>
    <row r="25" customFormat="false" ht="30" hidden="false" customHeight="true" outlineLevel="0" collapsed="false">
      <c r="B25" s="21" t="s">
        <v>184</v>
      </c>
      <c r="C25" s="21" t="s">
        <v>183</v>
      </c>
      <c r="D25" s="249" t="str">
        <f aca="false">IFERROR(INDEX('Input Data'!D:D,MATCH("0901",'Input Data'!$A:$A,0)),"")</f>
        <v>Pitt &amp; Sherry (Operations) Pty Ltd</v>
      </c>
      <c r="E25" s="250" t="n">
        <f aca="false">IFERROR(INDEX('Input Data'!H:H,MATCH("0901",'Input Data'!$A:$A,0)),"")</f>
        <v>46571</v>
      </c>
      <c r="F25" s="21" t="s">
        <v>311</v>
      </c>
      <c r="G25" s="21" t="s">
        <v>437</v>
      </c>
      <c r="H25" s="245"/>
      <c r="I25" s="246" t="n">
        <f aca="false">IFERROR(H25/INDEX('Input Data'!F:F,MATCH("0901",'Input Data'!$A:$A,0)),"")</f>
        <v>0</v>
      </c>
      <c r="J25" s="245"/>
      <c r="K25" s="21" t="s">
        <v>438</v>
      </c>
      <c r="L25" s="21" t="str">
        <f aca="true">IF(OR(E25="—",E25="N/A",E25="",F25="N/A"),"N/A",IF(NOT(ISNUMBER(E25)),"N/A",IF(E25&lt;TODAY(),"Overdue",IF(E25&lt;TODAY()+183,"Due &lt; 6 Mths",IF(E25&lt;TODAY()+365,"Due &lt; 12 Mths","Not Due")))))</f>
        <v>Due &lt; 12 Mths</v>
      </c>
      <c r="M25" s="21" t="s">
        <v>439</v>
      </c>
      <c r="N25" s="251" t="s">
        <v>463</v>
      </c>
      <c r="P25" s="248" t="s">
        <v>464</v>
      </c>
    </row>
    <row r="26" customFormat="false" ht="30" hidden="false" customHeight="true" outlineLevel="0" collapsed="false">
      <c r="B26" s="241" t="s">
        <v>184</v>
      </c>
      <c r="C26" s="241" t="s">
        <v>196</v>
      </c>
      <c r="D26" s="242" t="str">
        <f aca="false">IFERROR(INDEX('Input Data'!D:D,MATCH("0902",'Input Data'!$A:$A,0)),"")</f>
        <v>Smile Partners Australia</v>
      </c>
      <c r="E26" s="243" t="n">
        <f aca="false">IFERROR(INDEX('Input Data'!H:H,MATCH("0902",'Input Data'!$A:$A,0)),"")</f>
        <v>47483</v>
      </c>
      <c r="F26" s="241" t="s">
        <v>311</v>
      </c>
      <c r="G26" s="241" t="s">
        <v>311</v>
      </c>
      <c r="H26" s="245"/>
      <c r="I26" s="246" t="n">
        <f aca="false">IFERROR(H26/INDEX('Input Data'!F:F,MATCH("0902",'Input Data'!$A:$A,0)),"")</f>
        <v>0</v>
      </c>
      <c r="J26" s="245"/>
      <c r="K26" s="241" t="s">
        <v>438</v>
      </c>
      <c r="L26" s="241" t="str">
        <f aca="true">IF(OR(E26="—",E26="N/A",E26="",F26="N/A"),"N/A",IF(NOT(ISNUMBER(E26)),"N/A",IF(E26&lt;TODAY(),"Overdue",IF(E26&lt;TODAY()+183,"Due &lt; 6 Mths",IF(E26&lt;TODAY()+365,"Due &lt; 12 Mths","Not Due")))))</f>
        <v>Not Due</v>
      </c>
      <c r="M26" s="241" t="s">
        <v>439</v>
      </c>
      <c r="N26" s="247" t="s">
        <v>465</v>
      </c>
      <c r="P26" s="248"/>
    </row>
    <row r="27" customFormat="false" ht="19.5" hidden="false" customHeight="true" outlineLevel="0" collapsed="false">
      <c r="B27" s="21" t="s">
        <v>214</v>
      </c>
      <c r="C27" s="21" t="s">
        <v>213</v>
      </c>
      <c r="D27" s="249" t="str">
        <f aca="false">IFERROR(INDEX('Input Data'!D:D,MATCH("1001",'Input Data'!$A:$A,0)),"")</f>
        <v>VACANT</v>
      </c>
      <c r="E27" s="250" t="n">
        <f aca="false">IFERROR(INDEX('Input Data'!H:H,MATCH("1001",'Input Data'!$A:$A,0)),"")</f>
        <v>0</v>
      </c>
      <c r="F27" s="21" t="s">
        <v>466</v>
      </c>
      <c r="G27" s="21" t="s">
        <v>466</v>
      </c>
      <c r="H27" s="245"/>
      <c r="I27" s="246" t="n">
        <f aca="false">IFERROR(H27/INDEX('Input Data'!F:F,MATCH("1001",'Input Data'!$A:$A,0)),"")</f>
        <v>0</v>
      </c>
      <c r="J27" s="245"/>
      <c r="K27" s="21" t="s">
        <v>438</v>
      </c>
      <c r="L27" s="21" t="str">
        <f aca="true">IF(OR(E27="—",E27="N/A",E27="",F27="N/A"),"N/A",IF(NOT(ISNUMBER(E27)),"N/A",IF(E27&lt;TODAY(),"Overdue",IF(E27&lt;TODAY()+183,"Due &lt; 6 Mths",IF(E27&lt;TODAY()+365,"Due &lt; 12 Mths","Not Due")))))</f>
        <v>N/A</v>
      </c>
      <c r="M27" s="21" t="s">
        <v>439</v>
      </c>
      <c r="N27" s="251" t="s">
        <v>467</v>
      </c>
      <c r="P27" s="248"/>
    </row>
    <row r="28" customFormat="false" ht="19.5" hidden="false" customHeight="true" outlineLevel="0" collapsed="false">
      <c r="B28" s="241" t="s">
        <v>214</v>
      </c>
      <c r="C28" s="241" t="s">
        <v>217</v>
      </c>
      <c r="D28" s="242" t="str">
        <f aca="false">IFERROR(INDEX('Input Data'!D:D,MATCH("1002",'Input Data'!$A:$A,0)),"")</f>
        <v>VACANT</v>
      </c>
      <c r="E28" s="243" t="n">
        <f aca="false">IFERROR(INDEX('Input Data'!H:H,MATCH("1002",'Input Data'!$A:$A,0)),"")</f>
        <v>0</v>
      </c>
      <c r="F28" s="241" t="s">
        <v>466</v>
      </c>
      <c r="G28" s="241" t="s">
        <v>466</v>
      </c>
      <c r="H28" s="245"/>
      <c r="I28" s="246" t="n">
        <f aca="false">IFERROR(H28/INDEX('Input Data'!F:F,MATCH("1002",'Input Data'!$A:$A,0)),"")</f>
        <v>0</v>
      </c>
      <c r="J28" s="245"/>
      <c r="K28" s="241" t="s">
        <v>438</v>
      </c>
      <c r="L28" s="241" t="str">
        <f aca="true">IF(OR(E28="—",E28="N/A",E28="",F28="N/A"),"N/A",IF(NOT(ISNUMBER(E28)),"N/A",IF(E28&lt;TODAY(),"Overdue",IF(E28&lt;TODAY()+183,"Due &lt; 6 Mths",IF(E28&lt;TODAY()+365,"Due &lt; 12 Mths","Not Due")))))</f>
        <v>N/A</v>
      </c>
      <c r="M28" s="241" t="s">
        <v>439</v>
      </c>
      <c r="N28" s="247" t="s">
        <v>467</v>
      </c>
      <c r="P28" s="248"/>
    </row>
    <row r="29" customFormat="false" ht="19.5" hidden="false" customHeight="true" outlineLevel="0" collapsed="false">
      <c r="B29" s="21" t="s">
        <v>220</v>
      </c>
      <c r="C29" s="21" t="s">
        <v>219</v>
      </c>
      <c r="D29" s="249" t="str">
        <f aca="false">IFERROR(INDEX('Input Data'!D:D,MATCH("1101",'Input Data'!$A:$A,0)),"")</f>
        <v>Luxasia</v>
      </c>
      <c r="E29" s="250" t="n">
        <f aca="false">IFERROR(INDEX('Input Data'!H:H,MATCH("1101",'Input Data'!$A:$A,0)),"")</f>
        <v>48121</v>
      </c>
      <c r="F29" s="21" t="s">
        <v>311</v>
      </c>
      <c r="G29" s="21" t="s">
        <v>311</v>
      </c>
      <c r="H29" s="245"/>
      <c r="I29" s="246" t="n">
        <f aca="false">IFERROR(H29/INDEX('Input Data'!F:F,MATCH("1101",'Input Data'!$A:$A,0)),"")</f>
        <v>0</v>
      </c>
      <c r="J29" s="245"/>
      <c r="K29" s="21" t="s">
        <v>438</v>
      </c>
      <c r="L29" s="21" t="str">
        <f aca="true">IF(OR(E29="—",E29="N/A",E29="",F29="N/A"),"N/A",IF(NOT(ISNUMBER(E29)),"N/A",IF(E29&lt;TODAY(),"Overdue",IF(E29&lt;TODAY()+183,"Due &lt; 6 Mths",IF(E29&lt;TODAY()+365,"Due &lt; 12 Mths","Not Due")))))</f>
        <v>Not Due</v>
      </c>
      <c r="M29" s="21" t="s">
        <v>439</v>
      </c>
      <c r="N29" s="251" t="s">
        <v>468</v>
      </c>
      <c r="P29" s="248"/>
    </row>
    <row r="30" customFormat="false" ht="30" hidden="false" customHeight="true" outlineLevel="0" collapsed="false">
      <c r="B30" s="241" t="s">
        <v>220</v>
      </c>
      <c r="C30" s="241" t="s">
        <v>225</v>
      </c>
      <c r="D30" s="242" t="str">
        <f aca="false">IFERROR(INDEX('Input Data'!D:D,MATCH("1102",'Input Data'!$A:$A,0)),"")</f>
        <v>Haskoning Australia Pty Ltd</v>
      </c>
      <c r="E30" s="243" t="n">
        <f aca="false">IFERROR(INDEX('Input Data'!H:H,MATCH("1102",'Input Data'!$A:$A,0)),"")</f>
        <v>49582</v>
      </c>
      <c r="F30" s="241" t="s">
        <v>311</v>
      </c>
      <c r="G30" s="241" t="s">
        <v>311</v>
      </c>
      <c r="H30" s="245"/>
      <c r="I30" s="246" t="n">
        <f aca="false">IFERROR(H30/INDEX('Input Data'!F:F,MATCH("1102",'Input Data'!$A:$A,0)),"")</f>
        <v>0</v>
      </c>
      <c r="J30" s="245"/>
      <c r="K30" s="241" t="s">
        <v>438</v>
      </c>
      <c r="L30" s="241" t="str">
        <f aca="true">IF(OR(E30="—",E30="N/A",E30="",F30="N/A"),"N/A",IF(NOT(ISNUMBER(E30)),"N/A",IF(E30&lt;TODAY(),"Overdue",IF(E30&lt;TODAY()+183,"Due &lt; 6 Mths",IF(E30&lt;TODAY()+365,"Due &lt; 12 Mths","Not Due")))))</f>
        <v>Not Due</v>
      </c>
      <c r="M30" s="241" t="s">
        <v>439</v>
      </c>
      <c r="N30" s="247" t="s">
        <v>469</v>
      </c>
      <c r="P30" s="248"/>
    </row>
    <row r="31" customFormat="false" ht="30" hidden="false" customHeight="true" outlineLevel="0" collapsed="false">
      <c r="B31" s="21" t="s">
        <v>191</v>
      </c>
      <c r="C31" s="21" t="s">
        <v>190</v>
      </c>
      <c r="D31" s="249" t="str">
        <f aca="false">IFERROR(INDEX('Input Data'!D:D,MATCH("1201",'Input Data'!$A:$A,0)),"")</f>
        <v>Hulsbosch Design Pty Ltd</v>
      </c>
      <c r="E31" s="250" t="n">
        <f aca="false">IFERROR(INDEX('Input Data'!H:H,MATCH("1201",'Input Data'!$A:$A,0)),"")</f>
        <v>47787</v>
      </c>
      <c r="F31" s="21" t="s">
        <v>311</v>
      </c>
      <c r="G31" s="21" t="s">
        <v>311</v>
      </c>
      <c r="H31" s="245"/>
      <c r="I31" s="246" t="n">
        <f aca="false">IFERROR(H31/INDEX('Input Data'!F:F,MATCH("1201",'Input Data'!$A:$A,0)),"")</f>
        <v>0</v>
      </c>
      <c r="J31" s="245"/>
      <c r="K31" s="21" t="s">
        <v>438</v>
      </c>
      <c r="L31" s="21" t="str">
        <f aca="true">IF(OR(E31="—",E31="N/A",E31="",F31="N/A"),"N/A",IF(NOT(ISNUMBER(E31)),"N/A",IF(E31&lt;TODAY(),"Overdue",IF(E31&lt;TODAY()+183,"Due &lt; 6 Mths",IF(E31&lt;TODAY()+365,"Due &lt; 12 Mths","Not Due")))))</f>
        <v>Not Due</v>
      </c>
      <c r="M31" s="21" t="s">
        <v>439</v>
      </c>
      <c r="N31" s="251" t="s">
        <v>470</v>
      </c>
      <c r="P31" s="248"/>
    </row>
    <row r="32" customFormat="false" ht="30" hidden="false" customHeight="true" outlineLevel="0" collapsed="false">
      <c r="B32" s="241" t="s">
        <v>191</v>
      </c>
      <c r="C32" s="241" t="s">
        <v>201</v>
      </c>
      <c r="D32" s="242" t="str">
        <f aca="false">IFERROR(INDEX('Input Data'!D:D,MATCH("1202",'Input Data'!$A:$A,0)),"")</f>
        <v>Aei Insurance Group Pty Ltd</v>
      </c>
      <c r="E32" s="243" t="n">
        <f aca="false">IFERROR(INDEX('Input Data'!H:H,MATCH("1202",'Input Data'!$A:$A,0)),"")</f>
        <v>47832</v>
      </c>
      <c r="F32" s="241" t="s">
        <v>311</v>
      </c>
      <c r="G32" s="241" t="s">
        <v>311</v>
      </c>
      <c r="H32" s="245"/>
      <c r="I32" s="246" t="n">
        <f aca="false">IFERROR(H32/INDEX('Input Data'!F:F,MATCH("1202",'Input Data'!$A:$A,0)),"")</f>
        <v>0</v>
      </c>
      <c r="J32" s="245"/>
      <c r="K32" s="241" t="s">
        <v>438</v>
      </c>
      <c r="L32" s="241" t="str">
        <f aca="true">IF(OR(E32="—",E32="N/A",E32="",F32="N/A"),"N/A",IF(NOT(ISNUMBER(E32)),"N/A",IF(E32&lt;TODAY(),"Overdue",IF(E32&lt;TODAY()+183,"Due &lt; 6 Mths",IF(E32&lt;TODAY()+365,"Due &lt; 12 Mths","Not Due")))))</f>
        <v>Not Due</v>
      </c>
      <c r="M32" s="241" t="s">
        <v>439</v>
      </c>
      <c r="N32" s="247" t="s">
        <v>471</v>
      </c>
      <c r="P32" s="248"/>
    </row>
    <row r="33" customFormat="false" ht="19.5" hidden="false" customHeight="true" outlineLevel="0" collapsed="false"/>
    <row r="34" customFormat="false" ht="19.5" hidden="false" customHeight="true" outlineLevel="0" collapsed="false">
      <c r="B34" s="235" t="s">
        <v>472</v>
      </c>
      <c r="C34" s="235"/>
      <c r="D34" s="235"/>
      <c r="E34" s="235"/>
      <c r="F34" s="235"/>
      <c r="G34" s="235"/>
      <c r="H34" s="235"/>
      <c r="I34" s="235"/>
      <c r="J34" s="235"/>
      <c r="K34" s="235"/>
      <c r="L34" s="235"/>
      <c r="M34" s="235"/>
      <c r="N34" s="235"/>
    </row>
    <row r="35" customFormat="false" ht="18" hidden="false" customHeight="true" outlineLevel="0" collapsed="false">
      <c r="B35" s="252"/>
      <c r="C35" s="253" t="s">
        <v>473</v>
      </c>
      <c r="D35" s="253"/>
      <c r="E35" s="254"/>
      <c r="F35" s="253" t="s">
        <v>474</v>
      </c>
      <c r="G35" s="253"/>
      <c r="H35" s="254"/>
      <c r="I35" s="253" t="s">
        <v>475</v>
      </c>
      <c r="J35" s="253"/>
      <c r="K35" s="255"/>
      <c r="L35" s="253" t="s">
        <v>476</v>
      </c>
      <c r="M35" s="253"/>
    </row>
  </sheetData>
  <mergeCells count="17">
    <mergeCell ref="A1:N1"/>
    <mergeCell ref="A2:N2"/>
    <mergeCell ref="B4:M4"/>
    <mergeCell ref="B5:C5"/>
    <mergeCell ref="E5:F5"/>
    <mergeCell ref="H5:I5"/>
    <mergeCell ref="K5:L5"/>
    <mergeCell ref="B6:C6"/>
    <mergeCell ref="E6:F6"/>
    <mergeCell ref="H6:I6"/>
    <mergeCell ref="K6:L6"/>
    <mergeCell ref="B8:P8"/>
    <mergeCell ref="B34:N34"/>
    <mergeCell ref="C35:D35"/>
    <mergeCell ref="F35:G35"/>
    <mergeCell ref="I35:J35"/>
    <mergeCell ref="L35:M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109"/>
  <sheetViews>
    <sheetView showFormulas="false" showGridLines="false" showRowColHeaders="true" showZeros="true" rightToLeft="false" tabSelected="false" showOutlineSymbols="true" defaultGridColor="true" view="normal" topLeftCell="A45" colorId="64" zoomScale="85" zoomScaleNormal="85" zoomScalePageLayoutView="100" workbookViewId="0">
      <selection pane="topLeft" activeCell="I87" activeCellId="0" sqref="I87"/>
    </sheetView>
  </sheetViews>
  <sheetFormatPr defaultColWidth="8.6328125" defaultRowHeight="14.25" zeroHeight="false" outlineLevelRow="0" outlineLevelCol="0"/>
  <cols>
    <col collapsed="false" customWidth="true" hidden="false" outlineLevel="0" max="1" min="1" style="1" width="1.45"/>
    <col collapsed="false" customWidth="true" hidden="false" outlineLevel="0" max="2" min="2" style="1" width="10"/>
    <col collapsed="false" customWidth="true" hidden="false" outlineLevel="0" max="3" min="3" style="1" width="9"/>
    <col collapsed="false" customWidth="true" hidden="false" outlineLevel="0" max="28" min="4" style="1" width="7"/>
    <col collapsed="false" customWidth="true" hidden="false" outlineLevel="0" max="29" min="29" style="1" width="1.45"/>
  </cols>
  <sheetData>
    <row r="1" customFormat="false" ht="33.75" hidden="false" customHeight="true" outlineLevel="0" collapsed="false">
      <c r="A1" s="256" t="s">
        <v>477</v>
      </c>
      <c r="B1" s="256"/>
      <c r="C1" s="256"/>
      <c r="D1" s="256"/>
      <c r="E1" s="256"/>
      <c r="F1" s="256"/>
      <c r="G1" s="256"/>
      <c r="H1" s="256"/>
      <c r="I1" s="256"/>
      <c r="J1" s="256"/>
      <c r="K1" s="256"/>
      <c r="L1" s="256"/>
      <c r="M1" s="256"/>
      <c r="N1" s="256"/>
      <c r="O1" s="256"/>
      <c r="P1" s="256"/>
      <c r="Q1" s="256"/>
      <c r="R1" s="256"/>
      <c r="S1" s="256"/>
      <c r="T1" s="256"/>
      <c r="U1" s="256"/>
      <c r="V1" s="256"/>
      <c r="W1" s="256"/>
      <c r="X1" s="256"/>
      <c r="Y1" s="256"/>
      <c r="Z1" s="256"/>
      <c r="AA1" s="256"/>
      <c r="AB1" s="256"/>
      <c r="AC1" s="256"/>
      <c r="AD1" s="256"/>
    </row>
    <row r="2" customFormat="false" ht="15" hidden="false" customHeight="true" outlineLevel="0" collapsed="false">
      <c r="A2" s="185" t="s">
        <v>478</v>
      </c>
      <c r="B2" s="185"/>
      <c r="C2" s="185"/>
      <c r="D2" s="185"/>
      <c r="E2" s="185"/>
      <c r="F2" s="185"/>
      <c r="G2" s="185"/>
      <c r="H2" s="185"/>
      <c r="I2" s="185"/>
      <c r="J2" s="185"/>
      <c r="K2" s="185"/>
      <c r="L2" s="185"/>
      <c r="M2" s="185"/>
      <c r="N2" s="185"/>
      <c r="O2" s="185"/>
      <c r="P2" s="185"/>
      <c r="Q2" s="185"/>
      <c r="R2" s="185"/>
      <c r="S2" s="185"/>
      <c r="T2" s="185"/>
      <c r="U2" s="185"/>
      <c r="V2" s="185"/>
      <c r="W2" s="185"/>
      <c r="X2" s="185"/>
      <c r="Y2" s="185"/>
      <c r="Z2" s="185"/>
      <c r="AA2" s="185"/>
      <c r="AB2" s="185"/>
      <c r="AC2" s="185"/>
      <c r="AD2" s="185"/>
    </row>
    <row r="3" customFormat="false" ht="21.75" hidden="false" customHeight="true" outlineLevel="0" collapsed="false">
      <c r="A3" s="10"/>
      <c r="B3" s="19" t="s">
        <v>62</v>
      </c>
      <c r="C3" s="19" t="s">
        <v>479</v>
      </c>
      <c r="D3" s="19" t="s">
        <v>480</v>
      </c>
      <c r="E3" s="19"/>
      <c r="F3" s="19"/>
      <c r="G3" s="19"/>
      <c r="H3" s="19"/>
      <c r="I3" s="19"/>
      <c r="J3" s="19"/>
      <c r="K3" s="19"/>
      <c r="L3" s="19"/>
      <c r="M3" s="19"/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0"/>
      <c r="AD3" s="10"/>
    </row>
    <row r="4" customFormat="false" ht="6.75" hidden="false" customHeight="true" outlineLevel="0" collapsed="false">
      <c r="A4" s="10"/>
      <c r="B4" s="95"/>
      <c r="C4" s="95"/>
      <c r="D4" s="257"/>
      <c r="E4" s="257"/>
      <c r="F4" s="257"/>
      <c r="G4" s="257"/>
      <c r="H4" s="257"/>
      <c r="I4" s="257"/>
      <c r="J4" s="257"/>
      <c r="K4" s="257"/>
      <c r="L4" s="257"/>
      <c r="M4" s="257"/>
      <c r="N4" s="257"/>
      <c r="O4" s="257"/>
      <c r="P4" s="257"/>
      <c r="Q4" s="257"/>
      <c r="R4" s="257"/>
      <c r="S4" s="257"/>
      <c r="T4" s="257"/>
      <c r="U4" s="257"/>
      <c r="V4" s="257"/>
      <c r="W4" s="257"/>
      <c r="X4" s="257"/>
      <c r="Y4" s="257"/>
      <c r="Z4" s="257"/>
      <c r="AA4" s="257"/>
      <c r="AB4" s="257"/>
      <c r="AC4" s="10"/>
      <c r="AD4" s="10"/>
    </row>
    <row r="5" customFormat="false" ht="18" hidden="false" customHeight="true" outlineLevel="0" collapsed="false">
      <c r="A5" s="10"/>
      <c r="B5" s="258" t="s">
        <v>481</v>
      </c>
      <c r="C5" s="259" t="n">
        <v>787</v>
      </c>
      <c r="D5" s="260" t="str">
        <f aca="false">IFERROR(INDEX('Input Data'!D:D,MATCH("12.01",'Input Data'!C:C,0)),"—")</f>
        <v>Hulsbosch Design Pty Ltd</v>
      </c>
      <c r="E5" s="260"/>
      <c r="F5" s="260"/>
      <c r="G5" s="260"/>
      <c r="H5" s="260"/>
      <c r="I5" s="260"/>
      <c r="J5" s="260"/>
      <c r="K5" s="260"/>
      <c r="L5" s="261" t="str">
        <f aca="false">IFERROR(INDEX('Input Data'!D:D,MATCH("12.02",'Input Data'!C:C,0)),"—")</f>
        <v>Aei Insurance Group Pty Ltd</v>
      </c>
      <c r="M5" s="261"/>
      <c r="N5" s="261"/>
      <c r="O5" s="261"/>
      <c r="P5" s="261"/>
      <c r="Q5" s="261"/>
      <c r="R5" s="261"/>
      <c r="S5" s="261"/>
      <c r="T5" s="261"/>
      <c r="U5" s="261"/>
      <c r="V5" s="261"/>
      <c r="W5" s="261"/>
      <c r="X5" s="261"/>
      <c r="Y5" s="261"/>
      <c r="Z5" s="261"/>
      <c r="AA5" s="261"/>
      <c r="AB5" s="261"/>
      <c r="AC5" s="10"/>
      <c r="AD5" s="10"/>
    </row>
    <row r="6" customFormat="false" ht="13.5" hidden="false" customHeight="true" outlineLevel="0" collapsed="false">
      <c r="A6" s="10"/>
      <c r="B6" s="258"/>
      <c r="C6" s="258"/>
      <c r="D6" s="262" t="str">
        <f aca="false">IFERROR("12.01 — "&amp;INDEX('Input Data'!B:B,MATCH("12.01",'Input Data'!C:C,0)),"—")</f>
        <v>12.01 — L12</v>
      </c>
      <c r="E6" s="262"/>
      <c r="F6" s="262"/>
      <c r="G6" s="262"/>
      <c r="H6" s="262"/>
      <c r="I6" s="262"/>
      <c r="J6" s="262"/>
      <c r="K6" s="262"/>
      <c r="L6" s="263" t="str">
        <f aca="false">IFERROR("12.02 — "&amp;INDEX('Input Data'!B:B,MATCH("12.02",'Input Data'!C:C,0)),"—")</f>
        <v>12.02 — L12</v>
      </c>
      <c r="M6" s="263"/>
      <c r="N6" s="263"/>
      <c r="O6" s="263"/>
      <c r="P6" s="263"/>
      <c r="Q6" s="263"/>
      <c r="R6" s="263"/>
      <c r="S6" s="263"/>
      <c r="T6" s="263"/>
      <c r="U6" s="263"/>
      <c r="V6" s="263"/>
      <c r="W6" s="263"/>
      <c r="X6" s="263"/>
      <c r="Y6" s="263"/>
      <c r="Z6" s="263"/>
      <c r="AA6" s="263"/>
      <c r="AB6" s="263"/>
      <c r="AC6" s="10"/>
      <c r="AD6" s="10"/>
    </row>
    <row r="7" customFormat="false" ht="13.5" hidden="false" customHeight="true" outlineLevel="0" collapsed="false">
      <c r="A7" s="10"/>
      <c r="B7" s="258"/>
      <c r="C7" s="258"/>
      <c r="D7" s="262" t="str">
        <f aca="false">IFERROR(TEXT(INDEX('Input Data'!F:F,MATCH("12.01",'Input Data'!C:C,0)),"#,##0.0")&amp;" sqm","—")</f>
        <v>251.0 sqm</v>
      </c>
      <c r="E7" s="262"/>
      <c r="F7" s="262"/>
      <c r="G7" s="262"/>
      <c r="H7" s="262"/>
      <c r="I7" s="262"/>
      <c r="J7" s="262"/>
      <c r="K7" s="262"/>
      <c r="L7" s="263" t="str">
        <f aca="false">IFERROR(TEXT(INDEX('Input Data'!F:F,MATCH("12.02",'Input Data'!C:C,0)),"#,##0.0")&amp;" sqm","—")</f>
        <v>536.0 sqm</v>
      </c>
      <c r="M7" s="263"/>
      <c r="N7" s="263"/>
      <c r="O7" s="263"/>
      <c r="P7" s="263"/>
      <c r="Q7" s="263"/>
      <c r="R7" s="263"/>
      <c r="S7" s="263"/>
      <c r="T7" s="263"/>
      <c r="U7" s="263"/>
      <c r="V7" s="263"/>
      <c r="W7" s="263"/>
      <c r="X7" s="263"/>
      <c r="Y7" s="263"/>
      <c r="Z7" s="263"/>
      <c r="AA7" s="263"/>
      <c r="AB7" s="263"/>
      <c r="AC7" s="10"/>
      <c r="AD7" s="10"/>
    </row>
    <row r="8" customFormat="false" ht="13.5" hidden="false" customHeight="true" outlineLevel="0" collapsed="false">
      <c r="A8" s="10"/>
      <c r="B8" s="258"/>
      <c r="C8" s="258"/>
      <c r="D8" s="264" t="str">
        <f aca="false">IFERROR("Face $"&amp;TEXT(INDEX('Input Data'!J:J,MATCH("12.01",'Input Data'!C:C,0)),"#,##0")&amp;" | Net $"&amp;TEXT(INDEX('Input Data'!Q:Q,MATCH("12.01",'Input Data'!C:C,0)),"#,##0 pa"),"—")</f>
        <v>Face $985 | Net $191,160 pa</v>
      </c>
      <c r="E8" s="264"/>
      <c r="F8" s="264"/>
      <c r="G8" s="264"/>
      <c r="H8" s="264"/>
      <c r="I8" s="264"/>
      <c r="J8" s="264"/>
      <c r="K8" s="264"/>
      <c r="L8" s="265" t="str">
        <f aca="false">IFERROR("Face $"&amp;TEXT(INDEX('Input Data'!J:J,MATCH("12.02",'Input Data'!C:C,0)),"#,##0")&amp;" | Net $"&amp;TEXT(INDEX('Input Data'!Q:Q,MATCH("12.02",'Input Data'!C:C,0)),"#,##0 pa"),"—")</f>
        <v>Face $988 | Net $638,733 pa</v>
      </c>
      <c r="M8" s="265"/>
      <c r="N8" s="265"/>
      <c r="O8" s="265"/>
      <c r="P8" s="265"/>
      <c r="Q8" s="265"/>
      <c r="R8" s="265"/>
      <c r="S8" s="265"/>
      <c r="T8" s="265"/>
      <c r="U8" s="265"/>
      <c r="V8" s="265"/>
      <c r="W8" s="265"/>
      <c r="X8" s="265"/>
      <c r="Y8" s="265"/>
      <c r="Z8" s="265"/>
      <c r="AA8" s="265"/>
      <c r="AB8" s="265"/>
      <c r="AC8" s="10"/>
      <c r="AD8" s="10"/>
    </row>
    <row r="9" customFormat="false" ht="13.5" hidden="false" customHeight="true" outlineLevel="0" collapsed="false">
      <c r="A9" s="10"/>
      <c r="B9" s="258"/>
      <c r="C9" s="258"/>
      <c r="D9" s="264" t="str">
        <f aca="false">IFERROR("Outg $"&amp;TEXT(INDEX('Input Data'!M:M,MATCH("12.01",'Input Data'!C:C,0)),"#,##0")&amp;" | Rev: "&amp;INDEX('Input Data'!S:S,MATCH("12.01",'Input Data'!C:C,0)),"—")</f>
        <v>Outg $6,518 | Rev: FIXED 3.5%</v>
      </c>
      <c r="E9" s="264"/>
      <c r="F9" s="264"/>
      <c r="G9" s="264"/>
      <c r="H9" s="264"/>
      <c r="I9" s="264"/>
      <c r="J9" s="264"/>
      <c r="K9" s="264"/>
      <c r="L9" s="265" t="str">
        <f aca="false">IFERROR("Outg $"&amp;TEXT(INDEX('Input Data'!M:M,MATCH("12.02",'Input Data'!C:C,0)),"#,##0")&amp;" | Rev: "&amp;INDEX('Input Data'!S:S,MATCH("12.02",'Input Data'!C:C,0)),"—")</f>
        <v>Outg $24,542 | Rev: FIXED 4%</v>
      </c>
      <c r="M9" s="265"/>
      <c r="N9" s="265"/>
      <c r="O9" s="265"/>
      <c r="P9" s="265"/>
      <c r="Q9" s="265"/>
      <c r="R9" s="265"/>
      <c r="S9" s="265"/>
      <c r="T9" s="265"/>
      <c r="U9" s="265"/>
      <c r="V9" s="265"/>
      <c r="W9" s="265"/>
      <c r="X9" s="265"/>
      <c r="Y9" s="265"/>
      <c r="Z9" s="265"/>
      <c r="AA9" s="265"/>
      <c r="AB9" s="265"/>
      <c r="AC9" s="10"/>
      <c r="AD9" s="10"/>
    </row>
    <row r="10" customFormat="false" ht="13.5" hidden="false" customHeight="true" outlineLevel="0" collapsed="false">
      <c r="A10" s="10"/>
      <c r="B10" s="258"/>
      <c r="C10" s="258"/>
      <c r="D10" s="262" t="str">
        <f aca="false">IFERROR("Exp: "&amp;TEXT(INDEX('Input Data'!H:H,MATCH("12.01",'Input Data'!C:C,0)),"MMM-YY")&amp;" ("&amp;TEXT(INDEX('Input Data'!V:V,MATCH("12.01",'Input Data'!C:C,0)),"0.0")&amp;" yrs)","—")</f>
        <v>Exp: Oct-30 (4.1 yrs)</v>
      </c>
      <c r="E10" s="262"/>
      <c r="F10" s="262"/>
      <c r="G10" s="262"/>
      <c r="H10" s="262"/>
      <c r="I10" s="262"/>
      <c r="J10" s="262"/>
      <c r="K10" s="262"/>
      <c r="L10" s="263" t="str">
        <f aca="false">IFERROR("Exp: "&amp;TEXT(INDEX('Input Data'!H:H,MATCH("12.02",'Input Data'!C:C,0)),"MMM-YY")&amp;" ("&amp;TEXT(INDEX('Input Data'!V:V,MATCH("12.02",'Input Data'!C:C,0)),"0.0")&amp;" yrs)","—")</f>
        <v>Exp: Dec-30 (4.2 yrs)</v>
      </c>
      <c r="M10" s="263"/>
      <c r="N10" s="263"/>
      <c r="O10" s="263"/>
      <c r="P10" s="263"/>
      <c r="Q10" s="263"/>
      <c r="R10" s="263"/>
      <c r="S10" s="263"/>
      <c r="T10" s="263"/>
      <c r="U10" s="263"/>
      <c r="V10" s="263"/>
      <c r="W10" s="263"/>
      <c r="X10" s="263"/>
      <c r="Y10" s="263"/>
      <c r="Z10" s="263"/>
      <c r="AA10" s="263"/>
      <c r="AB10" s="263"/>
      <c r="AC10" s="10"/>
      <c r="AD10" s="10"/>
    </row>
    <row r="11" customFormat="false" ht="13.5" hidden="false" customHeight="true" outlineLevel="0" collapsed="false">
      <c r="A11" s="10"/>
      <c r="B11" s="258"/>
      <c r="C11" s="258"/>
      <c r="D11" s="262" t="str">
        <f aca="false">IFERROR(TEXT(INDEX('Input Data'!V:V,MATCH("12.01",'Input Data'!C:C,0)),"0.0")&amp;" yrs remaining","—")</f>
        <v>4.1 yrs remaining</v>
      </c>
      <c r="E11" s="262"/>
      <c r="F11" s="262"/>
      <c r="G11" s="262"/>
      <c r="H11" s="262"/>
      <c r="I11" s="262"/>
      <c r="J11" s="262"/>
      <c r="K11" s="262"/>
      <c r="L11" s="263" t="str">
        <f aca="false">IFERROR(TEXT(INDEX('Input Data'!V:V,MATCH("12.02",'Input Data'!C:C,0)),"0.0")&amp;" yrs remaining","—")</f>
        <v>4.2 yrs remaining</v>
      </c>
      <c r="M11" s="263"/>
      <c r="N11" s="263"/>
      <c r="O11" s="263"/>
      <c r="P11" s="263"/>
      <c r="Q11" s="263"/>
      <c r="R11" s="263"/>
      <c r="S11" s="263"/>
      <c r="T11" s="263"/>
      <c r="U11" s="263"/>
      <c r="V11" s="263"/>
      <c r="W11" s="263"/>
      <c r="X11" s="263"/>
      <c r="Y11" s="263"/>
      <c r="Z11" s="263"/>
      <c r="AA11" s="263"/>
      <c r="AB11" s="263"/>
      <c r="AC11" s="10"/>
      <c r="AD11" s="10"/>
    </row>
    <row r="12" customFormat="false" ht="3.75" hidden="false" customHeight="true" outlineLevel="0" collapsed="false">
      <c r="A12" s="10"/>
      <c r="B12" s="258"/>
      <c r="C12" s="258"/>
      <c r="D12" s="263"/>
      <c r="E12" s="263"/>
      <c r="F12" s="263"/>
      <c r="G12" s="263"/>
      <c r="H12" s="263"/>
      <c r="I12" s="263"/>
      <c r="J12" s="263"/>
      <c r="K12" s="263"/>
      <c r="L12" s="263"/>
      <c r="M12" s="263"/>
      <c r="N12" s="263"/>
      <c r="O12" s="263"/>
      <c r="P12" s="263"/>
      <c r="Q12" s="263"/>
      <c r="R12" s="263"/>
      <c r="S12" s="263"/>
      <c r="T12" s="263"/>
      <c r="U12" s="263"/>
      <c r="V12" s="263"/>
      <c r="W12" s="263"/>
      <c r="X12" s="263"/>
      <c r="Y12" s="263"/>
      <c r="Z12" s="263"/>
      <c r="AA12" s="263"/>
      <c r="AB12" s="263"/>
      <c r="AC12" s="10"/>
      <c r="AD12" s="10"/>
    </row>
    <row r="13" customFormat="false" ht="3" hidden="false" customHeight="true" outlineLevel="0" collapsed="false">
      <c r="A13" s="10"/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</row>
    <row r="14" customFormat="false" ht="18" hidden="false" customHeight="true" outlineLevel="0" collapsed="false">
      <c r="A14" s="10"/>
      <c r="B14" s="258" t="s">
        <v>482</v>
      </c>
      <c r="C14" s="259" t="n">
        <v>772</v>
      </c>
      <c r="D14" s="266" t="str">
        <f aca="false">IFERROR(INDEX('Input Data'!D:D,MATCH("11.01",'Input Data'!C:C,0)),"—")</f>
        <v>Luxasia</v>
      </c>
      <c r="E14" s="266"/>
      <c r="F14" s="266"/>
      <c r="G14" s="266"/>
      <c r="H14" s="266"/>
      <c r="I14" s="266"/>
      <c r="J14" s="266"/>
      <c r="K14" s="266"/>
      <c r="L14" s="267" t="str">
        <f aca="false">IFERROR(INDEX('Input Data'!D:D,MATCH("11.02",'Input Data'!C:C,0)),"—")</f>
        <v>Haskoning Australia Pty Ltd</v>
      </c>
      <c r="M14" s="267"/>
      <c r="N14" s="267"/>
      <c r="O14" s="267"/>
      <c r="P14" s="267"/>
      <c r="Q14" s="267"/>
      <c r="R14" s="267"/>
      <c r="S14" s="267"/>
      <c r="T14" s="267"/>
      <c r="U14" s="267"/>
      <c r="V14" s="267"/>
      <c r="W14" s="267"/>
      <c r="X14" s="267"/>
      <c r="Y14" s="267"/>
      <c r="Z14" s="267"/>
      <c r="AA14" s="267"/>
      <c r="AB14" s="267"/>
      <c r="AC14" s="10"/>
      <c r="AD14" s="10"/>
    </row>
    <row r="15" customFormat="false" ht="13.5" hidden="false" customHeight="true" outlineLevel="0" collapsed="false">
      <c r="A15" s="10"/>
      <c r="B15" s="258"/>
      <c r="C15" s="258"/>
      <c r="D15" s="268" t="str">
        <f aca="false">IFERROR("11.01 — "&amp;INDEX('Input Data'!B:B,MATCH("11.01",'Input Data'!C:C,0)),"—")</f>
        <v>11.01 — L11</v>
      </c>
      <c r="E15" s="268"/>
      <c r="F15" s="268"/>
      <c r="G15" s="268"/>
      <c r="H15" s="268"/>
      <c r="I15" s="268"/>
      <c r="J15" s="268"/>
      <c r="K15" s="268"/>
      <c r="L15" s="269" t="str">
        <f aca="false">IFERROR("11.02 — "&amp;INDEX('Input Data'!B:B,MATCH("11.02",'Input Data'!C:C,0)),"—")</f>
        <v>11.02 — L11</v>
      </c>
      <c r="M15" s="269"/>
      <c r="N15" s="269"/>
      <c r="O15" s="269"/>
      <c r="P15" s="269"/>
      <c r="Q15" s="269"/>
      <c r="R15" s="269"/>
      <c r="S15" s="269"/>
      <c r="T15" s="269"/>
      <c r="U15" s="269"/>
      <c r="V15" s="269"/>
      <c r="W15" s="269"/>
      <c r="X15" s="269"/>
      <c r="Y15" s="269"/>
      <c r="Z15" s="269"/>
      <c r="AA15" s="269"/>
      <c r="AB15" s="269"/>
      <c r="AC15" s="10"/>
      <c r="AD15" s="10"/>
    </row>
    <row r="16" customFormat="false" ht="13.5" hidden="false" customHeight="true" outlineLevel="0" collapsed="false">
      <c r="A16" s="10"/>
      <c r="B16" s="258"/>
      <c r="C16" s="258"/>
      <c r="D16" s="268" t="str">
        <f aca="false">IFERROR(TEXT(INDEX('Input Data'!F:F,MATCH("11.01",'Input Data'!C:C,0)),"#,##0.0")&amp;" sqm","—")</f>
        <v>242.5 sqm</v>
      </c>
      <c r="E16" s="268"/>
      <c r="F16" s="268"/>
      <c r="G16" s="268"/>
      <c r="H16" s="268"/>
      <c r="I16" s="268"/>
      <c r="J16" s="268"/>
      <c r="K16" s="268"/>
      <c r="L16" s="269" t="str">
        <f aca="false">IFERROR(TEXT(INDEX('Input Data'!F:F,MATCH("11.02",'Input Data'!C:C,0)),"#,##0.0")&amp;" sqm","—")</f>
        <v>548.0 sqm</v>
      </c>
      <c r="M16" s="269"/>
      <c r="N16" s="269"/>
      <c r="O16" s="269"/>
      <c r="P16" s="269"/>
      <c r="Q16" s="269"/>
      <c r="R16" s="269"/>
      <c r="S16" s="269"/>
      <c r="T16" s="269"/>
      <c r="U16" s="269"/>
      <c r="V16" s="269"/>
      <c r="W16" s="269"/>
      <c r="X16" s="269"/>
      <c r="Y16" s="269"/>
      <c r="Z16" s="269"/>
      <c r="AA16" s="269"/>
      <c r="AB16" s="269"/>
      <c r="AC16" s="10"/>
      <c r="AD16" s="10"/>
    </row>
    <row r="17" customFormat="false" ht="13.5" hidden="false" customHeight="true" outlineLevel="0" collapsed="false">
      <c r="A17" s="10"/>
      <c r="B17" s="258"/>
      <c r="C17" s="258"/>
      <c r="D17" s="270" t="str">
        <f aca="false">IFERROR(IF(INDEX('Input Data'!D:D,MATCH("11.01",'Input Data'!C:C,0))="VACANT","","Face $"&amp;TEXT(INDEX('Input Data'!J:J,MATCH("11.01",'Input Data'!C:C,0)),"#,##0")&amp;" | Net $"&amp;TEXT(INDEX('Input Data'!Q:Q,MATCH("11.01",'Input Data'!C:C,0)),"#,##0 pa")),"—")</f>
        <v>Face $1,060 | Net $266,750 pa</v>
      </c>
      <c r="E17" s="270"/>
      <c r="F17" s="270"/>
      <c r="G17" s="270"/>
      <c r="H17" s="270"/>
      <c r="I17" s="270"/>
      <c r="J17" s="270"/>
      <c r="K17" s="270"/>
      <c r="L17" s="271" t="str">
        <f aca="false">IFERROR("Face $"&amp;TEXT(INDEX('Input Data'!J:J,MATCH("11.02",'Input Data'!C:C,0)),"#,##0")&amp;" | Net $"&amp;TEXT(INDEX('Input Data'!Q:Q,MATCH("11.02",'Input Data'!C:C,0)),"#,##0 pa"),"—")</f>
        <v>Face $1,040 | Net $-101,152 pa</v>
      </c>
      <c r="M17" s="271"/>
      <c r="N17" s="271"/>
      <c r="O17" s="271"/>
      <c r="P17" s="271"/>
      <c r="Q17" s="271"/>
      <c r="R17" s="271"/>
      <c r="S17" s="271"/>
      <c r="T17" s="271"/>
      <c r="U17" s="271"/>
      <c r="V17" s="271"/>
      <c r="W17" s="271"/>
      <c r="X17" s="271"/>
      <c r="Y17" s="271"/>
      <c r="Z17" s="271"/>
      <c r="AA17" s="271"/>
      <c r="AB17" s="271"/>
      <c r="AC17" s="10"/>
      <c r="AD17" s="10"/>
    </row>
    <row r="18" customFormat="false" ht="13.5" hidden="false" customHeight="true" outlineLevel="0" collapsed="false">
      <c r="A18" s="10"/>
      <c r="B18" s="258"/>
      <c r="C18" s="258"/>
      <c r="D18" s="270" t="str">
        <f aca="false">IFERROR(IF(INDEX('Input Data'!D:D,MATCH("11.01",'Input Data'!C:C,0))="VACANT","","Outg $"&amp;TEXT(INDEX('Input Data'!M:M,MATCH("11.01",'Input Data'!C:C,0)),"#,##0")&amp;" | Rev: "&amp;INDEX('Input Data'!S:S,MATCH("11.01",'Input Data'!C:C,0))),"—")</f>
        <v>Outg $9,729 | Rev: FIXED 3.75%</v>
      </c>
      <c r="E18" s="270"/>
      <c r="F18" s="270"/>
      <c r="G18" s="270"/>
      <c r="H18" s="270"/>
      <c r="I18" s="270"/>
      <c r="J18" s="270"/>
      <c r="K18" s="270"/>
      <c r="L18" s="271" t="str">
        <f aca="false">IFERROR("Outg $"&amp;TEXT(INDEX('Input Data'!M:M,MATCH("11.02",'Input Data'!C:C,0)),"#,##0")&amp;" | Rev: "&amp;INDEX('Input Data'!S:S,MATCH("11.02",'Input Data'!C:C,0)),"—")</f>
        <v>Outg $0 | Rev: FIXED 3.5%</v>
      </c>
      <c r="M18" s="271"/>
      <c r="N18" s="271"/>
      <c r="O18" s="271"/>
      <c r="P18" s="271"/>
      <c r="Q18" s="271"/>
      <c r="R18" s="271"/>
      <c r="S18" s="271"/>
      <c r="T18" s="271"/>
      <c r="U18" s="271"/>
      <c r="V18" s="271"/>
      <c r="W18" s="271"/>
      <c r="X18" s="271"/>
      <c r="Y18" s="271"/>
      <c r="Z18" s="271"/>
      <c r="AA18" s="271"/>
      <c r="AB18" s="271"/>
      <c r="AC18" s="10"/>
      <c r="AD18" s="10"/>
    </row>
    <row r="19" customFormat="false" ht="13.5" hidden="false" customHeight="true" outlineLevel="0" collapsed="false">
      <c r="A19" s="10"/>
      <c r="B19" s="258"/>
      <c r="C19" s="258"/>
      <c r="D19" s="268" t="str">
        <f aca="false">IFERROR(IF(INDEX('Input Data'!D:D,MATCH("11.01",'Input Data'!C:C,0))="VACANT","⬤ AVAILABLE NOW","Exp: "&amp;TEXT(INDEX('Input Data'!H:H,MATCH("11.01",'Input Data'!C:C,0)),"MMM-YY")&amp;" ("&amp;TEXT(INDEX('Input Data'!V:V,MATCH("11.01",'Input Data'!C:C,0)),"0.0")&amp;" yrs)"),"—")</f>
        <v>Exp: Sep-31 (5.0 yrs)</v>
      </c>
      <c r="E19" s="268"/>
      <c r="F19" s="268"/>
      <c r="G19" s="268"/>
      <c r="H19" s="268"/>
      <c r="I19" s="268"/>
      <c r="J19" s="268"/>
      <c r="K19" s="268"/>
      <c r="L19" s="269" t="str">
        <f aca="false">IFERROR("Exp: "&amp;TEXT(INDEX('Input Data'!H:H,MATCH("11.02",'Input Data'!C:C,0)),"MMM-YY")&amp;" ("&amp;TEXT(INDEX('Input Data'!V:V,MATCH("11.02",'Input Data'!C:C,0)),"0.0")&amp;" yrs)","—")</f>
        <v>Exp: Sep-35 (9.0 yrs)</v>
      </c>
      <c r="M19" s="269"/>
      <c r="N19" s="269"/>
      <c r="O19" s="269"/>
      <c r="P19" s="269"/>
      <c r="Q19" s="269"/>
      <c r="R19" s="269"/>
      <c r="S19" s="269"/>
      <c r="T19" s="269"/>
      <c r="U19" s="269"/>
      <c r="V19" s="269"/>
      <c r="W19" s="269"/>
      <c r="X19" s="269"/>
      <c r="Y19" s="269"/>
      <c r="Z19" s="269"/>
      <c r="AA19" s="269"/>
      <c r="AB19" s="269"/>
      <c r="AC19" s="10"/>
      <c r="AD19" s="10"/>
    </row>
    <row r="20" customFormat="false" ht="13.5" hidden="false" customHeight="true" outlineLevel="0" collapsed="false">
      <c r="A20" s="10"/>
      <c r="B20" s="258"/>
      <c r="C20" s="258"/>
      <c r="D20" s="272" t="str">
        <f aca="false">IFERROR(IF(INDEX('Input Data'!D:D,MATCH("11.01",'Input Data'!C:C,0))="VACANT","",TEXT(INDEX('Input Data'!V:V,MATCH("11.01",'Input Data'!C:C,0)),"0.0")&amp;" yrs remaining"),"—")</f>
        <v>5.0 yrs remaining</v>
      </c>
      <c r="E20" s="272"/>
      <c r="F20" s="272"/>
      <c r="G20" s="272"/>
      <c r="H20" s="272"/>
      <c r="I20" s="272"/>
      <c r="J20" s="272"/>
      <c r="K20" s="272"/>
      <c r="L20" s="269" t="str">
        <f aca="false">IFERROR(TEXT(INDEX('Input Data'!V:V,MATCH("11.02",'Input Data'!C:C,0)),"0.0")&amp;" yrs remaining","—")</f>
        <v>9.0 yrs remaining</v>
      </c>
      <c r="M20" s="269"/>
      <c r="N20" s="269"/>
      <c r="O20" s="269"/>
      <c r="P20" s="269"/>
      <c r="Q20" s="269"/>
      <c r="R20" s="269"/>
      <c r="S20" s="269"/>
      <c r="T20" s="269"/>
      <c r="U20" s="269"/>
      <c r="V20" s="269"/>
      <c r="W20" s="269"/>
      <c r="X20" s="269"/>
      <c r="Y20" s="269"/>
      <c r="Z20" s="269"/>
      <c r="AA20" s="269"/>
      <c r="AB20" s="269"/>
      <c r="AC20" s="10"/>
      <c r="AD20" s="10"/>
    </row>
    <row r="21" customFormat="false" ht="3.75" hidden="false" customHeight="true" outlineLevel="0" collapsed="false">
      <c r="A21" s="10"/>
      <c r="B21" s="258"/>
      <c r="C21" s="258"/>
      <c r="D21" s="268"/>
      <c r="E21" s="268"/>
      <c r="F21" s="268"/>
      <c r="G21" s="268"/>
      <c r="H21" s="268"/>
      <c r="I21" s="268"/>
      <c r="J21" s="268"/>
      <c r="K21" s="268"/>
      <c r="L21" s="268"/>
      <c r="M21" s="268"/>
      <c r="N21" s="268"/>
      <c r="O21" s="268"/>
      <c r="P21" s="268"/>
      <c r="Q21" s="268"/>
      <c r="R21" s="268"/>
      <c r="S21" s="268"/>
      <c r="T21" s="268"/>
      <c r="U21" s="268"/>
      <c r="V21" s="268"/>
      <c r="W21" s="268"/>
      <c r="X21" s="268"/>
      <c r="Y21" s="268"/>
      <c r="Z21" s="268"/>
      <c r="AA21" s="268"/>
      <c r="AB21" s="268"/>
      <c r="AC21" s="10"/>
      <c r="AD21" s="10"/>
    </row>
    <row r="22" customFormat="false" ht="3" hidden="false" customHeight="true" outlineLevel="0" collapsed="false">
      <c r="A22" s="10"/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</row>
    <row r="23" customFormat="false" ht="18" hidden="false" customHeight="true" outlineLevel="0" collapsed="false">
      <c r="A23" s="10"/>
      <c r="B23" s="258" t="s">
        <v>483</v>
      </c>
      <c r="C23" s="259" t="n">
        <v>787</v>
      </c>
      <c r="D23" s="266" t="s">
        <v>216</v>
      </c>
      <c r="E23" s="266"/>
      <c r="F23" s="266"/>
      <c r="G23" s="266"/>
      <c r="H23" s="266"/>
      <c r="I23" s="266"/>
      <c r="J23" s="266"/>
      <c r="K23" s="266"/>
      <c r="L23" s="266"/>
      <c r="M23" s="266"/>
      <c r="N23" s="266"/>
      <c r="O23" s="266"/>
      <c r="P23" s="266"/>
      <c r="Q23" s="266"/>
      <c r="R23" s="266" t="s">
        <v>216</v>
      </c>
      <c r="S23" s="266"/>
      <c r="T23" s="266"/>
      <c r="U23" s="266"/>
      <c r="V23" s="266"/>
      <c r="W23" s="266"/>
      <c r="X23" s="266"/>
      <c r="Y23" s="266"/>
      <c r="Z23" s="266"/>
      <c r="AA23" s="266"/>
      <c r="AB23" s="266"/>
      <c r="AC23" s="10"/>
      <c r="AD23" s="10"/>
    </row>
    <row r="24" customFormat="false" ht="13.5" hidden="false" customHeight="true" outlineLevel="0" collapsed="false">
      <c r="A24" s="10"/>
      <c r="B24" s="258"/>
      <c r="C24" s="258"/>
      <c r="D24" s="268" t="s">
        <v>484</v>
      </c>
      <c r="E24" s="268"/>
      <c r="F24" s="268"/>
      <c r="G24" s="268"/>
      <c r="H24" s="268"/>
      <c r="I24" s="268"/>
      <c r="J24" s="268"/>
      <c r="K24" s="268"/>
      <c r="L24" s="268"/>
      <c r="M24" s="268"/>
      <c r="N24" s="268"/>
      <c r="O24" s="268"/>
      <c r="P24" s="268"/>
      <c r="Q24" s="268"/>
      <c r="R24" s="268" t="s">
        <v>485</v>
      </c>
      <c r="S24" s="268"/>
      <c r="T24" s="268"/>
      <c r="U24" s="268"/>
      <c r="V24" s="268"/>
      <c r="W24" s="268"/>
      <c r="X24" s="268"/>
      <c r="Y24" s="268"/>
      <c r="Z24" s="268"/>
      <c r="AA24" s="268"/>
      <c r="AB24" s="268"/>
      <c r="AC24" s="10"/>
      <c r="AD24" s="10"/>
    </row>
    <row r="25" customFormat="false" ht="13.5" hidden="false" customHeight="true" outlineLevel="0" collapsed="false">
      <c r="A25" s="10"/>
      <c r="B25" s="258"/>
      <c r="C25" s="258"/>
      <c r="D25" s="268"/>
      <c r="E25" s="268"/>
      <c r="F25" s="268"/>
      <c r="G25" s="268"/>
      <c r="H25" s="268"/>
      <c r="I25" s="268"/>
      <c r="J25" s="268"/>
      <c r="K25" s="268"/>
      <c r="L25" s="268"/>
      <c r="M25" s="268"/>
      <c r="N25" s="268"/>
      <c r="O25" s="268"/>
      <c r="P25" s="268"/>
      <c r="Q25" s="268"/>
      <c r="R25" s="268"/>
      <c r="S25" s="268"/>
      <c r="T25" s="268"/>
      <c r="U25" s="268"/>
      <c r="V25" s="268"/>
      <c r="W25" s="268"/>
      <c r="X25" s="268"/>
      <c r="Y25" s="268"/>
      <c r="Z25" s="268"/>
      <c r="AA25" s="268"/>
      <c r="AB25" s="268"/>
      <c r="AC25" s="10"/>
      <c r="AD25" s="10"/>
    </row>
    <row r="26" customFormat="false" ht="13.5" hidden="false" customHeight="true" outlineLevel="0" collapsed="false">
      <c r="A26" s="10"/>
      <c r="B26" s="258"/>
      <c r="C26" s="258"/>
      <c r="D26" s="270"/>
      <c r="E26" s="270"/>
      <c r="F26" s="270"/>
      <c r="G26" s="270"/>
      <c r="H26" s="270"/>
      <c r="I26" s="270"/>
      <c r="J26" s="270"/>
      <c r="K26" s="270"/>
      <c r="L26" s="270"/>
      <c r="M26" s="270"/>
      <c r="N26" s="270"/>
      <c r="O26" s="270"/>
      <c r="P26" s="270"/>
      <c r="Q26" s="270"/>
      <c r="R26" s="270"/>
      <c r="S26" s="270"/>
      <c r="T26" s="270"/>
      <c r="U26" s="270"/>
      <c r="V26" s="270"/>
      <c r="W26" s="270"/>
      <c r="X26" s="270"/>
      <c r="Y26" s="270"/>
      <c r="Z26" s="270"/>
      <c r="AA26" s="270"/>
      <c r="AB26" s="270"/>
      <c r="AC26" s="10"/>
      <c r="AD26" s="10"/>
    </row>
    <row r="27" customFormat="false" ht="13.5" hidden="false" customHeight="true" outlineLevel="0" collapsed="false">
      <c r="A27" s="10"/>
      <c r="B27" s="258"/>
      <c r="C27" s="258"/>
      <c r="D27" s="270"/>
      <c r="E27" s="270"/>
      <c r="F27" s="270"/>
      <c r="G27" s="270"/>
      <c r="H27" s="270"/>
      <c r="I27" s="270"/>
      <c r="J27" s="270"/>
      <c r="K27" s="270"/>
      <c r="L27" s="270"/>
      <c r="M27" s="270"/>
      <c r="N27" s="270"/>
      <c r="O27" s="270"/>
      <c r="P27" s="270"/>
      <c r="Q27" s="270"/>
      <c r="R27" s="270"/>
      <c r="S27" s="270"/>
      <c r="T27" s="270"/>
      <c r="U27" s="270"/>
      <c r="V27" s="270"/>
      <c r="W27" s="270"/>
      <c r="X27" s="270"/>
      <c r="Y27" s="270"/>
      <c r="Z27" s="270"/>
      <c r="AA27" s="270"/>
      <c r="AB27" s="270"/>
      <c r="AC27" s="10"/>
      <c r="AD27" s="10"/>
    </row>
    <row r="28" customFormat="false" ht="13.5" hidden="false" customHeight="true" outlineLevel="0" collapsed="false">
      <c r="A28" s="10"/>
      <c r="B28" s="258"/>
      <c r="C28" s="258"/>
      <c r="D28" s="268"/>
      <c r="E28" s="268"/>
      <c r="F28" s="268"/>
      <c r="G28" s="268"/>
      <c r="H28" s="268"/>
      <c r="I28" s="268"/>
      <c r="J28" s="268"/>
      <c r="K28" s="268"/>
      <c r="L28" s="268"/>
      <c r="M28" s="268"/>
      <c r="N28" s="268"/>
      <c r="O28" s="268"/>
      <c r="P28" s="268"/>
      <c r="Q28" s="268"/>
      <c r="R28" s="268"/>
      <c r="S28" s="268"/>
      <c r="T28" s="268"/>
      <c r="U28" s="268"/>
      <c r="V28" s="268"/>
      <c r="W28" s="268"/>
      <c r="X28" s="268"/>
      <c r="Y28" s="268"/>
      <c r="Z28" s="268"/>
      <c r="AA28" s="268"/>
      <c r="AB28" s="268"/>
      <c r="AC28" s="10"/>
      <c r="AD28" s="10"/>
    </row>
    <row r="29" customFormat="false" ht="13.5" hidden="false" customHeight="true" outlineLevel="0" collapsed="false">
      <c r="A29" s="10"/>
      <c r="B29" s="258"/>
      <c r="C29" s="258"/>
      <c r="D29" s="272" t="s">
        <v>486</v>
      </c>
      <c r="E29" s="272"/>
      <c r="F29" s="272"/>
      <c r="G29" s="272"/>
      <c r="H29" s="272"/>
      <c r="I29" s="272"/>
      <c r="J29" s="272"/>
      <c r="K29" s="272"/>
      <c r="L29" s="272"/>
      <c r="M29" s="272"/>
      <c r="N29" s="272"/>
      <c r="O29" s="272"/>
      <c r="P29" s="272"/>
      <c r="Q29" s="272"/>
      <c r="R29" s="272" t="s">
        <v>486</v>
      </c>
      <c r="S29" s="272"/>
      <c r="T29" s="272"/>
      <c r="U29" s="272"/>
      <c r="V29" s="272"/>
      <c r="W29" s="272"/>
      <c r="X29" s="272"/>
      <c r="Y29" s="272"/>
      <c r="Z29" s="272"/>
      <c r="AA29" s="272"/>
      <c r="AB29" s="272"/>
      <c r="AC29" s="10"/>
      <c r="AD29" s="10"/>
    </row>
    <row r="30" customFormat="false" ht="3.75" hidden="false" customHeight="true" outlineLevel="0" collapsed="false">
      <c r="A30" s="10"/>
      <c r="B30" s="258"/>
      <c r="C30" s="258"/>
      <c r="D30" s="268"/>
      <c r="E30" s="268"/>
      <c r="F30" s="268"/>
      <c r="G30" s="268"/>
      <c r="H30" s="268"/>
      <c r="I30" s="268"/>
      <c r="J30" s="268"/>
      <c r="K30" s="268"/>
      <c r="L30" s="268"/>
      <c r="M30" s="268"/>
      <c r="N30" s="268"/>
      <c r="O30" s="268"/>
      <c r="P30" s="268"/>
      <c r="Q30" s="268"/>
      <c r="R30" s="268"/>
      <c r="S30" s="268"/>
      <c r="T30" s="268"/>
      <c r="U30" s="268"/>
      <c r="V30" s="268"/>
      <c r="W30" s="268"/>
      <c r="X30" s="268"/>
      <c r="Y30" s="268"/>
      <c r="Z30" s="268"/>
      <c r="AA30" s="268"/>
      <c r="AB30" s="268"/>
      <c r="AC30" s="10"/>
      <c r="AD30" s="10"/>
    </row>
    <row r="31" customFormat="false" ht="3" hidden="false" customHeight="true" outlineLevel="0" collapsed="false">
      <c r="A31" s="10"/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</row>
    <row r="32" customFormat="false" ht="18" hidden="false" customHeight="true" outlineLevel="0" collapsed="false">
      <c r="A32" s="10"/>
      <c r="B32" s="258" t="s">
        <v>487</v>
      </c>
      <c r="C32" s="259" t="n">
        <v>797.8</v>
      </c>
      <c r="D32" s="273" t="str">
        <f aca="false">IFERROR(INDEX('Input Data'!D:D,MATCH("9.01",'Input Data'!C:C,0)),"—")</f>
        <v>Pitt &amp; Sherry (Operations) Pty Ltd</v>
      </c>
      <c r="E32" s="273"/>
      <c r="F32" s="273"/>
      <c r="G32" s="273"/>
      <c r="H32" s="273"/>
      <c r="I32" s="273"/>
      <c r="J32" s="273"/>
      <c r="K32" s="273"/>
      <c r="L32" s="273"/>
      <c r="M32" s="273"/>
      <c r="N32" s="273"/>
      <c r="O32" s="273"/>
      <c r="P32" s="273"/>
      <c r="Q32" s="273"/>
      <c r="R32" s="261" t="str">
        <f aca="false">IFERROR(INDEX('Input Data'!D:D,MATCH("9.02",'Input Data'!C:C,0)),"—")</f>
        <v>Smile Partners Australia</v>
      </c>
      <c r="S32" s="261"/>
      <c r="T32" s="261"/>
      <c r="U32" s="261"/>
      <c r="V32" s="261"/>
      <c r="W32" s="261"/>
      <c r="X32" s="261"/>
      <c r="Y32" s="261"/>
      <c r="Z32" s="261"/>
      <c r="AA32" s="261"/>
      <c r="AB32" s="261"/>
      <c r="AC32" s="10"/>
      <c r="AD32" s="10"/>
    </row>
    <row r="33" customFormat="false" ht="13.5" hidden="false" customHeight="true" outlineLevel="0" collapsed="false">
      <c r="A33" s="10"/>
      <c r="B33" s="258"/>
      <c r="C33" s="258"/>
      <c r="D33" s="274" t="str">
        <f aca="false">IFERROR("9.01 — "&amp;INDEX('Input Data'!B:B,MATCH("9.01",'Input Data'!C:C,0)),"—")</f>
        <v>9.01 — L09</v>
      </c>
      <c r="E33" s="274"/>
      <c r="F33" s="274"/>
      <c r="G33" s="274"/>
      <c r="H33" s="274"/>
      <c r="I33" s="274"/>
      <c r="J33" s="274"/>
      <c r="K33" s="274"/>
      <c r="L33" s="274"/>
      <c r="M33" s="274"/>
      <c r="N33" s="274"/>
      <c r="O33" s="274"/>
      <c r="P33" s="274"/>
      <c r="Q33" s="274"/>
      <c r="R33" s="263" t="str">
        <f aca="false">IFERROR("9.02 — "&amp;INDEX('Input Data'!B:B,MATCH("9.02",'Input Data'!C:C,0)),"—")</f>
        <v>9.02 — L09</v>
      </c>
      <c r="S33" s="263"/>
      <c r="T33" s="263"/>
      <c r="U33" s="263"/>
      <c r="V33" s="263"/>
      <c r="W33" s="263"/>
      <c r="X33" s="263"/>
      <c r="Y33" s="263"/>
      <c r="Z33" s="263"/>
      <c r="AA33" s="263"/>
      <c r="AB33" s="263"/>
      <c r="AC33" s="10"/>
      <c r="AD33" s="10"/>
    </row>
    <row r="34" customFormat="false" ht="13.5" hidden="false" customHeight="true" outlineLevel="0" collapsed="false">
      <c r="A34" s="10"/>
      <c r="B34" s="258"/>
      <c r="C34" s="258"/>
      <c r="D34" s="274" t="str">
        <f aca="false">IFERROR(TEXT(INDEX('Input Data'!F:F,MATCH("9.01",'Input Data'!C:C,0)),"#,##0.0")&amp;" sqm","—")</f>
        <v>453.3 sqm</v>
      </c>
      <c r="E34" s="274"/>
      <c r="F34" s="274"/>
      <c r="G34" s="274"/>
      <c r="H34" s="274"/>
      <c r="I34" s="274"/>
      <c r="J34" s="274"/>
      <c r="K34" s="274"/>
      <c r="L34" s="274"/>
      <c r="M34" s="274"/>
      <c r="N34" s="274"/>
      <c r="O34" s="274"/>
      <c r="P34" s="274"/>
      <c r="Q34" s="274"/>
      <c r="R34" s="263" t="str">
        <f aca="false">IFERROR(TEXT(INDEX('Input Data'!F:F,MATCH("9.02",'Input Data'!C:C,0)),"#,##0.0")&amp;" sqm","—")</f>
        <v>344.5 sqm</v>
      </c>
      <c r="S34" s="263"/>
      <c r="T34" s="263"/>
      <c r="U34" s="263"/>
      <c r="V34" s="263"/>
      <c r="W34" s="263"/>
      <c r="X34" s="263"/>
      <c r="Y34" s="263"/>
      <c r="Z34" s="263"/>
      <c r="AA34" s="263"/>
      <c r="AB34" s="263"/>
      <c r="AC34" s="10"/>
      <c r="AD34" s="10"/>
    </row>
    <row r="35" customFormat="false" ht="13.5" hidden="false" customHeight="true" outlineLevel="0" collapsed="false">
      <c r="A35" s="10"/>
      <c r="B35" s="258"/>
      <c r="C35" s="258"/>
      <c r="D35" s="275" t="str">
        <f aca="false">IFERROR("Face $"&amp;TEXT(INDEX('Input Data'!J:J,MATCH("9.01",'Input Data'!C:C,0)),"#,##0")&amp;" | Net $"&amp;TEXT(INDEX('Input Data'!Q:Q,MATCH("9.01",'Input Data'!C:C,0)),"#,##0 pa"),"—")</f>
        <v>Face $1,066 | Net $403,785 pa</v>
      </c>
      <c r="E35" s="275"/>
      <c r="F35" s="275"/>
      <c r="G35" s="275"/>
      <c r="H35" s="275"/>
      <c r="I35" s="275"/>
      <c r="J35" s="275"/>
      <c r="K35" s="275"/>
      <c r="L35" s="275"/>
      <c r="M35" s="275"/>
      <c r="N35" s="275"/>
      <c r="O35" s="275"/>
      <c r="P35" s="275"/>
      <c r="Q35" s="275"/>
      <c r="R35" s="265" t="str">
        <f aca="false">IFERROR("Face $"&amp;TEXT(INDEX('Input Data'!J:J,MATCH("9.02",'Input Data'!C:C,0)),"#,##0")&amp;" | Net $"&amp;TEXT(INDEX('Input Data'!Q:Q,MATCH("9.02",'Input Data'!C:C,0)),"#,##0 pa"),"—")</f>
        <v>Face $990 | Net $224,064 pa</v>
      </c>
      <c r="S35" s="265"/>
      <c r="T35" s="265"/>
      <c r="U35" s="265"/>
      <c r="V35" s="265"/>
      <c r="W35" s="265"/>
      <c r="X35" s="265"/>
      <c r="Y35" s="265"/>
      <c r="Z35" s="265"/>
      <c r="AA35" s="265"/>
      <c r="AB35" s="265"/>
      <c r="AC35" s="10"/>
      <c r="AD35" s="10"/>
    </row>
    <row r="36" customFormat="false" ht="13.5" hidden="false" customHeight="true" outlineLevel="0" collapsed="false">
      <c r="A36" s="10"/>
      <c r="B36" s="258"/>
      <c r="C36" s="258"/>
      <c r="D36" s="275" t="str">
        <f aca="false">IFERROR("Outg $"&amp;TEXT(INDEX('Input Data'!M:M,MATCH("9.01",'Input Data'!C:C,0)),"#,##0")&amp;" | Rev: "&amp;INDEX('Input Data'!S:S,MATCH("9.01",'Input Data'!C:C,0)),"—")</f>
        <v>Outg $46,070 | Rev: FIXED 3.75%</v>
      </c>
      <c r="E36" s="275"/>
      <c r="F36" s="275"/>
      <c r="G36" s="275"/>
      <c r="H36" s="275"/>
      <c r="I36" s="275"/>
      <c r="J36" s="275"/>
      <c r="K36" s="275"/>
      <c r="L36" s="275"/>
      <c r="M36" s="275"/>
      <c r="N36" s="275"/>
      <c r="O36" s="275"/>
      <c r="P36" s="275"/>
      <c r="Q36" s="275"/>
      <c r="R36" s="265" t="str">
        <f aca="false">IFERROR("Outg $"&amp;TEXT(INDEX('Input Data'!M:M,MATCH("9.02",'Input Data'!C:C,0)),"#,##0")&amp;" | Rev: "&amp;INDEX('Input Data'!S:S,MATCH("9.02",'Input Data'!C:C,0)),"—")</f>
        <v>Outg $8,946 | Rev: FIXED 3.5%</v>
      </c>
      <c r="S36" s="265"/>
      <c r="T36" s="265"/>
      <c r="U36" s="265"/>
      <c r="V36" s="265"/>
      <c r="W36" s="265"/>
      <c r="X36" s="265"/>
      <c r="Y36" s="265"/>
      <c r="Z36" s="265"/>
      <c r="AA36" s="265"/>
      <c r="AB36" s="265"/>
      <c r="AC36" s="10"/>
      <c r="AD36" s="10"/>
    </row>
    <row r="37" customFormat="false" ht="13.5" hidden="false" customHeight="true" outlineLevel="0" collapsed="false">
      <c r="A37" s="10"/>
      <c r="B37" s="258"/>
      <c r="C37" s="258"/>
      <c r="D37" s="274" t="str">
        <f aca="false">IFERROR("Exp: "&amp;TEXT(INDEX('Input Data'!H:H,MATCH("9.01",'Input Data'!C:C,0)),"MMM-YY")&amp;" ("&amp;TEXT(INDEX('Input Data'!V:V,MATCH("9.01",'Input Data'!C:C,0)),"0.0")&amp;" yrs)","—")</f>
        <v>Exp: Jul-27 (0.8 yrs)</v>
      </c>
      <c r="E37" s="274"/>
      <c r="F37" s="274"/>
      <c r="G37" s="274"/>
      <c r="H37" s="274"/>
      <c r="I37" s="274"/>
      <c r="J37" s="274"/>
      <c r="K37" s="274"/>
      <c r="L37" s="274"/>
      <c r="M37" s="274"/>
      <c r="N37" s="274"/>
      <c r="O37" s="274"/>
      <c r="P37" s="274"/>
      <c r="Q37" s="274"/>
      <c r="R37" s="263" t="str">
        <f aca="false">IFERROR("Exp: "&amp;TEXT(INDEX('Input Data'!H:H,MATCH("9.02",'Input Data'!C:C,0)),"MMM-YY")&amp;" ("&amp;TEXT(INDEX('Input Data'!V:V,MATCH("9.02",'Input Data'!C:C,0)),"0.0")&amp;" yrs)","—")</f>
        <v>Exp: Dec-29 (3.2 yrs)</v>
      </c>
      <c r="S37" s="263"/>
      <c r="T37" s="263"/>
      <c r="U37" s="263"/>
      <c r="V37" s="263"/>
      <c r="W37" s="263"/>
      <c r="X37" s="263"/>
      <c r="Y37" s="263"/>
      <c r="Z37" s="263"/>
      <c r="AA37" s="263"/>
      <c r="AB37" s="263"/>
      <c r="AC37" s="10"/>
      <c r="AD37" s="10"/>
    </row>
    <row r="38" customFormat="false" ht="13.5" hidden="false" customHeight="true" outlineLevel="0" collapsed="false">
      <c r="A38" s="10"/>
      <c r="B38" s="258"/>
      <c r="C38" s="258"/>
      <c r="D38" s="274" t="str">
        <f aca="false">IFERROR(TEXT(INDEX('Input Data'!V:V,MATCH("9.01",'Input Data'!C:C,0)),"0.0")&amp;" yrs remaining","—")</f>
        <v>0.8 yrs remaining</v>
      </c>
      <c r="E38" s="274"/>
      <c r="F38" s="274"/>
      <c r="G38" s="274"/>
      <c r="H38" s="274"/>
      <c r="I38" s="274"/>
      <c r="J38" s="274"/>
      <c r="K38" s="274"/>
      <c r="L38" s="274"/>
      <c r="M38" s="274"/>
      <c r="N38" s="274"/>
      <c r="O38" s="274"/>
      <c r="P38" s="274"/>
      <c r="Q38" s="274"/>
      <c r="R38" s="263" t="str">
        <f aca="false">IFERROR(TEXT(INDEX('Input Data'!V:V,MATCH("9.02",'Input Data'!C:C,0)),"0.0")&amp;" yrs remaining","—")</f>
        <v>3.2 yrs remaining</v>
      </c>
      <c r="S38" s="263"/>
      <c r="T38" s="263"/>
      <c r="U38" s="263"/>
      <c r="V38" s="263"/>
      <c r="W38" s="263"/>
      <c r="X38" s="263"/>
      <c r="Y38" s="263"/>
      <c r="Z38" s="263"/>
      <c r="AA38" s="263"/>
      <c r="AB38" s="263"/>
      <c r="AC38" s="10"/>
      <c r="AD38" s="10"/>
    </row>
    <row r="39" customFormat="false" ht="3.75" hidden="false" customHeight="true" outlineLevel="0" collapsed="false">
      <c r="A39" s="10"/>
      <c r="B39" s="258"/>
      <c r="C39" s="258"/>
      <c r="D39" s="274"/>
      <c r="E39" s="274"/>
      <c r="F39" s="274"/>
      <c r="G39" s="274"/>
      <c r="H39" s="274"/>
      <c r="I39" s="274"/>
      <c r="J39" s="274"/>
      <c r="K39" s="274"/>
      <c r="L39" s="274"/>
      <c r="M39" s="274"/>
      <c r="N39" s="274"/>
      <c r="O39" s="274"/>
      <c r="P39" s="274"/>
      <c r="Q39" s="274"/>
      <c r="R39" s="262"/>
      <c r="S39" s="262"/>
      <c r="T39" s="262"/>
      <c r="U39" s="262"/>
      <c r="V39" s="262"/>
      <c r="W39" s="262"/>
      <c r="X39" s="262"/>
      <c r="Y39" s="262"/>
      <c r="Z39" s="262"/>
      <c r="AA39" s="262"/>
      <c r="AB39" s="262"/>
      <c r="AC39" s="10"/>
      <c r="AD39" s="10"/>
    </row>
    <row r="40" customFormat="false" ht="3" hidden="false" customHeight="true" outlineLevel="0" collapsed="false">
      <c r="A40" s="10"/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</row>
    <row r="41" customFormat="false" ht="18" hidden="false" customHeight="true" outlineLevel="0" collapsed="false">
      <c r="A41" s="10"/>
      <c r="B41" s="258" t="s">
        <v>488</v>
      </c>
      <c r="C41" s="259" t="n">
        <v>803</v>
      </c>
      <c r="D41" s="276" t="str">
        <f aca="false">IFERROR(INDEX('Input Data'!D:D,MATCH("8.01",'Input Data'!C:C,0)),"—")</f>
        <v>Vanderlande Industries Australia Pty Ltd</v>
      </c>
      <c r="E41" s="276"/>
      <c r="F41" s="276"/>
      <c r="G41" s="276"/>
      <c r="H41" s="276"/>
      <c r="I41" s="276"/>
      <c r="J41" s="276"/>
      <c r="K41" s="276"/>
      <c r="L41" s="276"/>
      <c r="M41" s="276"/>
      <c r="N41" s="276"/>
      <c r="O41" s="276"/>
      <c r="P41" s="276"/>
      <c r="Q41" s="276"/>
      <c r="R41" s="276"/>
      <c r="S41" s="276"/>
      <c r="T41" s="276"/>
      <c r="U41" s="276"/>
      <c r="V41" s="276"/>
      <c r="W41" s="276"/>
      <c r="X41" s="261" t="str">
        <f aca="false">IFERROR(INDEX('Input Data'!D:D,MATCH("8.03",'Input Data'!C:C,0)),"—")</f>
        <v>Can Too Foundation Limited</v>
      </c>
      <c r="Y41" s="261"/>
      <c r="Z41" s="261"/>
      <c r="AA41" s="261"/>
      <c r="AB41" s="261"/>
      <c r="AC41" s="10"/>
      <c r="AD41" s="10"/>
    </row>
    <row r="42" customFormat="false" ht="13.5" hidden="false" customHeight="true" outlineLevel="0" collapsed="false">
      <c r="A42" s="10"/>
      <c r="B42" s="258"/>
      <c r="C42" s="258"/>
      <c r="D42" s="277" t="str">
        <f aca="false">IFERROR("8.01 — "&amp;INDEX('Input Data'!B:B,MATCH("8.01",'Input Data'!C:C,0)),"—")</f>
        <v>8.01 — L08</v>
      </c>
      <c r="E42" s="277"/>
      <c r="F42" s="277"/>
      <c r="G42" s="277"/>
      <c r="H42" s="277"/>
      <c r="I42" s="277"/>
      <c r="J42" s="277"/>
      <c r="K42" s="277"/>
      <c r="L42" s="277"/>
      <c r="M42" s="277"/>
      <c r="N42" s="277"/>
      <c r="O42" s="277"/>
      <c r="P42" s="277"/>
      <c r="Q42" s="277"/>
      <c r="R42" s="277"/>
      <c r="S42" s="277"/>
      <c r="T42" s="277"/>
      <c r="U42" s="277"/>
      <c r="V42" s="277"/>
      <c r="W42" s="277"/>
      <c r="X42" s="263" t="str">
        <f aca="false">IFERROR("8.03 — "&amp;INDEX('Input Data'!B:B,MATCH("8.03",'Input Data'!C:C,0)),"—")</f>
        <v>8.03 — L08</v>
      </c>
      <c r="Y42" s="263"/>
      <c r="Z42" s="263"/>
      <c r="AA42" s="263"/>
      <c r="AB42" s="263"/>
      <c r="AC42" s="10"/>
      <c r="AD42" s="10"/>
    </row>
    <row r="43" customFormat="false" ht="13.5" hidden="false" customHeight="true" outlineLevel="0" collapsed="false">
      <c r="A43" s="10"/>
      <c r="B43" s="258"/>
      <c r="C43" s="258"/>
      <c r="D43" s="277" t="str">
        <f aca="false">IFERROR(TEXT(INDEX('Input Data'!F:F,MATCH("8.01",'Input Data'!C:C,0)),"#,##0.0")&amp;" sqm","—")</f>
        <v>686.7 sqm</v>
      </c>
      <c r="E43" s="277"/>
      <c r="F43" s="277"/>
      <c r="G43" s="277"/>
      <c r="H43" s="277"/>
      <c r="I43" s="277"/>
      <c r="J43" s="277"/>
      <c r="K43" s="277"/>
      <c r="L43" s="277"/>
      <c r="M43" s="277"/>
      <c r="N43" s="277"/>
      <c r="O43" s="277"/>
      <c r="P43" s="277"/>
      <c r="Q43" s="277"/>
      <c r="R43" s="277"/>
      <c r="S43" s="277"/>
      <c r="T43" s="277"/>
      <c r="U43" s="277"/>
      <c r="V43" s="277"/>
      <c r="W43" s="277"/>
      <c r="X43" s="263" t="str">
        <f aca="false">IFERROR(TEXT(INDEX('Input Data'!F:F,MATCH("8.03",'Input Data'!C:C,0)),"#,##0.0")&amp;" sqm","—")</f>
        <v>116.3 sqm</v>
      </c>
      <c r="Y43" s="263"/>
      <c r="Z43" s="263"/>
      <c r="AA43" s="263"/>
      <c r="AB43" s="263"/>
      <c r="AC43" s="10"/>
      <c r="AD43" s="10"/>
    </row>
    <row r="44" customFormat="false" ht="13.5" hidden="false" customHeight="true" outlineLevel="0" collapsed="false">
      <c r="A44" s="10"/>
      <c r="B44" s="258"/>
      <c r="C44" s="258"/>
      <c r="D44" s="278" t="str">
        <f aca="false">IFERROR("Face $"&amp;TEXT(INDEX('Input Data'!J:J,MATCH("8.01",'Input Data'!C:C,0)),"#,##0")&amp;" | Net $"&amp;TEXT(INDEX('Input Data'!Q:Q,MATCH("8.01",'Input Data'!C:C,0)),"#,##0 pa"),"—")</f>
        <v>Face $1,029 | Net $577,102 pa</v>
      </c>
      <c r="E44" s="278"/>
      <c r="F44" s="278"/>
      <c r="G44" s="278"/>
      <c r="H44" s="278"/>
      <c r="I44" s="278"/>
      <c r="J44" s="278"/>
      <c r="K44" s="278"/>
      <c r="L44" s="278"/>
      <c r="M44" s="278"/>
      <c r="N44" s="278"/>
      <c r="O44" s="278"/>
      <c r="P44" s="278"/>
      <c r="Q44" s="278"/>
      <c r="R44" s="278"/>
      <c r="S44" s="278"/>
      <c r="T44" s="278"/>
      <c r="U44" s="278"/>
      <c r="V44" s="278"/>
      <c r="W44" s="278"/>
      <c r="X44" s="265" t="str">
        <f aca="false">IFERROR("Face $"&amp;TEXT(INDEX('Input Data'!J:J,MATCH("8.03",'Input Data'!C:C,0)),"#,##0")&amp;" | Net $"&amp;TEXT(INDEX('Input Data'!Q:Q,MATCH("8.03",'Input Data'!C:C,0)),"#,##0 pa"),"—")</f>
        <v>Face $1,027 | Net $76,043 pa</v>
      </c>
      <c r="Y44" s="265"/>
      <c r="Z44" s="265"/>
      <c r="AA44" s="265"/>
      <c r="AB44" s="265"/>
      <c r="AC44" s="10"/>
      <c r="AD44" s="10"/>
    </row>
    <row r="45" customFormat="false" ht="13.5" hidden="false" customHeight="true" outlineLevel="0" collapsed="false">
      <c r="A45" s="10"/>
      <c r="B45" s="258"/>
      <c r="C45" s="258"/>
      <c r="D45" s="278" t="str">
        <f aca="false">IFERROR("Outg $"&amp;TEXT(INDEX('Input Data'!M:M,MATCH("8.01",'Input Data'!C:C,0)),"#,##0")&amp;" | Rev: "&amp;INDEX('Input Data'!S:S,MATCH("8.01",'Input Data'!C:C,0)),"—")</f>
        <v>Outg $78,860 | Rev: FIXED 4%</v>
      </c>
      <c r="E45" s="278"/>
      <c r="F45" s="278"/>
      <c r="G45" s="278"/>
      <c r="H45" s="278"/>
      <c r="I45" s="278"/>
      <c r="J45" s="278"/>
      <c r="K45" s="278"/>
      <c r="L45" s="278"/>
      <c r="M45" s="278"/>
      <c r="N45" s="278"/>
      <c r="O45" s="278"/>
      <c r="P45" s="278"/>
      <c r="Q45" s="278"/>
      <c r="R45" s="278"/>
      <c r="S45" s="278"/>
      <c r="T45" s="278"/>
      <c r="U45" s="278"/>
      <c r="V45" s="278"/>
      <c r="W45" s="278"/>
      <c r="X45" s="265" t="str">
        <f aca="false">IFERROR("Outg $"&amp;TEXT(INDEX('Input Data'!M:M,MATCH("8.03",'Input Data'!C:C,0)),"#,##0")&amp;" | Rev: "&amp;INDEX('Input Data'!S:S,MATCH("8.03",'Input Data'!C:C,0)),"—")</f>
        <v>Outg $3,020 | Rev: FIXED 3.75%</v>
      </c>
      <c r="Y45" s="265"/>
      <c r="Z45" s="265"/>
      <c r="AA45" s="265"/>
      <c r="AB45" s="265"/>
      <c r="AC45" s="10"/>
      <c r="AD45" s="10"/>
    </row>
    <row r="46" customFormat="false" ht="13.5" hidden="false" customHeight="true" outlineLevel="0" collapsed="false">
      <c r="A46" s="10"/>
      <c r="B46" s="258"/>
      <c r="C46" s="258"/>
      <c r="D46" s="277" t="str">
        <f aca="false">IFERROR("Exp: "&amp;TEXT(INDEX('Input Data'!H:H,MATCH("8.01",'Input Data'!C:C,0)),"MMM-YY")&amp;" ("&amp;TEXT(INDEX('Input Data'!V:V,MATCH("8.01",'Input Data'!C:C,0)),"0.0")&amp;" yrs)","—")</f>
        <v>Exp: Jun-28 (1.7 yrs)</v>
      </c>
      <c r="E46" s="277"/>
      <c r="F46" s="277"/>
      <c r="G46" s="277"/>
      <c r="H46" s="277"/>
      <c r="I46" s="277"/>
      <c r="J46" s="277"/>
      <c r="K46" s="277"/>
      <c r="L46" s="277"/>
      <c r="M46" s="277"/>
      <c r="N46" s="277"/>
      <c r="O46" s="277"/>
      <c r="P46" s="277"/>
      <c r="Q46" s="277"/>
      <c r="R46" s="277"/>
      <c r="S46" s="277"/>
      <c r="T46" s="277"/>
      <c r="U46" s="277"/>
      <c r="V46" s="277"/>
      <c r="W46" s="277"/>
      <c r="X46" s="263" t="str">
        <f aca="false">IFERROR("Exp: "&amp;TEXT(INDEX('Input Data'!H:H,MATCH("8.03",'Input Data'!C:C,0)),"MMM-YY")&amp;" ("&amp;TEXT(INDEX('Input Data'!V:V,MATCH("8.03",'Input Data'!C:C,0)),"0.0")&amp;" yrs)","—")</f>
        <v>Exp: Oct-30 (4.1 yrs)</v>
      </c>
      <c r="Y46" s="263"/>
      <c r="Z46" s="263"/>
      <c r="AA46" s="263"/>
      <c r="AB46" s="263"/>
      <c r="AC46" s="10"/>
      <c r="AD46" s="10"/>
    </row>
    <row r="47" customFormat="false" ht="13.5" hidden="false" customHeight="true" outlineLevel="0" collapsed="false">
      <c r="A47" s="10"/>
      <c r="B47" s="258"/>
      <c r="C47" s="258"/>
      <c r="D47" s="277" t="str">
        <f aca="false">IFERROR(TEXT(INDEX('Input Data'!V:V,MATCH("8.01",'Input Data'!C:C,0)),"0.0")&amp;" yrs remaining","—")</f>
        <v>1.7 yrs remaining</v>
      </c>
      <c r="E47" s="277"/>
      <c r="F47" s="277"/>
      <c r="G47" s="277"/>
      <c r="H47" s="277"/>
      <c r="I47" s="277"/>
      <c r="J47" s="277"/>
      <c r="K47" s="277"/>
      <c r="L47" s="277"/>
      <c r="M47" s="277"/>
      <c r="N47" s="277"/>
      <c r="O47" s="277"/>
      <c r="P47" s="277"/>
      <c r="Q47" s="277"/>
      <c r="R47" s="277"/>
      <c r="S47" s="277"/>
      <c r="T47" s="277"/>
      <c r="U47" s="277"/>
      <c r="V47" s="277"/>
      <c r="W47" s="277"/>
      <c r="X47" s="263" t="str">
        <f aca="false">IFERROR(TEXT(INDEX('Input Data'!V:V,MATCH("8.03",'Input Data'!C:C,0)),"0.0")&amp;" yrs remaining","—")</f>
        <v>4.1 yrs remaining</v>
      </c>
      <c r="Y47" s="263"/>
      <c r="Z47" s="263"/>
      <c r="AA47" s="263"/>
      <c r="AB47" s="263"/>
      <c r="AC47" s="10"/>
      <c r="AD47" s="10"/>
    </row>
    <row r="48" customFormat="false" ht="3.75" hidden="false" customHeight="true" outlineLevel="0" collapsed="false">
      <c r="A48" s="10"/>
      <c r="B48" s="258"/>
      <c r="C48" s="258"/>
      <c r="D48" s="277"/>
      <c r="E48" s="277"/>
      <c r="F48" s="277"/>
      <c r="G48" s="277"/>
      <c r="H48" s="277"/>
      <c r="I48" s="277"/>
      <c r="J48" s="277"/>
      <c r="K48" s="277"/>
      <c r="L48" s="277"/>
      <c r="M48" s="277"/>
      <c r="N48" s="277"/>
      <c r="O48" s="277"/>
      <c r="P48" s="277"/>
      <c r="Q48" s="277"/>
      <c r="R48" s="277"/>
      <c r="S48" s="277"/>
      <c r="T48" s="277"/>
      <c r="U48" s="277"/>
      <c r="V48" s="277"/>
      <c r="W48" s="277"/>
      <c r="X48" s="263"/>
      <c r="Y48" s="263"/>
      <c r="Z48" s="263"/>
      <c r="AA48" s="263"/>
      <c r="AB48" s="263"/>
      <c r="AC48" s="10"/>
      <c r="AD48" s="10"/>
    </row>
    <row r="49" customFormat="false" ht="3" hidden="false" customHeight="true" outlineLevel="0" collapsed="false">
      <c r="A49" s="10"/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</row>
    <row r="50" customFormat="false" ht="18" hidden="false" customHeight="true" outlineLevel="0" collapsed="false">
      <c r="A50" s="10"/>
      <c r="B50" s="258" t="s">
        <v>489</v>
      </c>
      <c r="C50" s="259" t="n">
        <v>849.6</v>
      </c>
      <c r="D50" s="260" t="str">
        <f aca="false">IFERROR(INDEX('Input Data'!D:D,MATCH("7.01",'Input Data'!C:C,0)),"—")</f>
        <v>Sungrow Australia Group</v>
      </c>
      <c r="E50" s="260"/>
      <c r="F50" s="260"/>
      <c r="G50" s="260"/>
      <c r="H50" s="260"/>
      <c r="I50" s="260"/>
      <c r="J50" s="260"/>
      <c r="K50" s="260"/>
      <c r="L50" s="260"/>
      <c r="M50" s="260"/>
      <c r="N50" s="260"/>
      <c r="O50" s="260"/>
      <c r="P50" s="260"/>
      <c r="Q50" s="260"/>
      <c r="R50" s="260" t="str">
        <f aca="false">IFERROR(INDEX('Input Data'!D:D,MATCH("7.02",'Input Data'!C:C,0)),"—")</f>
        <v>Sungrow Australia Group</v>
      </c>
      <c r="S50" s="260"/>
      <c r="T50" s="260"/>
      <c r="U50" s="260"/>
      <c r="V50" s="260"/>
      <c r="W50" s="260"/>
      <c r="X50" s="260"/>
      <c r="Y50" s="260"/>
      <c r="Z50" s="260"/>
      <c r="AA50" s="260"/>
      <c r="AB50" s="260"/>
      <c r="AC50" s="10"/>
      <c r="AD50" s="10"/>
    </row>
    <row r="51" customFormat="false" ht="13.5" hidden="false" customHeight="true" outlineLevel="0" collapsed="false">
      <c r="A51" s="10"/>
      <c r="B51" s="258"/>
      <c r="C51" s="258"/>
      <c r="D51" s="262" t="str">
        <f aca="false">IFERROR("7.01 — "&amp;INDEX('Input Data'!B:B,MATCH("7.01",'Input Data'!C:C,0)),"—")</f>
        <v>7.01 — L07</v>
      </c>
      <c r="E51" s="262"/>
      <c r="F51" s="262"/>
      <c r="G51" s="262"/>
      <c r="H51" s="262"/>
      <c r="I51" s="262"/>
      <c r="J51" s="262"/>
      <c r="K51" s="262"/>
      <c r="L51" s="262"/>
      <c r="M51" s="262"/>
      <c r="N51" s="262"/>
      <c r="O51" s="262"/>
      <c r="P51" s="262"/>
      <c r="Q51" s="262"/>
      <c r="R51" s="262" t="str">
        <f aca="false">IFERROR("7.02 — "&amp;INDEX('Input Data'!B:B,MATCH("7.02",'Input Data'!C:C,0)),"—")</f>
        <v>7.02 — L07</v>
      </c>
      <c r="S51" s="262"/>
      <c r="T51" s="262"/>
      <c r="U51" s="262"/>
      <c r="V51" s="262"/>
      <c r="W51" s="262"/>
      <c r="X51" s="262"/>
      <c r="Y51" s="262"/>
      <c r="Z51" s="262"/>
      <c r="AA51" s="262"/>
      <c r="AB51" s="262"/>
      <c r="AC51" s="10"/>
      <c r="AD51" s="10"/>
    </row>
    <row r="52" customFormat="false" ht="13.5" hidden="false" customHeight="true" outlineLevel="0" collapsed="false">
      <c r="A52" s="10"/>
      <c r="B52" s="258"/>
      <c r="C52" s="258"/>
      <c r="D52" s="262" t="str">
        <f aca="false">IFERROR(TEXT(INDEX('Input Data'!F:F,MATCH("7.01",'Input Data'!C:C,0)),"#,##0.0")&amp;" sqm","—")</f>
        <v>484.1 sqm</v>
      </c>
      <c r="E52" s="262"/>
      <c r="F52" s="262"/>
      <c r="G52" s="262"/>
      <c r="H52" s="262"/>
      <c r="I52" s="262"/>
      <c r="J52" s="262"/>
      <c r="K52" s="262"/>
      <c r="L52" s="262"/>
      <c r="M52" s="262"/>
      <c r="N52" s="262"/>
      <c r="O52" s="262"/>
      <c r="P52" s="262"/>
      <c r="Q52" s="262"/>
      <c r="R52" s="262" t="str">
        <f aca="false">IFERROR(TEXT(INDEX('Input Data'!F:F,MATCH("7.02",'Input Data'!C:C,0)),"#,##0.0")&amp;" sqm","—")</f>
        <v>365.5 sqm</v>
      </c>
      <c r="S52" s="262"/>
      <c r="T52" s="262"/>
      <c r="U52" s="262"/>
      <c r="V52" s="262"/>
      <c r="W52" s="262"/>
      <c r="X52" s="262"/>
      <c r="Y52" s="262"/>
      <c r="Z52" s="262"/>
      <c r="AA52" s="262"/>
      <c r="AB52" s="262"/>
      <c r="AC52" s="10"/>
      <c r="AD52" s="10"/>
    </row>
    <row r="53" customFormat="false" ht="13.5" hidden="false" customHeight="true" outlineLevel="0" collapsed="false">
      <c r="A53" s="10"/>
      <c r="B53" s="258"/>
      <c r="C53" s="258"/>
      <c r="D53" s="264" t="str">
        <f aca="false">IFERROR("Face $"&amp;TEXT(INDEX('Input Data'!J:J,MATCH("7.01",'Input Data'!C:C,0)),"#,##0")&amp;" | Net $"&amp;TEXT(INDEX('Input Data'!Q:Q,MATCH("7.01",'Input Data'!C:C,0)),"#,##0 pa"),"—")</f>
        <v>Face $1,911 | Net $693,732 pa</v>
      </c>
      <c r="E53" s="264"/>
      <c r="F53" s="264"/>
      <c r="G53" s="264"/>
      <c r="H53" s="264"/>
      <c r="I53" s="264"/>
      <c r="J53" s="264"/>
      <c r="K53" s="264"/>
      <c r="L53" s="264"/>
      <c r="M53" s="264"/>
      <c r="N53" s="264"/>
      <c r="O53" s="264"/>
      <c r="P53" s="264"/>
      <c r="Q53" s="264"/>
      <c r="R53" s="264" t="str">
        <f aca="false">IFERROR("Face $"&amp;TEXT(INDEX('Input Data'!J:J,MATCH("7.02",'Input Data'!C:C,0)),"#,##0")&amp;" | Net $"&amp;TEXT(INDEX('Input Data'!Q:Q,MATCH("7.02",'Input Data'!C:C,0)),"#,##0 pa"),"—")</f>
        <v>Face $0 | Net $37,147 pa</v>
      </c>
      <c r="S53" s="264"/>
      <c r="T53" s="264"/>
      <c r="U53" s="264"/>
      <c r="V53" s="264"/>
      <c r="W53" s="264"/>
      <c r="X53" s="264"/>
      <c r="Y53" s="264"/>
      <c r="Z53" s="264"/>
      <c r="AA53" s="264"/>
      <c r="AB53" s="264"/>
      <c r="AC53" s="10"/>
      <c r="AD53" s="10"/>
    </row>
    <row r="54" customFormat="false" ht="13.5" hidden="false" customHeight="true" outlineLevel="0" collapsed="false">
      <c r="A54" s="10"/>
      <c r="B54" s="258"/>
      <c r="C54" s="258"/>
      <c r="D54" s="264" t="str">
        <f aca="false">IFERROR("Outg $"&amp;TEXT(INDEX('Input Data'!M:M,MATCH("7.01",'Input Data'!C:C,0)),"#,##0")&amp;" | Rev: "&amp;INDEX('Input Data'!S:S,MATCH("7.01",'Input Data'!C:C,0)),"—")</f>
        <v>Outg $49,200 | Rev: FIXED 3.75%</v>
      </c>
      <c r="E54" s="264"/>
      <c r="F54" s="264"/>
      <c r="G54" s="264"/>
      <c r="H54" s="264"/>
      <c r="I54" s="264"/>
      <c r="J54" s="264"/>
      <c r="K54" s="264"/>
      <c r="L54" s="264"/>
      <c r="M54" s="264"/>
      <c r="N54" s="264"/>
      <c r="O54" s="264"/>
      <c r="P54" s="264"/>
      <c r="Q54" s="264"/>
      <c r="R54" s="264" t="str">
        <f aca="false">IFERROR("Outg $"&amp;TEXT(INDEX('Input Data'!M:M,MATCH("7.02",'Input Data'!C:C,0)),"#,##0")&amp;" | Rev: "&amp;INDEX('Input Data'!S:S,MATCH("7.02",'Input Data'!C:C,0)),"—")</f>
        <v>Outg $37,147 | Rev: FIXED 3.75%</v>
      </c>
      <c r="S54" s="264"/>
      <c r="T54" s="264"/>
      <c r="U54" s="264"/>
      <c r="V54" s="264"/>
      <c r="W54" s="264"/>
      <c r="X54" s="264"/>
      <c r="Y54" s="264"/>
      <c r="Z54" s="264"/>
      <c r="AA54" s="264"/>
      <c r="AB54" s="264"/>
      <c r="AC54" s="10"/>
      <c r="AD54" s="10"/>
    </row>
    <row r="55" customFormat="false" ht="13.5" hidden="false" customHeight="true" outlineLevel="0" collapsed="false">
      <c r="A55" s="10"/>
      <c r="B55" s="258"/>
      <c r="C55" s="258"/>
      <c r="D55" s="262" t="str">
        <f aca="false">IFERROR("Exp: "&amp;TEXT(INDEX('Input Data'!H:H,MATCH("7.01",'Input Data'!C:C,0)),"MMM-YY")&amp;" ("&amp;TEXT(INDEX('Input Data'!V:V,MATCH("7.01",'Input Data'!C:C,0)),"0.0")&amp;" yrs)","—")</f>
        <v>Exp: Sep-29 (3.0 yrs)</v>
      </c>
      <c r="E55" s="262"/>
      <c r="F55" s="262"/>
      <c r="G55" s="262"/>
      <c r="H55" s="262"/>
      <c r="I55" s="262"/>
      <c r="J55" s="262"/>
      <c r="K55" s="262"/>
      <c r="L55" s="262"/>
      <c r="M55" s="262"/>
      <c r="N55" s="262"/>
      <c r="O55" s="262"/>
      <c r="P55" s="262"/>
      <c r="Q55" s="262"/>
      <c r="R55" s="262" t="str">
        <f aca="false">IFERROR("Exp: "&amp;TEXT(INDEX('Input Data'!H:H,MATCH("7.02",'Input Data'!C:C,0)),"MMM-YY")&amp;" ("&amp;TEXT(INDEX('Input Data'!V:V,MATCH("7.02",'Input Data'!C:C,0)),"0.0")&amp;" yrs)","—")</f>
        <v>Exp: Sep-29 (3.0 yrs)</v>
      </c>
      <c r="S55" s="262"/>
      <c r="T55" s="262"/>
      <c r="U55" s="262"/>
      <c r="V55" s="262"/>
      <c r="W55" s="262"/>
      <c r="X55" s="262"/>
      <c r="Y55" s="262"/>
      <c r="Z55" s="262"/>
      <c r="AA55" s="262"/>
      <c r="AB55" s="262"/>
      <c r="AC55" s="10"/>
      <c r="AD55" s="10"/>
    </row>
    <row r="56" customFormat="false" ht="13.5" hidden="false" customHeight="true" outlineLevel="0" collapsed="false">
      <c r="A56" s="10"/>
      <c r="B56" s="258"/>
      <c r="C56" s="258"/>
      <c r="D56" s="262" t="str">
        <f aca="false">IFERROR(TEXT(INDEX('Input Data'!V:V,MATCH("7.01",'Input Data'!C:C,0)),"0.0")&amp;" yrs remaining","—")</f>
        <v>3.0 yrs remaining</v>
      </c>
      <c r="E56" s="262"/>
      <c r="F56" s="262"/>
      <c r="G56" s="262"/>
      <c r="H56" s="262"/>
      <c r="I56" s="262"/>
      <c r="J56" s="262"/>
      <c r="K56" s="262"/>
      <c r="L56" s="262"/>
      <c r="M56" s="262"/>
      <c r="N56" s="262"/>
      <c r="O56" s="262"/>
      <c r="P56" s="262"/>
      <c r="Q56" s="262"/>
      <c r="R56" s="262" t="str">
        <f aca="false">IFERROR(TEXT(INDEX('Input Data'!V:V,MATCH("7.02",'Input Data'!C:C,0)),"0.0")&amp;" yrs remaining","—")</f>
        <v>3.0 yrs remaining</v>
      </c>
      <c r="S56" s="262"/>
      <c r="T56" s="262"/>
      <c r="U56" s="262"/>
      <c r="V56" s="262"/>
      <c r="W56" s="262"/>
      <c r="X56" s="262"/>
      <c r="Y56" s="262"/>
      <c r="Z56" s="262"/>
      <c r="AA56" s="262"/>
      <c r="AB56" s="262"/>
      <c r="AC56" s="10"/>
      <c r="AD56" s="10"/>
    </row>
    <row r="57" customFormat="false" ht="3.75" hidden="false" customHeight="true" outlineLevel="0" collapsed="false">
      <c r="A57" s="10"/>
      <c r="B57" s="258"/>
      <c r="C57" s="258"/>
      <c r="D57" s="262"/>
      <c r="E57" s="262"/>
      <c r="F57" s="262"/>
      <c r="G57" s="262"/>
      <c r="H57" s="262"/>
      <c r="I57" s="262"/>
      <c r="J57" s="262"/>
      <c r="K57" s="262"/>
      <c r="L57" s="262"/>
      <c r="M57" s="262"/>
      <c r="N57" s="262"/>
      <c r="O57" s="262"/>
      <c r="P57" s="262"/>
      <c r="Q57" s="262"/>
      <c r="R57" s="262"/>
      <c r="S57" s="262"/>
      <c r="T57" s="262"/>
      <c r="U57" s="262"/>
      <c r="V57" s="262"/>
      <c r="W57" s="262"/>
      <c r="X57" s="262"/>
      <c r="Y57" s="262"/>
      <c r="Z57" s="262"/>
      <c r="AA57" s="262"/>
      <c r="AB57" s="262"/>
      <c r="AC57" s="10"/>
      <c r="AD57" s="10"/>
    </row>
    <row r="58" customFormat="false" ht="3" hidden="false" customHeight="true" outlineLevel="0" collapsed="false">
      <c r="A58" s="10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</row>
    <row r="59" customFormat="false" ht="18" hidden="false" customHeight="true" outlineLevel="0" collapsed="false">
      <c r="A59" s="10"/>
      <c r="B59" s="258" t="s">
        <v>490</v>
      </c>
      <c r="C59" s="259" t="n">
        <v>1095.4</v>
      </c>
      <c r="D59" s="267" t="str">
        <f aca="false">IFERROR(INDEX('Input Data'!D:D,MATCH("6.01",'Input Data'!C:C,0)),"—")</f>
        <v>Caldas Constructions Pty Ltd</v>
      </c>
      <c r="E59" s="267"/>
      <c r="F59" s="267"/>
      <c r="G59" s="267"/>
      <c r="H59" s="267"/>
      <c r="I59" s="260" t="str">
        <f aca="false">IFERROR(INDEX('Input Data'!D:D,MATCH("6.02",'Input Data'!C:C,0)),"—")</f>
        <v>Sungrow Australia Group</v>
      </c>
      <c r="J59" s="260"/>
      <c r="K59" s="260"/>
      <c r="L59" s="260"/>
      <c r="M59" s="260"/>
      <c r="N59" s="260"/>
      <c r="O59" s="260"/>
      <c r="P59" s="260"/>
      <c r="Q59" s="260"/>
      <c r="R59" s="273" t="str">
        <f aca="false">IFERROR(INDEX('Input Data'!D:D,MATCH("6.03",'Input Data'!C:C,0)),"—")</f>
        <v>Keeping Company Pty Ltd</v>
      </c>
      <c r="S59" s="273"/>
      <c r="T59" s="273"/>
      <c r="U59" s="273"/>
      <c r="V59" s="273"/>
      <c r="W59" s="267" t="str">
        <f aca="false">IFERROR(INDEX('Input Data'!D:D,MATCH("6.04",'Input Data'!C:C,0)),"—")</f>
        <v>Elekta Pty Limited</v>
      </c>
      <c r="X59" s="267"/>
      <c r="Y59" s="267"/>
      <c r="Z59" s="267"/>
      <c r="AA59" s="267"/>
      <c r="AB59" s="267"/>
      <c r="AC59" s="10"/>
      <c r="AD59" s="10"/>
    </row>
    <row r="60" customFormat="false" ht="13.5" hidden="false" customHeight="true" outlineLevel="0" collapsed="false">
      <c r="A60" s="10"/>
      <c r="B60" s="258"/>
      <c r="C60" s="258"/>
      <c r="D60" s="269" t="str">
        <f aca="false">IFERROR("6.01 — "&amp;INDEX('Input Data'!B:B,MATCH("6.01",'Input Data'!C:C,0)),"—")</f>
        <v>6.01 — L06</v>
      </c>
      <c r="E60" s="269"/>
      <c r="F60" s="269"/>
      <c r="G60" s="269"/>
      <c r="H60" s="269"/>
      <c r="I60" s="262" t="str">
        <f aca="false">IFERROR("6.02 — "&amp;INDEX('Input Data'!B:B,MATCH("6.02",'Input Data'!C:C,0)),"—")</f>
        <v>6.02 — L06</v>
      </c>
      <c r="J60" s="262"/>
      <c r="K60" s="262"/>
      <c r="L60" s="262"/>
      <c r="M60" s="262"/>
      <c r="N60" s="262"/>
      <c r="O60" s="262"/>
      <c r="P60" s="262"/>
      <c r="Q60" s="262"/>
      <c r="R60" s="274" t="str">
        <f aca="false">IFERROR("6.03 — "&amp;INDEX('Input Data'!B:B,MATCH("6.03",'Input Data'!C:C,0)),"—")</f>
        <v>6.03 — L06</v>
      </c>
      <c r="S60" s="274"/>
      <c r="T60" s="274"/>
      <c r="U60" s="274"/>
      <c r="V60" s="274"/>
      <c r="W60" s="269" t="str">
        <f aca="false">IFERROR("6.04 — "&amp;INDEX('Input Data'!B:B,MATCH("6.04",'Input Data'!C:C,0)),"—")</f>
        <v>6.04 — L06</v>
      </c>
      <c r="X60" s="269"/>
      <c r="Y60" s="269"/>
      <c r="Z60" s="269"/>
      <c r="AA60" s="269"/>
      <c r="AB60" s="269"/>
      <c r="AC60" s="10"/>
      <c r="AD60" s="10"/>
    </row>
    <row r="61" customFormat="false" ht="13.5" hidden="false" customHeight="true" outlineLevel="0" collapsed="false">
      <c r="A61" s="10"/>
      <c r="B61" s="258"/>
      <c r="C61" s="258"/>
      <c r="D61" s="269" t="str">
        <f aca="false">IFERROR(TEXT(INDEX('Input Data'!F:F,MATCH("6.01",'Input Data'!C:C,0)),"#,##0.0")&amp;" sqm","—")</f>
        <v>186.4 sqm</v>
      </c>
      <c r="E61" s="269"/>
      <c r="F61" s="269"/>
      <c r="G61" s="269"/>
      <c r="H61" s="269"/>
      <c r="I61" s="262" t="str">
        <f aca="false">IFERROR(TEXT(INDEX('Input Data'!F:F,MATCH("6.02",'Input Data'!C:C,0)),"#,##0.0")&amp;" sqm","—")</f>
        <v>451.7 sqm</v>
      </c>
      <c r="J61" s="262"/>
      <c r="K61" s="262"/>
      <c r="L61" s="262"/>
      <c r="M61" s="262"/>
      <c r="N61" s="262"/>
      <c r="O61" s="262"/>
      <c r="P61" s="262"/>
      <c r="Q61" s="262"/>
      <c r="R61" s="274" t="str">
        <f aca="false">IFERROR(TEXT(INDEX('Input Data'!F:F,MATCH("6.03",'Input Data'!C:C,0)),"#,##0.0")&amp;" sqm","—")</f>
        <v>189.4 sqm</v>
      </c>
      <c r="S61" s="274"/>
      <c r="T61" s="274"/>
      <c r="U61" s="274"/>
      <c r="V61" s="274"/>
      <c r="W61" s="269" t="str">
        <f aca="false">IFERROR(TEXT(INDEX('Input Data'!F:F,MATCH("6.04",'Input Data'!C:C,0)),"#,##0.0")&amp;" sqm","—")</f>
        <v>267.9 sqm</v>
      </c>
      <c r="X61" s="269"/>
      <c r="Y61" s="269"/>
      <c r="Z61" s="269"/>
      <c r="AA61" s="269"/>
      <c r="AB61" s="269"/>
      <c r="AC61" s="10"/>
      <c r="AD61" s="10"/>
    </row>
    <row r="62" customFormat="false" ht="13.5" hidden="false" customHeight="true" outlineLevel="0" collapsed="false">
      <c r="A62" s="10"/>
      <c r="B62" s="258"/>
      <c r="C62" s="258"/>
      <c r="D62" s="271" t="str">
        <f aca="false">IFERROR("Face $"&amp;TEXT(INDEX('Input Data'!J:J,MATCH("6.01",'Input Data'!C:C,0)),"#,##0")&amp;" | Net $"&amp;TEXT(INDEX('Input Data'!Q:Q,MATCH("6.01",'Input Data'!C:C,0)),"#,##0 pa"),"—")</f>
        <v>Face $920 | Net $-340,767 pa</v>
      </c>
      <c r="E62" s="271"/>
      <c r="F62" s="271"/>
      <c r="G62" s="271"/>
      <c r="H62" s="271"/>
      <c r="I62" s="264" t="str">
        <f aca="false">IFERROR("Face $"&amp;TEXT(INDEX('Input Data'!J:J,MATCH("6.02",'Input Data'!C:C,0)),"#,##0")&amp;" | Net $"&amp;TEXT(INDEX('Input Data'!Q:Q,MATCH("6.02",'Input Data'!C:C,0)),"#,##0 pa"),"—")</f>
        <v>Face $955 | Net $283,260 pa</v>
      </c>
      <c r="J62" s="264"/>
      <c r="K62" s="264"/>
      <c r="L62" s="264"/>
      <c r="M62" s="264"/>
      <c r="N62" s="264"/>
      <c r="O62" s="264"/>
      <c r="P62" s="264"/>
      <c r="Q62" s="264"/>
      <c r="R62" s="275" t="str">
        <f aca="false">IFERROR("Face $"&amp;TEXT(INDEX('Input Data'!J:J,MATCH("6.03",'Input Data'!C:C,0)),"#,##0")&amp;" | Net $"&amp;TEXT(INDEX('Input Data'!Q:Q,MATCH("6.03",'Input Data'!C:C,0)),"#,##0 pa"),"—")</f>
        <v>Face $1,056 | Net $219,057 pa</v>
      </c>
      <c r="S62" s="275"/>
      <c r="T62" s="275"/>
      <c r="U62" s="275"/>
      <c r="V62" s="275"/>
      <c r="W62" s="271" t="str">
        <f aca="false">IFERROR("Face $"&amp;TEXT(INDEX('Input Data'!J:J,MATCH("6.04",'Input Data'!C:C,0)),"#,##0")&amp;" | Net $"&amp;TEXT(INDEX('Input Data'!Q:Q,MATCH("6.04",'Input Data'!C:C,0)),"#,##0 pa"),"—")</f>
        <v>Face $955 | Net $171,547 pa</v>
      </c>
      <c r="X62" s="271"/>
      <c r="Y62" s="271"/>
      <c r="Z62" s="271"/>
      <c r="AA62" s="271"/>
      <c r="AB62" s="271"/>
      <c r="AC62" s="10"/>
      <c r="AD62" s="10"/>
    </row>
    <row r="63" customFormat="false" ht="13.5" hidden="false" customHeight="true" outlineLevel="0" collapsed="false">
      <c r="A63" s="10"/>
      <c r="B63" s="258"/>
      <c r="C63" s="258"/>
      <c r="D63" s="271" t="str">
        <f aca="false">IFERROR("Outg $"&amp;TEXT(INDEX('Input Data'!M:M,MATCH("6.01",'Input Data'!C:C,0)),"#,##0")&amp;" | Rev: "&amp;INDEX('Input Data'!S:S,MATCH("6.01",'Input Data'!C:C,0)),"—")</f>
        <v>Outg $0 | Rev: </v>
      </c>
      <c r="E63" s="271"/>
      <c r="F63" s="271"/>
      <c r="G63" s="271"/>
      <c r="H63" s="271"/>
      <c r="I63" s="264" t="str">
        <f aca="false">IFERROR("Outg $"&amp;TEXT(INDEX('Input Data'!M:M,MATCH("6.02",'Input Data'!C:C,0)),"#,##0")&amp;" | Rev: "&amp;INDEX('Input Data'!S:S,MATCH("6.02",'Input Data'!C:C,0)),"—")</f>
        <v>Outg $45,907 | Rev: FIXED 3.75%</v>
      </c>
      <c r="J63" s="264"/>
      <c r="K63" s="264"/>
      <c r="L63" s="264"/>
      <c r="M63" s="264"/>
      <c r="N63" s="264"/>
      <c r="O63" s="264"/>
      <c r="P63" s="264"/>
      <c r="Q63" s="264"/>
      <c r="R63" s="275" t="str">
        <f aca="false">IFERROR("Outg $"&amp;TEXT(INDEX('Input Data'!M:M,MATCH("6.03",'Input Data'!C:C,0)),"#,##0")&amp;" | Rev: "&amp;INDEX('Input Data'!S:S,MATCH("6.03",'Input Data'!C:C,0)),"—")</f>
        <v>Outg $19,249 | Rev: FIXED 3.5%</v>
      </c>
      <c r="S63" s="275"/>
      <c r="T63" s="275"/>
      <c r="U63" s="275"/>
      <c r="V63" s="275"/>
      <c r="W63" s="271" t="str">
        <f aca="false">IFERROR("Outg $"&amp;TEXT(INDEX('Input Data'!M:M,MATCH("6.04",'Input Data'!C:C,0)),"#,##0")&amp;" | Rev: "&amp;INDEX('Input Data'!S:S,MATCH("6.04",'Input Data'!C:C,0)),"—")</f>
        <v>Outg $6,957 | Rev: FIXED (3.75%)</v>
      </c>
      <c r="X63" s="271"/>
      <c r="Y63" s="271"/>
      <c r="Z63" s="271"/>
      <c r="AA63" s="271"/>
      <c r="AB63" s="271"/>
      <c r="AC63" s="10"/>
      <c r="AD63" s="10"/>
    </row>
    <row r="64" customFormat="false" ht="13.5" hidden="false" customHeight="true" outlineLevel="0" collapsed="false">
      <c r="A64" s="10"/>
      <c r="B64" s="258"/>
      <c r="C64" s="258"/>
      <c r="D64" s="269" t="str">
        <f aca="false">IFERROR("Exp: "&amp;TEXT(INDEX('Input Data'!H:H,MATCH("6.01",'Input Data'!C:C,0)),"MMM-YY")&amp;" ("&amp;TEXT(INDEX('Input Data'!V:V,MATCH("6.01",'Input Data'!C:C,0)),"0.0")&amp;" yrs)","—")</f>
        <v>Exp: Jun-32 (5.7 yrs)</v>
      </c>
      <c r="E64" s="269"/>
      <c r="F64" s="269"/>
      <c r="G64" s="269"/>
      <c r="H64" s="269"/>
      <c r="I64" s="262" t="str">
        <f aca="false">IFERROR("Exp: "&amp;TEXT(INDEX('Input Data'!H:H,MATCH("6.02",'Input Data'!C:C,0)),"MMM-YY")&amp;" ("&amp;TEXT(INDEX('Input Data'!V:V,MATCH("6.02",'Input Data'!C:C,0)),"0.0")&amp;" yrs)","—")</f>
        <v>Exp: Sep-29 (3.0 yrs)</v>
      </c>
      <c r="J64" s="262"/>
      <c r="K64" s="262"/>
      <c r="L64" s="262"/>
      <c r="M64" s="262"/>
      <c r="N64" s="262"/>
      <c r="O64" s="262"/>
      <c r="P64" s="262"/>
      <c r="Q64" s="262"/>
      <c r="R64" s="274" t="str">
        <f aca="false">IFERROR("Exp: "&amp;TEXT(INDEX('Input Data'!H:H,MATCH("6.03",'Input Data'!C:C,0)),"MMM-YY")&amp;" ("&amp;TEXT(INDEX('Input Data'!V:V,MATCH("6.03",'Input Data'!C:C,0)),"0.0")&amp;" yrs)","—")</f>
        <v>Exp: May-27 (0.7 yrs)</v>
      </c>
      <c r="S64" s="274"/>
      <c r="T64" s="274"/>
      <c r="U64" s="274"/>
      <c r="V64" s="274"/>
      <c r="W64" s="269" t="str">
        <f aca="false">IFERROR("Exp: "&amp;TEXT(INDEX('Input Data'!H:H,MATCH("6.04",'Input Data'!C:C,0)),"MMM-YY")&amp;" ("&amp;TEXT(INDEX('Input Data'!V:V,MATCH("6.04",'Input Data'!C:C,0)),"0.0")&amp;" yrs)","—")</f>
        <v>Exp: Jul-32 (5.8 yrs)</v>
      </c>
      <c r="X64" s="269"/>
      <c r="Y64" s="269"/>
      <c r="Z64" s="269"/>
      <c r="AA64" s="269"/>
      <c r="AB64" s="269"/>
      <c r="AC64" s="10"/>
      <c r="AD64" s="10"/>
    </row>
    <row r="65" customFormat="false" ht="13.5" hidden="false" customHeight="true" outlineLevel="0" collapsed="false">
      <c r="A65" s="10"/>
      <c r="B65" s="258"/>
      <c r="C65" s="258"/>
      <c r="D65" s="269" t="str">
        <f aca="false">IFERROR(TEXT(INDEX('Input Data'!V:V,MATCH("6.01",'Input Data'!C:C,0)),"0.0")&amp;" yrs remaining","—")</f>
        <v>5.7 yrs remaining</v>
      </c>
      <c r="E65" s="269"/>
      <c r="F65" s="269"/>
      <c r="G65" s="269"/>
      <c r="H65" s="269"/>
      <c r="I65" s="262" t="str">
        <f aca="false">IFERROR(TEXT(INDEX('Input Data'!V:V,MATCH("6.02",'Input Data'!C:C,0)),"0.0")&amp;" yrs remaining","—")</f>
        <v>3.0 yrs remaining</v>
      </c>
      <c r="J65" s="262"/>
      <c r="K65" s="262"/>
      <c r="L65" s="262"/>
      <c r="M65" s="262"/>
      <c r="N65" s="262"/>
      <c r="O65" s="262"/>
      <c r="P65" s="262"/>
      <c r="Q65" s="262"/>
      <c r="R65" s="274" t="str">
        <f aca="false">IFERROR(TEXT(INDEX('Input Data'!V:V,MATCH("6.03",'Input Data'!C:C,0)),"0.0")&amp;" yrs remaining","—")</f>
        <v>0.7 yrs remaining</v>
      </c>
      <c r="S65" s="274"/>
      <c r="T65" s="274"/>
      <c r="U65" s="274"/>
      <c r="V65" s="274"/>
      <c r="W65" s="269" t="str">
        <f aca="false">IFERROR(TEXT(INDEX('Input Data'!V:V,MATCH("6.04",'Input Data'!C:C,0)),"0.0")&amp;" yrs remaining","—")</f>
        <v>5.8 yrs remaining</v>
      </c>
      <c r="X65" s="269"/>
      <c r="Y65" s="269"/>
      <c r="Z65" s="269"/>
      <c r="AA65" s="269"/>
      <c r="AB65" s="269"/>
      <c r="AC65" s="10"/>
      <c r="AD65" s="10"/>
    </row>
    <row r="66" customFormat="false" ht="3.75" hidden="false" customHeight="true" outlineLevel="0" collapsed="false">
      <c r="A66" s="10"/>
      <c r="B66" s="258"/>
      <c r="C66" s="258"/>
      <c r="D66" s="268"/>
      <c r="E66" s="268"/>
      <c r="F66" s="268"/>
      <c r="G66" s="268"/>
      <c r="H66" s="268"/>
      <c r="I66" s="262"/>
      <c r="J66" s="262"/>
      <c r="K66" s="262"/>
      <c r="L66" s="262"/>
      <c r="M66" s="262"/>
      <c r="N66" s="262"/>
      <c r="O66" s="262"/>
      <c r="P66" s="262"/>
      <c r="Q66" s="262"/>
      <c r="R66" s="274"/>
      <c r="S66" s="274"/>
      <c r="T66" s="274"/>
      <c r="U66" s="274"/>
      <c r="V66" s="274"/>
      <c r="W66" s="269"/>
      <c r="X66" s="269"/>
      <c r="Y66" s="269"/>
      <c r="Z66" s="269"/>
      <c r="AA66" s="269"/>
      <c r="AB66" s="269"/>
      <c r="AC66" s="10"/>
      <c r="AD66" s="10"/>
    </row>
    <row r="67" customFormat="false" ht="3" hidden="false" customHeight="true" outlineLevel="0" collapsed="false">
      <c r="A67" s="10"/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10"/>
      <c r="AC67" s="10"/>
      <c r="AD67" s="10"/>
    </row>
    <row r="68" customFormat="false" ht="18" hidden="false" customHeight="true" outlineLevel="0" collapsed="false">
      <c r="A68" s="10"/>
      <c r="B68" s="258" t="s">
        <v>491</v>
      </c>
      <c r="C68" s="259" t="n">
        <v>1080.4</v>
      </c>
      <c r="D68" s="267" t="str">
        <f aca="false">IFERROR(INDEX('Input Data'!D:D,MATCH("5.01",'Input Data'!C:C,0)),"—")</f>
        <v>Fitness First Australia Pty Limited</v>
      </c>
      <c r="E68" s="267"/>
      <c r="F68" s="267"/>
      <c r="G68" s="267"/>
      <c r="H68" s="267"/>
      <c r="I68" s="267"/>
      <c r="J68" s="267"/>
      <c r="K68" s="267"/>
      <c r="L68" s="267"/>
      <c r="M68" s="267"/>
      <c r="N68" s="260" t="str">
        <f aca="false">IFERROR(INDEX('Input Data'!D:D,MATCH("5.03",'Input Data'!C:C,0)),"—")</f>
        <v>Asterx Pty Ltd</v>
      </c>
      <c r="O68" s="260"/>
      <c r="P68" s="260"/>
      <c r="Q68" s="260"/>
      <c r="R68" s="260"/>
      <c r="S68" s="260" t="str">
        <f aca="false">IFERROR(INDEX('Input Data'!D:D,MATCH("5.04",'Input Data'!C:C,0)),"—")</f>
        <v>Auctionsplus Pty Ltd</v>
      </c>
      <c r="T68" s="260"/>
      <c r="U68" s="260"/>
      <c r="V68" s="260"/>
      <c r="W68" s="260"/>
      <c r="X68" s="260"/>
      <c r="Y68" s="260"/>
      <c r="Z68" s="260"/>
      <c r="AA68" s="260"/>
      <c r="AB68" s="260"/>
      <c r="AC68" s="10"/>
      <c r="AD68" s="10"/>
    </row>
    <row r="69" customFormat="false" ht="13.5" hidden="false" customHeight="true" outlineLevel="0" collapsed="false">
      <c r="A69" s="10"/>
      <c r="B69" s="258"/>
      <c r="C69" s="258"/>
      <c r="D69" s="269" t="str">
        <f aca="false">IFERROR("5.01 — "&amp;INDEX('Input Data'!B:B,MATCH("5.01",'Input Data'!C:C,0)),"—")</f>
        <v>5.01 — L05</v>
      </c>
      <c r="E69" s="269"/>
      <c r="F69" s="269"/>
      <c r="G69" s="269"/>
      <c r="H69" s="269"/>
      <c r="I69" s="269"/>
      <c r="J69" s="269"/>
      <c r="K69" s="269"/>
      <c r="L69" s="269"/>
      <c r="M69" s="269"/>
      <c r="N69" s="262" t="str">
        <f aca="false">IFERROR("5.03 — "&amp;INDEX('Input Data'!B:B,MATCH("5.03",'Input Data'!C:C,0)),"—")</f>
        <v>5.03 — L05</v>
      </c>
      <c r="O69" s="262"/>
      <c r="P69" s="262"/>
      <c r="Q69" s="262"/>
      <c r="R69" s="262"/>
      <c r="S69" s="262" t="str">
        <f aca="false">IFERROR("5.04 — "&amp;INDEX('Input Data'!B:B,MATCH("5.04",'Input Data'!C:C,0)),"—")</f>
        <v>5.04 — L05</v>
      </c>
      <c r="T69" s="262"/>
      <c r="U69" s="262"/>
      <c r="V69" s="262"/>
      <c r="W69" s="262"/>
      <c r="X69" s="262"/>
      <c r="Y69" s="262"/>
      <c r="Z69" s="262"/>
      <c r="AA69" s="262"/>
      <c r="AB69" s="262"/>
      <c r="AC69" s="10"/>
      <c r="AD69" s="10"/>
    </row>
    <row r="70" customFormat="false" ht="13.5" hidden="false" customHeight="true" outlineLevel="0" collapsed="false">
      <c r="A70" s="10"/>
      <c r="B70" s="258"/>
      <c r="C70" s="258"/>
      <c r="D70" s="269" t="str">
        <f aca="false">IFERROR(TEXT(INDEX('Input Data'!F:F,MATCH("5.01",'Input Data'!C:C,0)),"#,##0.0")&amp;" sqm","—")</f>
        <v>437.1 sqm</v>
      </c>
      <c r="E70" s="269"/>
      <c r="F70" s="269"/>
      <c r="G70" s="269"/>
      <c r="H70" s="269"/>
      <c r="I70" s="269"/>
      <c r="J70" s="269"/>
      <c r="K70" s="269"/>
      <c r="L70" s="269"/>
      <c r="M70" s="269"/>
      <c r="N70" s="262" t="str">
        <f aca="false">IFERROR(TEXT(INDEX('Input Data'!F:F,MATCH("5.03",'Input Data'!C:C,0)),"#,##0.0")&amp;" sqm","—")</f>
        <v>229.8 sqm</v>
      </c>
      <c r="O70" s="262"/>
      <c r="P70" s="262"/>
      <c r="Q70" s="262"/>
      <c r="R70" s="262"/>
      <c r="S70" s="262" t="str">
        <f aca="false">IFERROR(TEXT(INDEX('Input Data'!F:F,MATCH("5.04",'Input Data'!C:C,0)),"#,##0.0")&amp;" sqm","—")</f>
        <v>413.5 sqm</v>
      </c>
      <c r="T70" s="262"/>
      <c r="U70" s="262"/>
      <c r="V70" s="262"/>
      <c r="W70" s="262"/>
      <c r="X70" s="262"/>
      <c r="Y70" s="262"/>
      <c r="Z70" s="262"/>
      <c r="AA70" s="262"/>
      <c r="AB70" s="262"/>
      <c r="AC70" s="10"/>
      <c r="AD70" s="10"/>
    </row>
    <row r="71" customFormat="false" ht="13.5" hidden="false" customHeight="true" outlineLevel="0" collapsed="false">
      <c r="A71" s="10"/>
      <c r="B71" s="258"/>
      <c r="C71" s="258"/>
      <c r="D71" s="271" t="str">
        <f aca="false">IFERROR("Face $"&amp;TEXT(INDEX('Input Data'!J:J,MATCH("5.01",'Input Data'!C:C,0)),"#,##0")&amp;" | Net $"&amp;TEXT(INDEX('Input Data'!Q:Q,MATCH("5.01",'Input Data'!C:C,0)),"#,##0 pa"),"—")</f>
        <v>Face $856 | Net $377,056 pa</v>
      </c>
      <c r="E71" s="271"/>
      <c r="F71" s="271"/>
      <c r="G71" s="271"/>
      <c r="H71" s="271"/>
      <c r="I71" s="271"/>
      <c r="J71" s="271"/>
      <c r="K71" s="271"/>
      <c r="L71" s="271"/>
      <c r="M71" s="271"/>
      <c r="N71" s="264" t="str">
        <f aca="false">IFERROR("Face $"&amp;TEXT(INDEX('Input Data'!J:J,MATCH("5.03",'Input Data'!C:C,0)),"#,##0")&amp;" | Net $"&amp;TEXT(INDEX('Input Data'!Q:Q,MATCH("5.03",'Input Data'!C:C,0)),"#,##0 pa"),"—")</f>
        <v>Face $986 | Net $205,033 pa</v>
      </c>
      <c r="O71" s="264"/>
      <c r="P71" s="264"/>
      <c r="Q71" s="264"/>
      <c r="R71" s="264"/>
      <c r="S71" s="264" t="str">
        <f aca="false">IFERROR("Face $"&amp;TEXT(INDEX('Input Data'!J:J,MATCH("5.04",'Input Data'!C:C,0)),"#,##0")&amp;" | Net $"&amp;TEXT(INDEX('Input Data'!Q:Q,MATCH("5.04",'Input Data'!C:C,0)),"#,##0 pa"),"—")</f>
        <v>Face $1,006 | Net $366,668 pa</v>
      </c>
      <c r="T71" s="264"/>
      <c r="U71" s="264"/>
      <c r="V71" s="264"/>
      <c r="W71" s="264"/>
      <c r="X71" s="264"/>
      <c r="Y71" s="264"/>
      <c r="Z71" s="264"/>
      <c r="AA71" s="264"/>
      <c r="AB71" s="264"/>
      <c r="AC71" s="10"/>
      <c r="AD71" s="10"/>
    </row>
    <row r="72" customFormat="false" ht="13.5" hidden="false" customHeight="true" outlineLevel="0" collapsed="false">
      <c r="A72" s="10"/>
      <c r="B72" s="258"/>
      <c r="C72" s="258"/>
      <c r="D72" s="271" t="str">
        <f aca="false">IFERROR("Outg $"&amp;TEXT(INDEX('Input Data'!M:M,MATCH("5.01",'Input Data'!C:C,0)),"#,##0")&amp;" | Rev: "&amp;INDEX('Input Data'!S:S,MATCH("5.01",'Input Data'!C:C,0)),"—")</f>
        <v>Outg $0 | Rev: FIXED 4%</v>
      </c>
      <c r="E72" s="271"/>
      <c r="F72" s="271"/>
      <c r="G72" s="271"/>
      <c r="H72" s="271"/>
      <c r="I72" s="271"/>
      <c r="J72" s="271"/>
      <c r="K72" s="271"/>
      <c r="L72" s="271"/>
      <c r="M72" s="271"/>
      <c r="N72" s="264" t="str">
        <f aca="false">IFERROR("Outg $"&amp;TEXT(INDEX('Input Data'!M:M,MATCH("5.03",'Input Data'!C:C,0)),"#,##0")&amp;" | Rev: "&amp;INDEX('Input Data'!S:S,MATCH("5.03",'Input Data'!C:C,0)),"—")</f>
        <v>Outg $10,522 | Rev: FIXED 3.5%</v>
      </c>
      <c r="O72" s="264"/>
      <c r="P72" s="264"/>
      <c r="Q72" s="264"/>
      <c r="R72" s="264"/>
      <c r="S72" s="264" t="str">
        <f aca="false">IFERROR("Outg $"&amp;TEXT(INDEX('Input Data'!M:M,MATCH("5.04",'Input Data'!C:C,0)),"#,##0")&amp;" | Rev: "&amp;INDEX('Input Data'!S:S,MATCH("5.04",'Input Data'!C:C,0)),"—")</f>
        <v>Outg $40,069 | Rev: FIXED 4%</v>
      </c>
      <c r="T72" s="264"/>
      <c r="U72" s="264"/>
      <c r="V72" s="264"/>
      <c r="W72" s="264"/>
      <c r="X72" s="264"/>
      <c r="Y72" s="264"/>
      <c r="Z72" s="264"/>
      <c r="AA72" s="264"/>
      <c r="AB72" s="264"/>
      <c r="AC72" s="10"/>
      <c r="AD72" s="10"/>
    </row>
    <row r="73" customFormat="false" ht="13.5" hidden="false" customHeight="true" outlineLevel="0" collapsed="false">
      <c r="A73" s="10"/>
      <c r="B73" s="258"/>
      <c r="C73" s="258"/>
      <c r="D73" s="269" t="str">
        <f aca="false">IFERROR("Exp: "&amp;TEXT(INDEX('Input Data'!H:H,MATCH("5.01",'Input Data'!C:C,0)),"MMM-YY")&amp;" ("&amp;TEXT(INDEX('Input Data'!V:V,MATCH("5.01",'Input Data'!C:C,0)),"0.0")&amp;" yrs)","—")</f>
        <v>Exp: Jun-31 (4.7 yrs)</v>
      </c>
      <c r="E73" s="269"/>
      <c r="F73" s="269"/>
      <c r="G73" s="269"/>
      <c r="H73" s="269"/>
      <c r="I73" s="269"/>
      <c r="J73" s="269"/>
      <c r="K73" s="269"/>
      <c r="L73" s="269"/>
      <c r="M73" s="269"/>
      <c r="N73" s="262" t="str">
        <f aca="false">IFERROR("Exp: "&amp;TEXT(INDEX('Input Data'!H:H,MATCH("5.03",'Input Data'!C:C,0)),"MMM-YY")&amp;" ("&amp;TEXT(INDEX('Input Data'!V:V,MATCH("5.03",'Input Data'!C:C,0)),"0.0")&amp;" yrs)","—")</f>
        <v>Exp: Jun-29 (2.7 yrs)</v>
      </c>
      <c r="O73" s="262"/>
      <c r="P73" s="262"/>
      <c r="Q73" s="262"/>
      <c r="R73" s="262"/>
      <c r="S73" s="262" t="str">
        <f aca="false">IFERROR("Exp: "&amp;TEXT(INDEX('Input Data'!H:H,MATCH("5.04",'Input Data'!C:C,0)),"MMM-YY")&amp;" ("&amp;TEXT(INDEX('Input Data'!V:V,MATCH("5.04",'Input Data'!C:C,0)),"0.0")&amp;" yrs)","—")</f>
        <v>Exp: Feb-29 (2.4 yrs)</v>
      </c>
      <c r="T73" s="262"/>
      <c r="U73" s="262"/>
      <c r="V73" s="262"/>
      <c r="W73" s="262"/>
      <c r="X73" s="262"/>
      <c r="Y73" s="262"/>
      <c r="Z73" s="262"/>
      <c r="AA73" s="262"/>
      <c r="AB73" s="262"/>
      <c r="AC73" s="10"/>
      <c r="AD73" s="10"/>
    </row>
    <row r="74" customFormat="false" ht="13.5" hidden="false" customHeight="true" outlineLevel="0" collapsed="false">
      <c r="A74" s="10"/>
      <c r="B74" s="258"/>
      <c r="C74" s="258"/>
      <c r="D74" s="269" t="str">
        <f aca="false">IFERROR(TEXT(INDEX('Input Data'!V:V,MATCH("5.01",'Input Data'!C:C,0)),"0.0")&amp;" yrs remaining","—")</f>
        <v>4.7 yrs remaining</v>
      </c>
      <c r="E74" s="269"/>
      <c r="F74" s="269"/>
      <c r="G74" s="269"/>
      <c r="H74" s="269"/>
      <c r="I74" s="269"/>
      <c r="J74" s="269"/>
      <c r="K74" s="269"/>
      <c r="L74" s="269"/>
      <c r="M74" s="269"/>
      <c r="N74" s="262" t="str">
        <f aca="false">IFERROR(TEXT(INDEX('Input Data'!V:V,MATCH("5.03",'Input Data'!C:C,0)),"0.0")&amp;" yrs remaining","—")</f>
        <v>2.7 yrs remaining</v>
      </c>
      <c r="O74" s="262"/>
      <c r="P74" s="262"/>
      <c r="Q74" s="262"/>
      <c r="R74" s="262"/>
      <c r="S74" s="262" t="str">
        <f aca="false">IFERROR(TEXT(INDEX('Input Data'!V:V,MATCH("5.04",'Input Data'!C:C,0)),"0.0")&amp;" yrs remaining","—")</f>
        <v>2.4 yrs remaining</v>
      </c>
      <c r="T74" s="262"/>
      <c r="U74" s="262"/>
      <c r="V74" s="262"/>
      <c r="W74" s="262"/>
      <c r="X74" s="262"/>
      <c r="Y74" s="262"/>
      <c r="Z74" s="262"/>
      <c r="AA74" s="262"/>
      <c r="AB74" s="262"/>
      <c r="AC74" s="10"/>
      <c r="AD74" s="10"/>
    </row>
    <row r="75" customFormat="false" ht="3.75" hidden="false" customHeight="true" outlineLevel="0" collapsed="false">
      <c r="A75" s="10"/>
      <c r="B75" s="258"/>
      <c r="C75" s="258"/>
      <c r="D75" s="269"/>
      <c r="E75" s="269"/>
      <c r="F75" s="269"/>
      <c r="G75" s="269"/>
      <c r="H75" s="269"/>
      <c r="I75" s="269"/>
      <c r="J75" s="269"/>
      <c r="K75" s="269"/>
      <c r="L75" s="269"/>
      <c r="M75" s="269"/>
      <c r="N75" s="262"/>
      <c r="O75" s="262"/>
      <c r="P75" s="262"/>
      <c r="Q75" s="262"/>
      <c r="R75" s="262"/>
      <c r="S75" s="262"/>
      <c r="T75" s="262"/>
      <c r="U75" s="262"/>
      <c r="V75" s="262"/>
      <c r="W75" s="262"/>
      <c r="X75" s="262"/>
      <c r="Y75" s="262"/>
      <c r="Z75" s="262"/>
      <c r="AA75" s="262"/>
      <c r="AB75" s="262"/>
      <c r="AC75" s="10"/>
      <c r="AD75" s="10"/>
    </row>
    <row r="76" customFormat="false" ht="3" hidden="false" customHeight="true" outlineLevel="0" collapsed="false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</row>
    <row r="77" customFormat="false" ht="18" hidden="false" customHeight="true" outlineLevel="0" collapsed="false">
      <c r="A77" s="10"/>
      <c r="B77" s="258" t="s">
        <v>492</v>
      </c>
      <c r="C77" s="259" t="n">
        <v>1047</v>
      </c>
      <c r="D77" s="267" t="str">
        <f aca="false">IFERROR(INDEX('Input Data'!D:D,MATCH("4.01",'Input Data'!C:C,0)),"—")</f>
        <v>Fitness First Australia Pty Limited</v>
      </c>
      <c r="E77" s="267"/>
      <c r="F77" s="267"/>
      <c r="G77" s="267"/>
      <c r="H77" s="267"/>
      <c r="I77" s="267"/>
      <c r="J77" s="267"/>
      <c r="K77" s="267"/>
      <c r="L77" s="267"/>
      <c r="M77" s="267"/>
      <c r="N77" s="267"/>
      <c r="O77" s="267"/>
      <c r="P77" s="267"/>
      <c r="Q77" s="267"/>
      <c r="R77" s="267"/>
      <c r="S77" s="267"/>
      <c r="T77" s="267"/>
      <c r="U77" s="267"/>
      <c r="V77" s="267"/>
      <c r="W77" s="267"/>
      <c r="X77" s="267"/>
      <c r="Y77" s="267"/>
      <c r="Z77" s="267"/>
      <c r="AA77" s="267"/>
      <c r="AB77" s="267"/>
      <c r="AC77" s="10"/>
      <c r="AD77" s="10"/>
    </row>
    <row r="78" customFormat="false" ht="13.5" hidden="false" customHeight="true" outlineLevel="0" collapsed="false">
      <c r="A78" s="10"/>
      <c r="B78" s="258"/>
      <c r="C78" s="258"/>
      <c r="D78" s="269" t="str">
        <f aca="false">IFERROR("4.01 — "&amp;INDEX('Input Data'!B:B,MATCH("4.01",'Input Data'!C:C,0)),"—")</f>
        <v>4.01 — L04</v>
      </c>
      <c r="E78" s="269"/>
      <c r="F78" s="269"/>
      <c r="G78" s="269"/>
      <c r="H78" s="269"/>
      <c r="I78" s="269"/>
      <c r="J78" s="269"/>
      <c r="K78" s="269"/>
      <c r="L78" s="269"/>
      <c r="M78" s="269"/>
      <c r="N78" s="269"/>
      <c r="O78" s="269"/>
      <c r="P78" s="269"/>
      <c r="Q78" s="269"/>
      <c r="R78" s="269"/>
      <c r="S78" s="269"/>
      <c r="T78" s="269"/>
      <c r="U78" s="269"/>
      <c r="V78" s="269"/>
      <c r="W78" s="269"/>
      <c r="X78" s="269"/>
      <c r="Y78" s="269"/>
      <c r="Z78" s="269"/>
      <c r="AA78" s="269"/>
      <c r="AB78" s="269"/>
      <c r="AC78" s="10"/>
      <c r="AD78" s="10"/>
    </row>
    <row r="79" customFormat="false" ht="13.5" hidden="false" customHeight="true" outlineLevel="0" collapsed="false">
      <c r="A79" s="10"/>
      <c r="B79" s="258"/>
      <c r="C79" s="258"/>
      <c r="D79" s="269" t="str">
        <f aca="false">IFERROR(TEXT(INDEX('Input Data'!F:F,MATCH("4.01",'Input Data'!C:C,0)),"#,##0.0")&amp;" sqm","—")</f>
        <v>1,047.0 sqm</v>
      </c>
      <c r="E79" s="269"/>
      <c r="F79" s="269"/>
      <c r="G79" s="269"/>
      <c r="H79" s="269"/>
      <c r="I79" s="269"/>
      <c r="J79" s="269"/>
      <c r="K79" s="269"/>
      <c r="L79" s="269"/>
      <c r="M79" s="269"/>
      <c r="N79" s="269"/>
      <c r="O79" s="269"/>
      <c r="P79" s="269"/>
      <c r="Q79" s="269"/>
      <c r="R79" s="269"/>
      <c r="S79" s="269"/>
      <c r="T79" s="269"/>
      <c r="U79" s="269"/>
      <c r="V79" s="269"/>
      <c r="W79" s="269"/>
      <c r="X79" s="269"/>
      <c r="Y79" s="269"/>
      <c r="Z79" s="269"/>
      <c r="AA79" s="269"/>
      <c r="AB79" s="269"/>
      <c r="AC79" s="10"/>
      <c r="AD79" s="10"/>
    </row>
    <row r="80" customFormat="false" ht="13.5" hidden="false" customHeight="true" outlineLevel="0" collapsed="false">
      <c r="A80" s="10"/>
      <c r="B80" s="258"/>
      <c r="C80" s="258"/>
      <c r="D80" s="271" t="str">
        <f aca="false">IFERROR("Face $"&amp;TEXT(INDEX('Input Data'!J:J,MATCH("4.01",'Input Data'!C:C,0)),"#,##0")&amp;" | Net $"&amp;TEXT(INDEX('Input Data'!Q:Q,MATCH("4.01",'Input Data'!C:C,0)),"#,##0 pa"),"—")</f>
        <v>Face $856 | Net $906,078 pa</v>
      </c>
      <c r="E80" s="271"/>
      <c r="F80" s="271"/>
      <c r="G80" s="271"/>
      <c r="H80" s="271"/>
      <c r="I80" s="271"/>
      <c r="J80" s="271"/>
      <c r="K80" s="271"/>
      <c r="L80" s="271"/>
      <c r="M80" s="271"/>
      <c r="N80" s="271"/>
      <c r="O80" s="271"/>
      <c r="P80" s="271"/>
      <c r="Q80" s="271"/>
      <c r="R80" s="271"/>
      <c r="S80" s="271"/>
      <c r="T80" s="271"/>
      <c r="U80" s="271"/>
      <c r="V80" s="271"/>
      <c r="W80" s="271"/>
      <c r="X80" s="271"/>
      <c r="Y80" s="271"/>
      <c r="Z80" s="271"/>
      <c r="AA80" s="271"/>
      <c r="AB80" s="271"/>
      <c r="AC80" s="10"/>
      <c r="AD80" s="10"/>
    </row>
    <row r="81" customFormat="false" ht="13.5" hidden="false" customHeight="true" outlineLevel="0" collapsed="false">
      <c r="A81" s="10"/>
      <c r="B81" s="258"/>
      <c r="C81" s="258"/>
      <c r="D81" s="271" t="str">
        <f aca="false">IFERROR("Outg $"&amp;TEXT(INDEX('Input Data'!M:M,MATCH("4.01",'Input Data'!C:C,0)),"#,##0")&amp;" | Rev: "&amp;INDEX('Input Data'!S:S,MATCH("4.01",'Input Data'!C:C,0)),"—")</f>
        <v>Outg $0 | Rev: FIXED 4%</v>
      </c>
      <c r="E81" s="271"/>
      <c r="F81" s="271"/>
      <c r="G81" s="271"/>
      <c r="H81" s="271"/>
      <c r="I81" s="271"/>
      <c r="J81" s="271"/>
      <c r="K81" s="271"/>
      <c r="L81" s="271"/>
      <c r="M81" s="271"/>
      <c r="N81" s="271"/>
      <c r="O81" s="271"/>
      <c r="P81" s="271"/>
      <c r="Q81" s="271"/>
      <c r="R81" s="271"/>
      <c r="S81" s="271"/>
      <c r="T81" s="271"/>
      <c r="U81" s="271"/>
      <c r="V81" s="271"/>
      <c r="W81" s="271"/>
      <c r="X81" s="271"/>
      <c r="Y81" s="271"/>
      <c r="Z81" s="271"/>
      <c r="AA81" s="271"/>
      <c r="AB81" s="271"/>
      <c r="AC81" s="10"/>
      <c r="AD81" s="10"/>
    </row>
    <row r="82" customFormat="false" ht="13.5" hidden="false" customHeight="true" outlineLevel="0" collapsed="false">
      <c r="A82" s="10"/>
      <c r="B82" s="258"/>
      <c r="C82" s="258"/>
      <c r="D82" s="269" t="str">
        <f aca="false">IFERROR("Exp: "&amp;TEXT(INDEX('Input Data'!H:H,MATCH("4.01",'Input Data'!C:C,0)),"MMM-YY")&amp;" ("&amp;TEXT(INDEX('Input Data'!V:V,MATCH("4.01",'Input Data'!C:C,0)),"0.0")&amp;" yrs)","—")</f>
        <v>Exp: Jun-31 (4.7 yrs)</v>
      </c>
      <c r="E82" s="269"/>
      <c r="F82" s="269"/>
      <c r="G82" s="269"/>
      <c r="H82" s="269"/>
      <c r="I82" s="269"/>
      <c r="J82" s="269"/>
      <c r="K82" s="269"/>
      <c r="L82" s="269"/>
      <c r="M82" s="269"/>
      <c r="N82" s="269"/>
      <c r="O82" s="269"/>
      <c r="P82" s="269"/>
      <c r="Q82" s="269"/>
      <c r="R82" s="269"/>
      <c r="S82" s="269"/>
      <c r="T82" s="269"/>
      <c r="U82" s="269"/>
      <c r="V82" s="269"/>
      <c r="W82" s="269"/>
      <c r="X82" s="269"/>
      <c r="Y82" s="269"/>
      <c r="Z82" s="269"/>
      <c r="AA82" s="269"/>
      <c r="AB82" s="269"/>
      <c r="AC82" s="10"/>
      <c r="AD82" s="10"/>
    </row>
    <row r="83" customFormat="false" ht="13.5" hidden="false" customHeight="true" outlineLevel="0" collapsed="false">
      <c r="A83" s="10"/>
      <c r="B83" s="258"/>
      <c r="C83" s="258"/>
      <c r="D83" s="269" t="str">
        <f aca="false">IFERROR(TEXT(INDEX('Input Data'!V:V,MATCH("4.01",'Input Data'!C:C,0)),"0.0")&amp;" yrs remaining","—")</f>
        <v>4.7 yrs remaining</v>
      </c>
      <c r="E83" s="269"/>
      <c r="F83" s="269"/>
      <c r="G83" s="269"/>
      <c r="H83" s="269"/>
      <c r="I83" s="269"/>
      <c r="J83" s="269"/>
      <c r="K83" s="269"/>
      <c r="L83" s="269"/>
      <c r="M83" s="269"/>
      <c r="N83" s="269"/>
      <c r="O83" s="269"/>
      <c r="P83" s="269"/>
      <c r="Q83" s="269"/>
      <c r="R83" s="269"/>
      <c r="S83" s="269"/>
      <c r="T83" s="269"/>
      <c r="U83" s="269"/>
      <c r="V83" s="269"/>
      <c r="W83" s="269"/>
      <c r="X83" s="269"/>
      <c r="Y83" s="269"/>
      <c r="Z83" s="269"/>
      <c r="AA83" s="269"/>
      <c r="AB83" s="269"/>
      <c r="AC83" s="10"/>
      <c r="AD83" s="10"/>
    </row>
    <row r="84" customFormat="false" ht="3.75" hidden="false" customHeight="true" outlineLevel="0" collapsed="false">
      <c r="A84" s="10"/>
      <c r="B84" s="258"/>
      <c r="C84" s="258"/>
      <c r="D84" s="269"/>
      <c r="E84" s="269"/>
      <c r="F84" s="269"/>
      <c r="G84" s="269"/>
      <c r="H84" s="269"/>
      <c r="I84" s="269"/>
      <c r="J84" s="269"/>
      <c r="K84" s="269"/>
      <c r="L84" s="269"/>
      <c r="M84" s="269"/>
      <c r="N84" s="269"/>
      <c r="O84" s="269"/>
      <c r="P84" s="269"/>
      <c r="Q84" s="269"/>
      <c r="R84" s="269"/>
      <c r="S84" s="269"/>
      <c r="T84" s="269"/>
      <c r="U84" s="269"/>
      <c r="V84" s="269"/>
      <c r="W84" s="269"/>
      <c r="X84" s="269"/>
      <c r="Y84" s="269"/>
      <c r="Z84" s="269"/>
      <c r="AA84" s="269"/>
      <c r="AB84" s="269"/>
      <c r="AC84" s="10"/>
      <c r="AD84" s="10"/>
    </row>
    <row r="85" customFormat="false" ht="3" hidden="false" customHeight="true" outlineLevel="0" collapsed="false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  <c r="AA85" s="10"/>
      <c r="AB85" s="10"/>
      <c r="AC85" s="10"/>
      <c r="AD85" s="10"/>
    </row>
    <row r="86" customFormat="false" ht="18" hidden="false" customHeight="true" outlineLevel="0" collapsed="false">
      <c r="A86" s="10"/>
      <c r="B86" s="258" t="s">
        <v>493</v>
      </c>
      <c r="C86" s="259" t="n">
        <v>903.2</v>
      </c>
      <c r="D86" s="276" t="str">
        <f aca="false">IFERROR(INDEX('Input Data'!D:D,MATCH("3.01",'Input Data'!C:C,0)),"—")</f>
        <v>Sydney Smiletree Pty Ltd</v>
      </c>
      <c r="E86" s="276"/>
      <c r="F86" s="276"/>
      <c r="G86" s="276"/>
      <c r="H86" s="276"/>
      <c r="I86" s="267" t="str">
        <f aca="false">IFERROR(INDEX('Input Data'!D:D,MATCH("3.02",'Input Data'!C:C,0)),"—")</f>
        <v>Fitness First Australia Pty Limited</v>
      </c>
      <c r="J86" s="267"/>
      <c r="K86" s="267"/>
      <c r="L86" s="267"/>
      <c r="M86" s="267"/>
      <c r="N86" s="267"/>
      <c r="O86" s="267"/>
      <c r="P86" s="267"/>
      <c r="Q86" s="267"/>
      <c r="R86" s="267"/>
      <c r="S86" s="267"/>
      <c r="T86" s="267"/>
      <c r="U86" s="267"/>
      <c r="V86" s="267"/>
      <c r="W86" s="267"/>
      <c r="X86" s="267"/>
      <c r="Y86" s="267"/>
      <c r="Z86" s="267"/>
      <c r="AA86" s="267"/>
      <c r="AB86" s="267"/>
      <c r="AC86" s="10"/>
      <c r="AD86" s="10"/>
    </row>
    <row r="87" customFormat="false" ht="13.5" hidden="false" customHeight="true" outlineLevel="0" collapsed="false">
      <c r="A87" s="10"/>
      <c r="B87" s="258"/>
      <c r="C87" s="258"/>
      <c r="D87" s="277" t="str">
        <f aca="false">IFERROR("3.01 — "&amp;INDEX('Input Data'!B:B,MATCH("3.01",'Input Data'!C:C,0)),"—")</f>
        <v>3.01 — L03</v>
      </c>
      <c r="E87" s="277"/>
      <c r="F87" s="277"/>
      <c r="G87" s="277"/>
      <c r="H87" s="277"/>
      <c r="I87" s="269" t="str">
        <f aca="false">IFERROR("3.02 — "&amp;INDEX('Input Data'!B:B,MATCH("3.02",'Input Data'!C:C,0)),"—")</f>
        <v>3.02 — L03</v>
      </c>
      <c r="J87" s="269"/>
      <c r="K87" s="269"/>
      <c r="L87" s="269"/>
      <c r="M87" s="269"/>
      <c r="N87" s="269"/>
      <c r="O87" s="269"/>
      <c r="P87" s="269"/>
      <c r="Q87" s="269"/>
      <c r="R87" s="269"/>
      <c r="S87" s="269"/>
      <c r="T87" s="269"/>
      <c r="U87" s="269"/>
      <c r="V87" s="269"/>
      <c r="W87" s="269"/>
      <c r="X87" s="269"/>
      <c r="Y87" s="269"/>
      <c r="Z87" s="269"/>
      <c r="AA87" s="269"/>
      <c r="AB87" s="269"/>
      <c r="AC87" s="10"/>
      <c r="AD87" s="10"/>
    </row>
    <row r="88" customFormat="false" ht="13.5" hidden="false" customHeight="true" outlineLevel="0" collapsed="false">
      <c r="A88" s="10"/>
      <c r="B88" s="258"/>
      <c r="C88" s="258"/>
      <c r="D88" s="277" t="str">
        <f aca="false">IFERROR(TEXT(INDEX('Input Data'!F:F,MATCH("3.01",'Input Data'!C:C,0)),"#,##0.0")&amp;" sqm","—")</f>
        <v>107.7 sqm</v>
      </c>
      <c r="E88" s="277"/>
      <c r="F88" s="277"/>
      <c r="G88" s="277"/>
      <c r="H88" s="277"/>
      <c r="I88" s="269" t="str">
        <f aca="false">IFERROR(TEXT(INDEX('Input Data'!F:F,MATCH("3.02",'Input Data'!C:C,0)),"#,##0.0")&amp;" sqm","—")</f>
        <v>795.5 sqm</v>
      </c>
      <c r="J88" s="269"/>
      <c r="K88" s="269"/>
      <c r="L88" s="269"/>
      <c r="M88" s="269"/>
      <c r="N88" s="269"/>
      <c r="O88" s="269"/>
      <c r="P88" s="269"/>
      <c r="Q88" s="269"/>
      <c r="R88" s="269"/>
      <c r="S88" s="269"/>
      <c r="T88" s="269"/>
      <c r="U88" s="269"/>
      <c r="V88" s="269"/>
      <c r="W88" s="269"/>
      <c r="X88" s="269"/>
      <c r="Y88" s="269"/>
      <c r="Z88" s="269"/>
      <c r="AA88" s="269"/>
      <c r="AB88" s="269"/>
      <c r="AC88" s="10"/>
      <c r="AD88" s="10"/>
    </row>
    <row r="89" customFormat="false" ht="13.5" hidden="false" customHeight="true" outlineLevel="0" collapsed="false">
      <c r="A89" s="10"/>
      <c r="B89" s="258"/>
      <c r="C89" s="258"/>
      <c r="D89" s="278" t="str">
        <f aca="false">IFERROR("Face $"&amp;TEXT(INDEX('Input Data'!J:J,MATCH("3.01",'Input Data'!C:C,0)),"#,##0")&amp;" | Net $"&amp;TEXT(INDEX('Input Data'!Q:Q,MATCH("3.01",'Input Data'!C:C,0)),"#,##0 pa"),"—")</f>
        <v>Face $1,396 | Net $171,561 pa</v>
      </c>
      <c r="E89" s="278"/>
      <c r="F89" s="278"/>
      <c r="G89" s="278"/>
      <c r="H89" s="278"/>
      <c r="I89" s="271" t="str">
        <f aca="false">IFERROR("Face $"&amp;TEXT(INDEX('Input Data'!J:J,MATCH("3.02",'Input Data'!C:C,0)),"#,##0")&amp;" | Net $"&amp;TEXT(INDEX('Input Data'!Q:Q,MATCH("3.02",'Input Data'!C:C,0)),"#,##0 pa"),"—")</f>
        <v>Face $856 | Net $680,709 pa</v>
      </c>
      <c r="J89" s="271"/>
      <c r="K89" s="271"/>
      <c r="L89" s="271"/>
      <c r="M89" s="271"/>
      <c r="N89" s="271"/>
      <c r="O89" s="271"/>
      <c r="P89" s="271"/>
      <c r="Q89" s="271"/>
      <c r="R89" s="271"/>
      <c r="S89" s="271"/>
      <c r="T89" s="271"/>
      <c r="U89" s="271"/>
      <c r="V89" s="271"/>
      <c r="W89" s="271"/>
      <c r="X89" s="271"/>
      <c r="Y89" s="271"/>
      <c r="Z89" s="271"/>
      <c r="AA89" s="271"/>
      <c r="AB89" s="271"/>
      <c r="AC89" s="10"/>
      <c r="AD89" s="10"/>
    </row>
    <row r="90" customFormat="false" ht="13.5" hidden="false" customHeight="true" outlineLevel="0" collapsed="false">
      <c r="A90" s="10"/>
      <c r="B90" s="258"/>
      <c r="C90" s="258"/>
      <c r="D90" s="278" t="str">
        <f aca="false">IFERROR("Outg $"&amp;TEXT(INDEX('Input Data'!M:M,MATCH("3.01",'Input Data'!C:C,0)),"#,##0")&amp;" | Rev: "&amp;INDEX('Input Data'!S:S,MATCH("3.01",'Input Data'!C:C,0)),"—")</f>
        <v>Outg $9,156 | Rev: FIXED 4%</v>
      </c>
      <c r="E90" s="278"/>
      <c r="F90" s="278"/>
      <c r="G90" s="278"/>
      <c r="H90" s="278"/>
      <c r="I90" s="271" t="str">
        <f aca="false">IFERROR("Outg $"&amp;TEXT(INDEX('Input Data'!M:M,MATCH("3.02",'Input Data'!C:C,0)),"#,##0")&amp;" | Rev: "&amp;INDEX('Input Data'!S:S,MATCH("3.02",'Input Data'!C:C,0)),"—")</f>
        <v>Outg $0 | Rev: FIXED 4%</v>
      </c>
      <c r="J90" s="271"/>
      <c r="K90" s="271"/>
      <c r="L90" s="271"/>
      <c r="M90" s="271"/>
      <c r="N90" s="271"/>
      <c r="O90" s="271"/>
      <c r="P90" s="271"/>
      <c r="Q90" s="271"/>
      <c r="R90" s="271"/>
      <c r="S90" s="271"/>
      <c r="T90" s="271"/>
      <c r="U90" s="271"/>
      <c r="V90" s="271"/>
      <c r="W90" s="271"/>
      <c r="X90" s="271"/>
      <c r="Y90" s="271"/>
      <c r="Z90" s="271"/>
      <c r="AA90" s="271"/>
      <c r="AB90" s="271"/>
      <c r="AC90" s="10"/>
      <c r="AD90" s="10"/>
    </row>
    <row r="91" customFormat="false" ht="13.5" hidden="false" customHeight="true" outlineLevel="0" collapsed="false">
      <c r="A91" s="10"/>
      <c r="B91" s="258"/>
      <c r="C91" s="258"/>
      <c r="D91" s="277" t="str">
        <f aca="false">IFERROR("Exp: "&amp;TEXT(INDEX('Input Data'!H:H,MATCH("3.01",'Input Data'!C:C,0)),"MMM-YY")&amp;" ("&amp;TEXT(INDEX('Input Data'!V:V,MATCH("3.01",'Input Data'!C:C,0)),"0.0")&amp;" yrs)","—")</f>
        <v>Exp: Dec-28 (2.2 yrs)</v>
      </c>
      <c r="E91" s="277"/>
      <c r="F91" s="277"/>
      <c r="G91" s="277"/>
      <c r="H91" s="277"/>
      <c r="I91" s="269" t="str">
        <f aca="false">IFERROR("Exp: "&amp;TEXT(INDEX('Input Data'!H:H,MATCH("3.02",'Input Data'!C:C,0)),"MMM-YY")&amp;" ("&amp;TEXT(INDEX('Input Data'!V:V,MATCH("3.02",'Input Data'!C:C,0)),"0.0")&amp;" yrs)","—")</f>
        <v>Exp: Jun-31 (4.7 yrs)</v>
      </c>
      <c r="J91" s="269"/>
      <c r="K91" s="269"/>
      <c r="L91" s="269"/>
      <c r="M91" s="269"/>
      <c r="N91" s="269"/>
      <c r="O91" s="269"/>
      <c r="P91" s="269"/>
      <c r="Q91" s="269"/>
      <c r="R91" s="269"/>
      <c r="S91" s="269"/>
      <c r="T91" s="269"/>
      <c r="U91" s="269"/>
      <c r="V91" s="269"/>
      <c r="W91" s="269"/>
      <c r="X91" s="269"/>
      <c r="Y91" s="269"/>
      <c r="Z91" s="269"/>
      <c r="AA91" s="269"/>
      <c r="AB91" s="269"/>
      <c r="AC91" s="10"/>
      <c r="AD91" s="10"/>
    </row>
    <row r="92" customFormat="false" ht="13.5" hidden="false" customHeight="true" outlineLevel="0" collapsed="false">
      <c r="A92" s="10"/>
      <c r="B92" s="258"/>
      <c r="C92" s="258"/>
      <c r="D92" s="277" t="str">
        <f aca="false">IFERROR(TEXT(INDEX('Input Data'!V:V,MATCH("3.01",'Input Data'!C:C,0)),"0.0")&amp;" yrs remaining","—")</f>
        <v>2.2 yrs remaining</v>
      </c>
      <c r="E92" s="277"/>
      <c r="F92" s="277"/>
      <c r="G92" s="277"/>
      <c r="H92" s="277"/>
      <c r="I92" s="269" t="str">
        <f aca="false">IFERROR(TEXT(INDEX('Input Data'!V:V,MATCH("3.02",'Input Data'!C:C,0)),"0.0")&amp;" yrs remaining","—")</f>
        <v>4.7 yrs remaining</v>
      </c>
      <c r="J92" s="269"/>
      <c r="K92" s="269"/>
      <c r="L92" s="269"/>
      <c r="M92" s="269"/>
      <c r="N92" s="269"/>
      <c r="O92" s="269"/>
      <c r="P92" s="269"/>
      <c r="Q92" s="269"/>
      <c r="R92" s="269"/>
      <c r="S92" s="269"/>
      <c r="T92" s="269"/>
      <c r="U92" s="269"/>
      <c r="V92" s="269"/>
      <c r="W92" s="269"/>
      <c r="X92" s="269"/>
      <c r="Y92" s="269"/>
      <c r="Z92" s="269"/>
      <c r="AA92" s="269"/>
      <c r="AB92" s="269"/>
      <c r="AC92" s="10"/>
      <c r="AD92" s="10"/>
    </row>
    <row r="93" customFormat="false" ht="3.75" hidden="false" customHeight="true" outlineLevel="0" collapsed="false">
      <c r="A93" s="10"/>
      <c r="B93" s="258"/>
      <c r="C93" s="258"/>
      <c r="D93" s="277"/>
      <c r="E93" s="277"/>
      <c r="F93" s="277"/>
      <c r="G93" s="277"/>
      <c r="H93" s="277"/>
      <c r="I93" s="269"/>
      <c r="J93" s="269"/>
      <c r="K93" s="269"/>
      <c r="L93" s="269"/>
      <c r="M93" s="269"/>
      <c r="N93" s="269"/>
      <c r="O93" s="269"/>
      <c r="P93" s="269"/>
      <c r="Q93" s="269"/>
      <c r="R93" s="269"/>
      <c r="S93" s="269"/>
      <c r="T93" s="269"/>
      <c r="U93" s="269"/>
      <c r="V93" s="269"/>
      <c r="W93" s="269"/>
      <c r="X93" s="269"/>
      <c r="Y93" s="269"/>
      <c r="Z93" s="269"/>
      <c r="AA93" s="269"/>
      <c r="AB93" s="269"/>
      <c r="AC93" s="10"/>
      <c r="AD93" s="10"/>
    </row>
    <row r="94" customFormat="false" ht="3" hidden="false" customHeight="true" outlineLevel="0" collapsed="false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</row>
    <row r="95" customFormat="false" ht="18" hidden="false" customHeight="true" outlineLevel="0" collapsed="false">
      <c r="A95" s="10"/>
      <c r="B95" s="258" t="s">
        <v>494</v>
      </c>
      <c r="C95" s="279" t="s">
        <v>4</v>
      </c>
      <c r="D95" s="280" t="s">
        <v>495</v>
      </c>
      <c r="E95" s="280"/>
      <c r="F95" s="280"/>
      <c r="G95" s="280"/>
      <c r="H95" s="280"/>
      <c r="I95" s="280"/>
      <c r="J95" s="280"/>
      <c r="K95" s="280"/>
      <c r="L95" s="280"/>
      <c r="M95" s="280"/>
      <c r="N95" s="280"/>
      <c r="O95" s="280"/>
      <c r="P95" s="280"/>
      <c r="Q95" s="280"/>
      <c r="R95" s="280"/>
      <c r="S95" s="280"/>
      <c r="T95" s="280"/>
      <c r="U95" s="280"/>
      <c r="V95" s="280"/>
      <c r="W95" s="280"/>
      <c r="X95" s="280"/>
      <c r="Y95" s="280"/>
      <c r="Z95" s="280"/>
      <c r="AA95" s="280"/>
      <c r="AB95" s="280"/>
      <c r="AC95" s="10"/>
      <c r="AD95" s="10"/>
    </row>
    <row r="96" customFormat="false" ht="13.5" hidden="false" customHeight="true" outlineLevel="0" collapsed="false">
      <c r="A96" s="10"/>
      <c r="B96" s="258"/>
      <c r="C96" s="258"/>
      <c r="D96" s="274" t="s">
        <v>496</v>
      </c>
      <c r="E96" s="274"/>
      <c r="F96" s="274"/>
      <c r="G96" s="274"/>
      <c r="H96" s="274"/>
      <c r="I96" s="274"/>
      <c r="J96" s="274"/>
      <c r="K96" s="274"/>
      <c r="L96" s="274"/>
      <c r="M96" s="274"/>
      <c r="N96" s="274"/>
      <c r="O96" s="274"/>
      <c r="P96" s="274"/>
      <c r="Q96" s="274"/>
      <c r="R96" s="274"/>
      <c r="S96" s="274"/>
      <c r="T96" s="274"/>
      <c r="U96" s="274"/>
      <c r="V96" s="274"/>
      <c r="W96" s="274"/>
      <c r="X96" s="274"/>
      <c r="Y96" s="274"/>
      <c r="Z96" s="274"/>
      <c r="AA96" s="274"/>
      <c r="AB96" s="274"/>
      <c r="AC96" s="10"/>
      <c r="AD96" s="10"/>
    </row>
    <row r="97" customFormat="false" ht="13.5" hidden="false" customHeight="true" outlineLevel="0" collapsed="false">
      <c r="A97" s="10"/>
      <c r="B97" s="258"/>
      <c r="C97" s="258"/>
      <c r="D97" s="274" t="s">
        <v>4</v>
      </c>
      <c r="E97" s="274"/>
      <c r="F97" s="274"/>
      <c r="G97" s="274"/>
      <c r="H97" s="274"/>
      <c r="I97" s="274"/>
      <c r="J97" s="274"/>
      <c r="K97" s="274"/>
      <c r="L97" s="274"/>
      <c r="M97" s="274"/>
      <c r="N97" s="274"/>
      <c r="O97" s="274"/>
      <c r="P97" s="274"/>
      <c r="Q97" s="274"/>
      <c r="R97" s="274"/>
      <c r="S97" s="274"/>
      <c r="T97" s="274"/>
      <c r="U97" s="274"/>
      <c r="V97" s="274"/>
      <c r="W97" s="274"/>
      <c r="X97" s="274"/>
      <c r="Y97" s="274"/>
      <c r="Z97" s="274"/>
      <c r="AA97" s="274"/>
      <c r="AB97" s="274"/>
      <c r="AC97" s="10"/>
      <c r="AD97" s="10"/>
    </row>
    <row r="98" customFormat="false" ht="13.5" hidden="false" customHeight="true" outlineLevel="0" collapsed="false">
      <c r="A98" s="10"/>
      <c r="B98" s="258"/>
      <c r="C98" s="258"/>
      <c r="D98" s="275" t="s">
        <v>497</v>
      </c>
      <c r="E98" s="275"/>
      <c r="F98" s="275"/>
      <c r="G98" s="275"/>
      <c r="H98" s="275"/>
      <c r="I98" s="275"/>
      <c r="J98" s="275"/>
      <c r="K98" s="275"/>
      <c r="L98" s="275"/>
      <c r="M98" s="275"/>
      <c r="N98" s="275"/>
      <c r="O98" s="275"/>
      <c r="P98" s="275"/>
      <c r="Q98" s="275"/>
      <c r="R98" s="275"/>
      <c r="S98" s="275"/>
      <c r="T98" s="275"/>
      <c r="U98" s="275"/>
      <c r="V98" s="275"/>
      <c r="W98" s="275"/>
      <c r="X98" s="275"/>
      <c r="Y98" s="275"/>
      <c r="Z98" s="275"/>
      <c r="AA98" s="275"/>
      <c r="AB98" s="275"/>
      <c r="AC98" s="10"/>
      <c r="AD98" s="10"/>
    </row>
    <row r="99" customFormat="false" ht="13.5" hidden="false" customHeight="true" outlineLevel="0" collapsed="false">
      <c r="A99" s="10"/>
      <c r="B99" s="258"/>
      <c r="C99" s="258"/>
      <c r="D99" s="275" t="s">
        <v>498</v>
      </c>
      <c r="E99" s="275"/>
      <c r="F99" s="275"/>
      <c r="G99" s="275"/>
      <c r="H99" s="275"/>
      <c r="I99" s="275"/>
      <c r="J99" s="275"/>
      <c r="K99" s="275"/>
      <c r="L99" s="275"/>
      <c r="M99" s="275"/>
      <c r="N99" s="275"/>
      <c r="O99" s="275"/>
      <c r="P99" s="275"/>
      <c r="Q99" s="275"/>
      <c r="R99" s="275"/>
      <c r="S99" s="275"/>
      <c r="T99" s="275"/>
      <c r="U99" s="275"/>
      <c r="V99" s="275"/>
      <c r="W99" s="275"/>
      <c r="X99" s="275"/>
      <c r="Y99" s="275"/>
      <c r="Z99" s="275"/>
      <c r="AA99" s="275"/>
      <c r="AB99" s="275"/>
      <c r="AC99" s="10"/>
      <c r="AD99" s="10"/>
    </row>
    <row r="100" customFormat="false" ht="13.5" hidden="false" customHeight="true" outlineLevel="0" collapsed="false">
      <c r="A100" s="10"/>
      <c r="B100" s="258"/>
      <c r="C100" s="258"/>
      <c r="D100" s="274" t="s">
        <v>499</v>
      </c>
      <c r="E100" s="274"/>
      <c r="F100" s="274"/>
      <c r="G100" s="274"/>
      <c r="H100" s="274"/>
      <c r="I100" s="274"/>
      <c r="J100" s="274"/>
      <c r="K100" s="274"/>
      <c r="L100" s="274"/>
      <c r="M100" s="274"/>
      <c r="N100" s="274"/>
      <c r="O100" s="274"/>
      <c r="P100" s="274"/>
      <c r="Q100" s="274"/>
      <c r="R100" s="274"/>
      <c r="S100" s="274"/>
      <c r="T100" s="274"/>
      <c r="U100" s="274"/>
      <c r="V100" s="274"/>
      <c r="W100" s="274"/>
      <c r="X100" s="274"/>
      <c r="Y100" s="274"/>
      <c r="Z100" s="274"/>
      <c r="AA100" s="274"/>
      <c r="AB100" s="274"/>
      <c r="AC100" s="10"/>
      <c r="AD100" s="10"/>
    </row>
    <row r="101" customFormat="false" ht="13.5" hidden="false" customHeight="true" outlineLevel="0" collapsed="false">
      <c r="A101" s="10"/>
      <c r="B101" s="258"/>
      <c r="C101" s="258"/>
      <c r="D101" s="274" t="s">
        <v>500</v>
      </c>
      <c r="E101" s="274"/>
      <c r="F101" s="274"/>
      <c r="G101" s="274"/>
      <c r="H101" s="274"/>
      <c r="I101" s="274"/>
      <c r="J101" s="274"/>
      <c r="K101" s="274"/>
      <c r="L101" s="274"/>
      <c r="M101" s="274"/>
      <c r="N101" s="274"/>
      <c r="O101" s="274"/>
      <c r="P101" s="274"/>
      <c r="Q101" s="274"/>
      <c r="R101" s="274"/>
      <c r="S101" s="274"/>
      <c r="T101" s="274"/>
      <c r="U101" s="274"/>
      <c r="V101" s="274"/>
      <c r="W101" s="274"/>
      <c r="X101" s="274"/>
      <c r="Y101" s="274"/>
      <c r="Z101" s="274"/>
      <c r="AA101" s="274"/>
      <c r="AB101" s="274"/>
      <c r="AC101" s="10"/>
      <c r="AD101" s="10"/>
    </row>
    <row r="102" customFormat="false" ht="3.75" hidden="false" customHeight="true" outlineLevel="0" collapsed="false">
      <c r="A102" s="10"/>
      <c r="B102" s="258"/>
      <c r="C102" s="258"/>
      <c r="D102" s="274"/>
      <c r="E102" s="274"/>
      <c r="F102" s="274"/>
      <c r="G102" s="274"/>
      <c r="H102" s="274"/>
      <c r="I102" s="274"/>
      <c r="J102" s="274"/>
      <c r="K102" s="274"/>
      <c r="L102" s="274"/>
      <c r="M102" s="274"/>
      <c r="N102" s="274"/>
      <c r="O102" s="274"/>
      <c r="P102" s="274"/>
      <c r="Q102" s="274"/>
      <c r="R102" s="274"/>
      <c r="S102" s="274"/>
      <c r="T102" s="274"/>
      <c r="U102" s="274"/>
      <c r="V102" s="274"/>
      <c r="W102" s="274"/>
      <c r="X102" s="274"/>
      <c r="Y102" s="274"/>
      <c r="Z102" s="274"/>
      <c r="AA102" s="274"/>
      <c r="AB102" s="274"/>
      <c r="AC102" s="10"/>
      <c r="AD102" s="10"/>
    </row>
    <row r="103" customFormat="false" ht="3" hidden="false" customHeight="true" outlineLevel="0" collapsed="false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</row>
    <row r="104" customFormat="false" ht="7.5" hidden="false" customHeight="true" outlineLevel="0" collapsed="false">
      <c r="A104" s="10"/>
      <c r="B104" s="95"/>
      <c r="C104" s="95"/>
      <c r="D104" s="257"/>
      <c r="E104" s="257"/>
      <c r="F104" s="257"/>
      <c r="G104" s="257"/>
      <c r="H104" s="257"/>
      <c r="I104" s="257"/>
      <c r="J104" s="257"/>
      <c r="K104" s="257"/>
      <c r="L104" s="257"/>
      <c r="M104" s="257"/>
      <c r="N104" s="257"/>
      <c r="O104" s="257"/>
      <c r="P104" s="257"/>
      <c r="Q104" s="257"/>
      <c r="R104" s="257"/>
      <c r="S104" s="257"/>
      <c r="T104" s="257"/>
      <c r="U104" s="257"/>
      <c r="V104" s="257"/>
      <c r="W104" s="257"/>
      <c r="X104" s="257"/>
      <c r="Y104" s="257"/>
      <c r="Z104" s="257"/>
      <c r="AA104" s="257"/>
      <c r="AB104" s="257"/>
      <c r="AC104" s="10"/>
      <c r="AD104" s="10"/>
    </row>
    <row r="105" customFormat="false" ht="14.25" hidden="false" customHeight="true" outlineLevel="0" collapsed="false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</row>
    <row r="106" customFormat="false" ht="18" hidden="false" customHeight="true" outlineLevel="0" collapsed="false">
      <c r="A106" s="10"/>
      <c r="B106" s="11" t="s">
        <v>501</v>
      </c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  <c r="AA106" s="11"/>
      <c r="AB106" s="11"/>
      <c r="AC106" s="10"/>
      <c r="AD106" s="10"/>
    </row>
    <row r="107" customFormat="false" ht="19.5" hidden="false" customHeight="true" outlineLevel="0" collapsed="false">
      <c r="A107" s="10"/>
      <c r="B107" s="10"/>
      <c r="C107" s="10"/>
      <c r="D107" s="86" t="s">
        <v>502</v>
      </c>
      <c r="E107" s="86"/>
      <c r="F107" s="86"/>
      <c r="G107" s="10"/>
      <c r="H107" s="87" t="s">
        <v>267</v>
      </c>
      <c r="I107" s="87"/>
      <c r="J107" s="87"/>
      <c r="K107" s="10"/>
      <c r="L107" s="85" t="s">
        <v>268</v>
      </c>
      <c r="M107" s="85"/>
      <c r="N107" s="85"/>
      <c r="O107" s="10"/>
      <c r="P107" s="84" t="s">
        <v>269</v>
      </c>
      <c r="Q107" s="84"/>
      <c r="R107" s="84"/>
      <c r="S107" s="10"/>
      <c r="T107" s="281" t="s">
        <v>270</v>
      </c>
      <c r="U107" s="281"/>
      <c r="V107" s="281"/>
      <c r="W107" s="10"/>
      <c r="X107" s="282" t="s">
        <v>271</v>
      </c>
      <c r="Y107" s="282"/>
      <c r="Z107" s="282"/>
      <c r="AA107" s="10"/>
      <c r="AB107" s="283" t="s">
        <v>503</v>
      </c>
      <c r="AC107" s="283"/>
      <c r="AD107" s="283"/>
    </row>
    <row r="108" customFormat="false" ht="14.25" hidden="false" customHeight="true" outlineLevel="0" collapsed="false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</row>
    <row r="109" customFormat="false" ht="18" hidden="false" customHeight="true" outlineLevel="0" collapsed="false">
      <c r="A109" s="10"/>
      <c r="B109" s="170" t="s">
        <v>504</v>
      </c>
      <c r="C109" s="170"/>
      <c r="D109" s="170"/>
      <c r="E109" s="170"/>
      <c r="F109" s="170"/>
      <c r="G109" s="170"/>
      <c r="H109" s="170"/>
      <c r="I109" s="170"/>
      <c r="J109" s="170"/>
      <c r="K109" s="170"/>
      <c r="L109" s="170"/>
      <c r="M109" s="170"/>
      <c r="N109" s="170"/>
      <c r="O109" s="170"/>
      <c r="P109" s="170"/>
      <c r="Q109" s="170"/>
      <c r="R109" s="170"/>
      <c r="S109" s="170"/>
      <c r="T109" s="170"/>
      <c r="U109" s="170"/>
      <c r="V109" s="170"/>
      <c r="W109" s="170"/>
      <c r="X109" s="170"/>
      <c r="Y109" s="170"/>
      <c r="Z109" s="170"/>
      <c r="AA109" s="170"/>
      <c r="AB109" s="170"/>
      <c r="AC109" s="10"/>
      <c r="AD109" s="10"/>
    </row>
  </sheetData>
  <mergeCells count="219">
    <mergeCell ref="A1:AD1"/>
    <mergeCell ref="A2:AD2"/>
    <mergeCell ref="D3:AB3"/>
    <mergeCell ref="D4:AB4"/>
    <mergeCell ref="B5:B12"/>
    <mergeCell ref="C5:C12"/>
    <mergeCell ref="D5:K5"/>
    <mergeCell ref="L5:AB5"/>
    <mergeCell ref="D6:K6"/>
    <mergeCell ref="L6:AB6"/>
    <mergeCell ref="D7:K7"/>
    <mergeCell ref="L7:AB7"/>
    <mergeCell ref="D8:K8"/>
    <mergeCell ref="L8:AB8"/>
    <mergeCell ref="D9:K9"/>
    <mergeCell ref="L9:AB9"/>
    <mergeCell ref="D10:K10"/>
    <mergeCell ref="L10:AB10"/>
    <mergeCell ref="D11:K11"/>
    <mergeCell ref="L11:AB11"/>
    <mergeCell ref="D12:K12"/>
    <mergeCell ref="L12:AB12"/>
    <mergeCell ref="B14:B21"/>
    <mergeCell ref="C14:C21"/>
    <mergeCell ref="D14:K14"/>
    <mergeCell ref="L14:AB14"/>
    <mergeCell ref="D15:K15"/>
    <mergeCell ref="L15:AB15"/>
    <mergeCell ref="D16:K16"/>
    <mergeCell ref="L16:AB16"/>
    <mergeCell ref="D17:K17"/>
    <mergeCell ref="L17:AB17"/>
    <mergeCell ref="D18:K18"/>
    <mergeCell ref="L18:AB18"/>
    <mergeCell ref="D19:K19"/>
    <mergeCell ref="L19:AB19"/>
    <mergeCell ref="D20:K20"/>
    <mergeCell ref="L20:AB20"/>
    <mergeCell ref="D21:AB21"/>
    <mergeCell ref="B23:B30"/>
    <mergeCell ref="C23:C30"/>
    <mergeCell ref="D23:Q23"/>
    <mergeCell ref="R23:AB23"/>
    <mergeCell ref="D24:Q24"/>
    <mergeCell ref="R24:AB24"/>
    <mergeCell ref="D25:Q25"/>
    <mergeCell ref="R25:AB25"/>
    <mergeCell ref="D26:Q26"/>
    <mergeCell ref="R26:AB26"/>
    <mergeCell ref="D27:Q27"/>
    <mergeCell ref="R27:AB27"/>
    <mergeCell ref="D28:Q28"/>
    <mergeCell ref="R28:AB28"/>
    <mergeCell ref="D29:Q29"/>
    <mergeCell ref="R29:AB29"/>
    <mergeCell ref="D30:Q30"/>
    <mergeCell ref="R30:AB30"/>
    <mergeCell ref="B32:B39"/>
    <mergeCell ref="C32:C39"/>
    <mergeCell ref="D32:Q32"/>
    <mergeCell ref="R32:AB32"/>
    <mergeCell ref="D33:Q33"/>
    <mergeCell ref="R33:AB33"/>
    <mergeCell ref="D34:Q34"/>
    <mergeCell ref="R34:AB34"/>
    <mergeCell ref="D35:Q35"/>
    <mergeCell ref="R35:AB35"/>
    <mergeCell ref="D36:Q36"/>
    <mergeCell ref="R36:AB36"/>
    <mergeCell ref="D37:Q37"/>
    <mergeCell ref="R37:AB37"/>
    <mergeCell ref="D38:Q38"/>
    <mergeCell ref="R38:AB38"/>
    <mergeCell ref="D39:Q39"/>
    <mergeCell ref="R39:AB39"/>
    <mergeCell ref="B41:B48"/>
    <mergeCell ref="C41:C48"/>
    <mergeCell ref="D41:W41"/>
    <mergeCell ref="X41:AB41"/>
    <mergeCell ref="D42:W42"/>
    <mergeCell ref="X42:AB42"/>
    <mergeCell ref="D43:W43"/>
    <mergeCell ref="X43:AB43"/>
    <mergeCell ref="D44:W44"/>
    <mergeCell ref="X44:AB44"/>
    <mergeCell ref="D45:W45"/>
    <mergeCell ref="X45:AB45"/>
    <mergeCell ref="D46:W46"/>
    <mergeCell ref="X46:AB46"/>
    <mergeCell ref="D47:W47"/>
    <mergeCell ref="X47:AB47"/>
    <mergeCell ref="D48:W48"/>
    <mergeCell ref="X48:AB48"/>
    <mergeCell ref="B50:B57"/>
    <mergeCell ref="C50:C57"/>
    <mergeCell ref="D50:Q50"/>
    <mergeCell ref="R50:AB50"/>
    <mergeCell ref="D51:Q51"/>
    <mergeCell ref="R51:AB51"/>
    <mergeCell ref="D52:Q52"/>
    <mergeCell ref="R52:AB52"/>
    <mergeCell ref="D53:Q53"/>
    <mergeCell ref="R53:AB53"/>
    <mergeCell ref="D54:Q54"/>
    <mergeCell ref="R54:AB54"/>
    <mergeCell ref="D55:Q55"/>
    <mergeCell ref="R55:AB55"/>
    <mergeCell ref="D56:Q56"/>
    <mergeCell ref="R56:AB56"/>
    <mergeCell ref="D57:Q57"/>
    <mergeCell ref="R57:AB57"/>
    <mergeCell ref="B59:B66"/>
    <mergeCell ref="C59:C66"/>
    <mergeCell ref="D59:H59"/>
    <mergeCell ref="I59:Q59"/>
    <mergeCell ref="R59:V59"/>
    <mergeCell ref="W59:AB59"/>
    <mergeCell ref="D60:H60"/>
    <mergeCell ref="I60:Q60"/>
    <mergeCell ref="R60:V60"/>
    <mergeCell ref="W60:AB60"/>
    <mergeCell ref="D61:H61"/>
    <mergeCell ref="I61:Q61"/>
    <mergeCell ref="R61:V61"/>
    <mergeCell ref="W61:AB61"/>
    <mergeCell ref="D62:H62"/>
    <mergeCell ref="I62:Q62"/>
    <mergeCell ref="R62:V62"/>
    <mergeCell ref="W62:AB62"/>
    <mergeCell ref="D63:H63"/>
    <mergeCell ref="I63:Q63"/>
    <mergeCell ref="R63:V63"/>
    <mergeCell ref="W63:AB63"/>
    <mergeCell ref="D64:H64"/>
    <mergeCell ref="I64:Q64"/>
    <mergeCell ref="R64:V64"/>
    <mergeCell ref="W64:AB64"/>
    <mergeCell ref="D65:H65"/>
    <mergeCell ref="I65:Q65"/>
    <mergeCell ref="R65:V65"/>
    <mergeCell ref="W65:AB65"/>
    <mergeCell ref="D66:H66"/>
    <mergeCell ref="I66:Q66"/>
    <mergeCell ref="R66:V66"/>
    <mergeCell ref="W66:AB66"/>
    <mergeCell ref="B68:B75"/>
    <mergeCell ref="C68:C75"/>
    <mergeCell ref="D68:M68"/>
    <mergeCell ref="N68:R68"/>
    <mergeCell ref="S68:AB68"/>
    <mergeCell ref="D69:M69"/>
    <mergeCell ref="N69:R69"/>
    <mergeCell ref="S69:AB69"/>
    <mergeCell ref="D70:M70"/>
    <mergeCell ref="N70:R70"/>
    <mergeCell ref="S70:AB70"/>
    <mergeCell ref="D71:M71"/>
    <mergeCell ref="N71:R71"/>
    <mergeCell ref="S71:AB71"/>
    <mergeCell ref="D72:M72"/>
    <mergeCell ref="N72:R72"/>
    <mergeCell ref="S72:AB72"/>
    <mergeCell ref="D73:M73"/>
    <mergeCell ref="N73:R73"/>
    <mergeCell ref="S73:AB73"/>
    <mergeCell ref="D74:M74"/>
    <mergeCell ref="N74:R74"/>
    <mergeCell ref="S74:AB74"/>
    <mergeCell ref="D75:M75"/>
    <mergeCell ref="N75:R75"/>
    <mergeCell ref="S75:AB75"/>
    <mergeCell ref="B77:B84"/>
    <mergeCell ref="C77:C84"/>
    <mergeCell ref="D77:AB77"/>
    <mergeCell ref="D78:AB78"/>
    <mergeCell ref="D79:AB79"/>
    <mergeCell ref="D80:AB80"/>
    <mergeCell ref="D81:AB81"/>
    <mergeCell ref="D82:AB82"/>
    <mergeCell ref="D83:AB83"/>
    <mergeCell ref="D84:AB84"/>
    <mergeCell ref="B86:B93"/>
    <mergeCell ref="C86:C93"/>
    <mergeCell ref="D86:H86"/>
    <mergeCell ref="I86:AB86"/>
    <mergeCell ref="D87:H87"/>
    <mergeCell ref="I87:AB87"/>
    <mergeCell ref="D88:H88"/>
    <mergeCell ref="I88:AB88"/>
    <mergeCell ref="D89:H89"/>
    <mergeCell ref="I89:AB89"/>
    <mergeCell ref="D90:H90"/>
    <mergeCell ref="I90:AB90"/>
    <mergeCell ref="D91:H91"/>
    <mergeCell ref="I91:AB91"/>
    <mergeCell ref="D92:H92"/>
    <mergeCell ref="I92:AB92"/>
    <mergeCell ref="D93:H93"/>
    <mergeCell ref="I93:AB93"/>
    <mergeCell ref="B95:B102"/>
    <mergeCell ref="C95:C102"/>
    <mergeCell ref="D95:AB95"/>
    <mergeCell ref="D96:AB96"/>
    <mergeCell ref="D97:AB97"/>
    <mergeCell ref="D98:AB98"/>
    <mergeCell ref="D99:AB99"/>
    <mergeCell ref="D100:AB100"/>
    <mergeCell ref="D101:AB101"/>
    <mergeCell ref="D102:AB102"/>
    <mergeCell ref="D104:AB104"/>
    <mergeCell ref="B106:AB106"/>
    <mergeCell ref="D107:F107"/>
    <mergeCell ref="H107:J107"/>
    <mergeCell ref="L107:N107"/>
    <mergeCell ref="P107:R107"/>
    <mergeCell ref="T107:V107"/>
    <mergeCell ref="X107:Z107"/>
    <mergeCell ref="AB107:AD107"/>
    <mergeCell ref="B109:AB109"/>
  </mergeCells>
  <printOptions headings="false" gridLines="false" gridLinesSet="true" horizontalCentered="false" verticalCentered="false"/>
  <pageMargins left="0.75" right="0.75" top="1" bottom="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&amp;C&amp;"Georgia,Regular"Goldberg Family Office</oddHeader>
    <oddFooter>&amp;C&amp;"Georgia,Regular"Prepared by jake goldberg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80" activeCellId="0" sqref="D80"/>
    </sheetView>
  </sheetViews>
  <sheetFormatPr defaultColWidth="8.6328125" defaultRowHeight="14.2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8"/>
    <col collapsed="false" customWidth="true" hidden="false" outlineLevel="0" max="3" min="3" style="1" width="14"/>
    <col collapsed="false" customWidth="true" hidden="false" outlineLevel="0" max="4" min="4" style="1" width="15.09"/>
    <col collapsed="false" customWidth="true" hidden="false" outlineLevel="0" max="5" min="5" style="1" width="10"/>
    <col collapsed="false" customWidth="true" hidden="false" outlineLevel="0" max="6" min="6" style="1" width="12"/>
    <col collapsed="false" customWidth="true" hidden="false" outlineLevel="0" max="7" min="7" style="1" width="10"/>
    <col collapsed="false" customWidth="true" hidden="false" outlineLevel="0" max="9" min="8" style="1" width="14"/>
    <col collapsed="false" customWidth="true" hidden="false" outlineLevel="0" max="10" min="10" style="1" width="10"/>
    <col collapsed="false" customWidth="true" hidden="false" outlineLevel="0" max="11" min="11" style="1" width="12.09"/>
    <col collapsed="false" customWidth="true" hidden="false" outlineLevel="0" max="13" min="12" style="1" width="14"/>
    <col collapsed="false" customWidth="true" hidden="false" outlineLevel="0" max="14" min="14" style="1" width="12"/>
    <col collapsed="false" customWidth="true" hidden="false" outlineLevel="0" max="15" min="15" style="1" width="30"/>
  </cols>
  <sheetData>
    <row r="1" customFormat="false" ht="27.75" hidden="false" customHeight="true" outlineLevel="0" collapsed="false">
      <c r="A1" s="184" t="s">
        <v>505</v>
      </c>
      <c r="B1" s="184"/>
      <c r="C1" s="184"/>
      <c r="D1" s="184"/>
      <c r="E1" s="184"/>
      <c r="F1" s="184"/>
      <c r="G1" s="184"/>
      <c r="H1" s="184"/>
      <c r="I1" s="184"/>
      <c r="J1" s="184"/>
      <c r="K1" s="184"/>
      <c r="L1" s="184"/>
      <c r="M1" s="184"/>
      <c r="N1" s="10"/>
      <c r="O1" s="10"/>
    </row>
    <row r="2" customFormat="false" ht="27.75" hidden="false" customHeight="true" outlineLevel="0" collapsed="false">
      <c r="A2" s="19" t="s">
        <v>506</v>
      </c>
      <c r="B2" s="19" t="s">
        <v>64</v>
      </c>
      <c r="C2" s="19" t="s">
        <v>507</v>
      </c>
      <c r="D2" s="19" t="s">
        <v>274</v>
      </c>
      <c r="E2" s="19" t="s">
        <v>66</v>
      </c>
      <c r="F2" s="19" t="s">
        <v>70</v>
      </c>
      <c r="G2" s="19" t="s">
        <v>508</v>
      </c>
      <c r="H2" s="19" t="s">
        <v>509</v>
      </c>
      <c r="I2" s="19" t="s">
        <v>510</v>
      </c>
      <c r="J2" s="19" t="s">
        <v>511</v>
      </c>
      <c r="K2" s="19" t="s">
        <v>512</v>
      </c>
      <c r="L2" s="19" t="s">
        <v>513</v>
      </c>
      <c r="M2" s="19" t="s">
        <v>514</v>
      </c>
      <c r="N2" s="19" t="s">
        <v>515</v>
      </c>
      <c r="O2" s="19" t="s">
        <v>88</v>
      </c>
    </row>
    <row r="3" customFormat="false" ht="18" hidden="false" customHeight="true" outlineLevel="0" collapsed="false">
      <c r="A3" s="36" t="n">
        <v>45962</v>
      </c>
      <c r="B3" s="23" t="s">
        <v>193</v>
      </c>
      <c r="C3" s="134" t="s">
        <v>516</v>
      </c>
      <c r="D3" s="22" t="s">
        <v>192</v>
      </c>
      <c r="E3" s="35" t="n">
        <v>251</v>
      </c>
      <c r="F3" s="38" t="n">
        <v>985</v>
      </c>
      <c r="G3" s="284" t="n">
        <v>0.035</v>
      </c>
      <c r="H3" s="36" t="n">
        <v>45962</v>
      </c>
      <c r="I3" s="36" t="n">
        <v>47787</v>
      </c>
      <c r="J3" s="22" t="s">
        <v>517</v>
      </c>
      <c r="K3" s="285" t="n">
        <v>0.37</v>
      </c>
      <c r="L3" s="38" t="n">
        <v>0</v>
      </c>
      <c r="M3" s="38" t="n">
        <v>66750.12</v>
      </c>
      <c r="N3" s="38" t="n">
        <v>0</v>
      </c>
      <c r="O3" s="23" t="s">
        <v>518</v>
      </c>
    </row>
    <row r="4" customFormat="false" ht="18" hidden="false" customHeight="true" outlineLevel="0" collapsed="false">
      <c r="A4" s="48" t="n">
        <v>45992</v>
      </c>
      <c r="B4" s="30" t="s">
        <v>198</v>
      </c>
      <c r="C4" s="134" t="s">
        <v>516</v>
      </c>
      <c r="D4" s="45" t="s">
        <v>197</v>
      </c>
      <c r="E4" s="47" t="n">
        <v>344.5</v>
      </c>
      <c r="F4" s="50" t="n">
        <v>990.29</v>
      </c>
      <c r="G4" s="286" t="n">
        <v>0.035</v>
      </c>
      <c r="H4" s="48" t="n">
        <v>45992</v>
      </c>
      <c r="I4" s="48" t="n">
        <v>47483</v>
      </c>
      <c r="J4" s="45" t="s">
        <v>519</v>
      </c>
      <c r="K4" s="191" t="n">
        <v>0.4</v>
      </c>
      <c r="L4" s="50" t="n">
        <v>0</v>
      </c>
      <c r="M4" s="50" t="n">
        <v>137802.12</v>
      </c>
      <c r="N4" s="50" t="n">
        <v>0</v>
      </c>
      <c r="O4" s="30" t="s">
        <v>520</v>
      </c>
    </row>
    <row r="5" customFormat="false" ht="18" hidden="false" customHeight="true" outlineLevel="0" collapsed="false">
      <c r="A5" s="36" t="n">
        <v>45870</v>
      </c>
      <c r="B5" s="23" t="s">
        <v>153</v>
      </c>
      <c r="C5" s="134" t="s">
        <v>516</v>
      </c>
      <c r="D5" s="22" t="s">
        <v>152</v>
      </c>
      <c r="E5" s="35" t="n">
        <v>267.9</v>
      </c>
      <c r="F5" s="38" t="n">
        <v>920</v>
      </c>
      <c r="G5" s="21"/>
      <c r="H5" s="36" t="n">
        <v>45870</v>
      </c>
      <c r="I5" s="36" t="n">
        <v>48426</v>
      </c>
      <c r="J5" s="22" t="s">
        <v>521</v>
      </c>
      <c r="K5" s="285" t="n">
        <v>0.4</v>
      </c>
      <c r="L5" s="38" t="n">
        <v>0</v>
      </c>
      <c r="M5" s="38" t="n">
        <v>690110</v>
      </c>
      <c r="N5" s="38" t="n">
        <v>0</v>
      </c>
      <c r="O5" s="23" t="s">
        <v>522</v>
      </c>
    </row>
    <row r="6" customFormat="false" ht="18" hidden="false" customHeight="true" outlineLevel="0" collapsed="false">
      <c r="A6" s="48" t="n">
        <v>45809</v>
      </c>
      <c r="B6" s="30" t="s">
        <v>179</v>
      </c>
      <c r="C6" s="134" t="s">
        <v>516</v>
      </c>
      <c r="D6" s="45" t="s">
        <v>178</v>
      </c>
      <c r="E6" s="47" t="n">
        <v>116.3</v>
      </c>
      <c r="F6" s="50" t="n">
        <v>990</v>
      </c>
      <c r="G6" s="286" t="n">
        <v>0.0375</v>
      </c>
      <c r="H6" s="48" t="n">
        <v>45809</v>
      </c>
      <c r="I6" s="48" t="n">
        <v>47787</v>
      </c>
      <c r="J6" s="45" t="s">
        <v>523</v>
      </c>
      <c r="K6" s="191" t="n">
        <v>0.42</v>
      </c>
      <c r="L6" s="50" t="n">
        <v>0</v>
      </c>
      <c r="M6" s="50" t="n">
        <v>48357.48</v>
      </c>
      <c r="N6" s="50" t="n">
        <v>0</v>
      </c>
      <c r="O6" s="30" t="s">
        <v>524</v>
      </c>
    </row>
    <row r="7" customFormat="false" ht="18" hidden="false" customHeight="true" outlineLevel="0" collapsed="false">
      <c r="A7" s="36" t="n">
        <v>45762</v>
      </c>
      <c r="B7" s="23" t="s">
        <v>139</v>
      </c>
      <c r="C7" s="134" t="s">
        <v>516</v>
      </c>
      <c r="D7" s="22" t="s">
        <v>138</v>
      </c>
      <c r="E7" s="35" t="n">
        <v>451.7</v>
      </c>
      <c r="F7" s="38" t="n">
        <v>954.5</v>
      </c>
      <c r="G7" s="284" t="n">
        <v>0.0375</v>
      </c>
      <c r="H7" s="36" t="n">
        <v>45762</v>
      </c>
      <c r="I7" s="36" t="n">
        <v>47375</v>
      </c>
      <c r="J7" s="22" t="s">
        <v>525</v>
      </c>
      <c r="K7" s="285" t="n">
        <v>0.5</v>
      </c>
      <c r="L7" s="38" t="n">
        <v>0</v>
      </c>
      <c r="M7" s="38" t="n">
        <v>211718.64</v>
      </c>
      <c r="N7" s="38" t="n">
        <v>0</v>
      </c>
      <c r="O7" s="23" t="s">
        <v>526</v>
      </c>
    </row>
    <row r="8" customFormat="false" ht="18" hidden="false" customHeight="true" outlineLevel="0" collapsed="false">
      <c r="A8" s="48" t="n">
        <v>45642</v>
      </c>
      <c r="B8" s="30" t="s">
        <v>204</v>
      </c>
      <c r="C8" s="134" t="s">
        <v>516</v>
      </c>
      <c r="D8" s="45" t="s">
        <v>202</v>
      </c>
      <c r="E8" s="47" t="n">
        <v>536</v>
      </c>
      <c r="F8" s="50" t="n">
        <v>988</v>
      </c>
      <c r="G8" s="286" t="n">
        <v>0.04</v>
      </c>
      <c r="H8" s="48" t="n">
        <v>45642</v>
      </c>
      <c r="I8" s="48" t="n">
        <v>47832</v>
      </c>
      <c r="J8" s="45" t="s">
        <v>527</v>
      </c>
      <c r="K8" s="191" t="n">
        <v>0.35</v>
      </c>
      <c r="L8" s="50" t="n">
        <v>762115</v>
      </c>
      <c r="M8" s="50" t="n">
        <v>51200.76</v>
      </c>
      <c r="N8" s="50" t="n">
        <v>0</v>
      </c>
      <c r="O8" s="30" t="s">
        <v>528</v>
      </c>
    </row>
    <row r="9" customFormat="false" ht="18" hidden="false" customHeight="true" outlineLevel="0" collapsed="false">
      <c r="A9" s="36" t="n">
        <v>45352</v>
      </c>
      <c r="B9" s="23" t="s">
        <v>132</v>
      </c>
      <c r="C9" s="134" t="s">
        <v>516</v>
      </c>
      <c r="D9" s="22" t="s">
        <v>131</v>
      </c>
      <c r="E9" s="35" t="n">
        <v>413.5</v>
      </c>
      <c r="F9" s="38" t="n">
        <v>1005.89</v>
      </c>
      <c r="G9" s="284" t="n">
        <v>0.04</v>
      </c>
      <c r="H9" s="36" t="n">
        <v>45352</v>
      </c>
      <c r="I9" s="36" t="n">
        <v>47177</v>
      </c>
      <c r="J9" s="22" t="s">
        <v>517</v>
      </c>
      <c r="K9" s="285" t="n">
        <v>0.25</v>
      </c>
      <c r="L9" s="38" t="n">
        <v>672971.25</v>
      </c>
      <c r="M9" s="38" t="n">
        <v>104594.28</v>
      </c>
      <c r="N9" s="38" t="n">
        <v>0</v>
      </c>
      <c r="O9" s="23" t="s">
        <v>529</v>
      </c>
    </row>
    <row r="10" customFormat="false" ht="18" hidden="false" customHeight="true" outlineLevel="0" collapsed="false">
      <c r="A10" s="48" t="n">
        <v>45444</v>
      </c>
      <c r="B10" s="30" t="s">
        <v>123</v>
      </c>
      <c r="C10" s="22" t="s">
        <v>530</v>
      </c>
      <c r="D10" s="45" t="s">
        <v>122</v>
      </c>
      <c r="E10" s="47" t="n">
        <v>229.8</v>
      </c>
      <c r="F10" s="50" t="n">
        <v>877.01</v>
      </c>
      <c r="G10" s="286" t="n">
        <v>0.035</v>
      </c>
      <c r="H10" s="48" t="n">
        <v>45444</v>
      </c>
      <c r="I10" s="48" t="n">
        <v>47269</v>
      </c>
      <c r="J10" s="45" t="s">
        <v>517</v>
      </c>
      <c r="K10" s="191" t="n">
        <v>0</v>
      </c>
      <c r="L10" s="50" t="n">
        <v>0</v>
      </c>
      <c r="M10" s="50" t="n">
        <v>0</v>
      </c>
      <c r="N10" s="50" t="n">
        <v>0</v>
      </c>
      <c r="O10" s="30" t="s">
        <v>531</v>
      </c>
    </row>
    <row r="11" customFormat="false" ht="18" hidden="false" customHeight="true" outlineLevel="0" collapsed="false">
      <c r="A11" s="36" t="n">
        <v>45992</v>
      </c>
      <c r="B11" s="23" t="s">
        <v>532</v>
      </c>
      <c r="C11" s="134" t="s">
        <v>516</v>
      </c>
      <c r="D11" s="22" t="s">
        <v>209</v>
      </c>
      <c r="E11" s="35" t="n">
        <v>186.4</v>
      </c>
      <c r="F11" s="38" t="n">
        <v>920</v>
      </c>
      <c r="G11" s="21"/>
      <c r="H11" s="36" t="n">
        <v>46204</v>
      </c>
      <c r="I11" s="36" t="n">
        <v>48395</v>
      </c>
      <c r="J11" s="22" t="s">
        <v>527</v>
      </c>
      <c r="K11" s="22" t="n">
        <v>46.5</v>
      </c>
      <c r="L11" s="287" t="n">
        <v>0</v>
      </c>
      <c r="M11" s="288" t="n">
        <v>512255</v>
      </c>
      <c r="N11" s="38" t="n">
        <v>0</v>
      </c>
      <c r="O11" s="23" t="s">
        <v>533</v>
      </c>
    </row>
    <row r="12" customFormat="false" ht="18" hidden="false" customHeight="true" outlineLevel="0" collapsed="false">
      <c r="A12" s="36" t="n">
        <v>45931</v>
      </c>
      <c r="B12" s="23" t="s">
        <v>227</v>
      </c>
      <c r="C12" s="134" t="s">
        <v>516</v>
      </c>
      <c r="D12" s="45" t="n">
        <v>11.02</v>
      </c>
      <c r="E12" s="47" t="n">
        <v>536</v>
      </c>
      <c r="F12" s="50" t="n">
        <v>1040</v>
      </c>
      <c r="G12" s="286" t="n">
        <v>0.035</v>
      </c>
      <c r="H12" s="48" t="n">
        <v>46296</v>
      </c>
      <c r="I12" s="48" t="n">
        <v>49582</v>
      </c>
      <c r="J12" s="45" t="s">
        <v>527</v>
      </c>
      <c r="K12" s="191" t="n">
        <v>0.425</v>
      </c>
      <c r="L12" s="287" t="n">
        <v>750400</v>
      </c>
      <c r="M12" s="288" t="n">
        <v>671072</v>
      </c>
      <c r="N12" s="50" t="n">
        <v>0</v>
      </c>
      <c r="O12" s="23" t="s">
        <v>534</v>
      </c>
    </row>
    <row r="13" customFormat="false" ht="18" hidden="false" customHeight="true" outlineLevel="0" collapsed="false">
      <c r="A13" s="250"/>
      <c r="B13" s="249"/>
      <c r="C13" s="289"/>
      <c r="D13" s="21"/>
      <c r="E13" s="290"/>
      <c r="F13" s="291"/>
      <c r="G13" s="21"/>
      <c r="H13" s="250"/>
      <c r="I13" s="250"/>
      <c r="J13" s="21"/>
      <c r="K13" s="21"/>
      <c r="L13" s="21"/>
      <c r="M13" s="21"/>
      <c r="N13" s="291"/>
      <c r="O13" s="249"/>
    </row>
    <row r="14" customFormat="false" ht="14.25" hidden="false" customHeight="true" outlineLevel="0" collapsed="false">
      <c r="A14" s="10"/>
      <c r="B14" s="10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</row>
    <row r="15" customFormat="false" ht="14.25" hidden="false" customHeight="true" outlineLevel="0" collapsed="false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</row>
    <row r="16" customFormat="false" ht="19.5" hidden="false" customHeight="true" outlineLevel="0" collapsed="false">
      <c r="A16" s="74" t="s">
        <v>535</v>
      </c>
      <c r="B16" s="74"/>
      <c r="C16" s="74"/>
      <c r="D16" s="74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</row>
    <row r="17" customFormat="false" ht="15.75" hidden="false" customHeight="true" outlineLevel="0" collapsed="false">
      <c r="A17" s="34" t="s">
        <v>536</v>
      </c>
      <c r="B17" s="34"/>
      <c r="C17" s="34"/>
      <c r="D17" s="292" t="str">
        <f aca="false">TEXT(Dashboard!E14,"0.0")&amp;" years"</f>
        <v>3.9 years</v>
      </c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</row>
    <row r="18" customFormat="false" ht="15.75" hidden="false" customHeight="true" outlineLevel="0" collapsed="false">
      <c r="A18" s="46" t="s">
        <v>537</v>
      </c>
      <c r="B18" s="46"/>
      <c r="C18" s="46"/>
      <c r="D18" s="29" t="str">
        <f aca="false">TEXT('Input Data'!K26,"0.00%")</f>
        <v>91.20%</v>
      </c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</row>
    <row r="19" customFormat="false" ht="15.75" hidden="false" customHeight="true" outlineLevel="0" collapsed="false">
      <c r="A19" s="34" t="s">
        <v>538</v>
      </c>
      <c r="B19" s="34"/>
      <c r="C19" s="34"/>
      <c r="D19" s="292" t="s">
        <v>539</v>
      </c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</row>
    <row r="20" customFormat="false" ht="15.75" hidden="false" customHeight="true" outlineLevel="0" collapsed="false">
      <c r="A20" s="46" t="s">
        <v>540</v>
      </c>
      <c r="B20" s="46"/>
      <c r="C20" s="46"/>
      <c r="D20" s="29" t="s">
        <v>541</v>
      </c>
      <c r="E20" s="10"/>
      <c r="F20" s="10"/>
      <c r="G20" s="10"/>
      <c r="H20" s="10"/>
      <c r="I20" s="10"/>
      <c r="J20" s="10"/>
      <c r="K20" s="146" t="s">
        <v>542</v>
      </c>
      <c r="L20" s="10"/>
      <c r="M20" s="10"/>
      <c r="N20" s="10"/>
      <c r="O20" s="10"/>
    </row>
    <row r="21" customFormat="false" ht="15.75" hidden="false" customHeight="true" outlineLevel="0" collapsed="false">
      <c r="A21" s="34" t="s">
        <v>543</v>
      </c>
      <c r="B21" s="34"/>
      <c r="C21" s="34"/>
      <c r="D21" s="292" t="s">
        <v>544</v>
      </c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</row>
    <row r="22" customFormat="false" ht="15.75" hidden="false" customHeight="true" outlineLevel="0" collapsed="false">
      <c r="A22" s="46" t="s">
        <v>545</v>
      </c>
      <c r="B22" s="46"/>
      <c r="C22" s="46"/>
      <c r="D22" s="29" t="s">
        <v>546</v>
      </c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</row>
    <row r="23" customFormat="false" ht="15.75" hidden="false" customHeight="true" outlineLevel="0" collapsed="false">
      <c r="A23" s="34" t="s">
        <v>547</v>
      </c>
      <c r="B23" s="34"/>
      <c r="C23" s="34"/>
      <c r="D23" s="292" t="str">
        <f aca="false">TEXT(SUM(E3:E12),"#,##0")&amp;" sqm leased/renewed"</f>
        <v>3,333 sqm leased/renewed</v>
      </c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</row>
    <row r="24" customFormat="false" ht="14.25" hidden="false" customHeight="true" outlineLevel="0" collapsed="false">
      <c r="A24" s="10"/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</row>
    <row r="25" customFormat="false" ht="14.25" hidden="false" customHeight="true" outlineLevel="0" collapsed="false">
      <c r="A25" s="10"/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</row>
    <row r="26" customFormat="false" ht="14.25" hidden="false" customHeight="true" outlineLevel="0" collapsed="false">
      <c r="A26" s="10"/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</row>
    <row r="27" customFormat="false" ht="14.25" hidden="false" customHeight="true" outlineLevel="0" collapsed="false">
      <c r="A27" s="10"/>
      <c r="B27" s="10"/>
      <c r="C27" s="10"/>
      <c r="D27" s="10"/>
      <c r="E27" s="10"/>
      <c r="F27" s="10"/>
      <c r="G27" s="10"/>
      <c r="H27" s="10"/>
      <c r="I27" s="10"/>
      <c r="J27" s="10"/>
      <c r="K27" s="293"/>
      <c r="L27" s="10"/>
      <c r="M27" s="10"/>
      <c r="N27" s="10"/>
      <c r="O27" s="10"/>
    </row>
  </sheetData>
  <mergeCells count="9">
    <mergeCell ref="A1:M1"/>
    <mergeCell ref="A16:D16"/>
    <mergeCell ref="A17:C17"/>
    <mergeCell ref="A18:C18"/>
    <mergeCell ref="A19:C19"/>
    <mergeCell ref="A20:C20"/>
    <mergeCell ref="A21:C21"/>
    <mergeCell ref="A22:C22"/>
    <mergeCell ref="A23:C23"/>
  </mergeCells>
  <printOptions headings="false" gridLines="false" gridLinesSet="true" horizontalCentered="false" verticalCentered="false"/>
  <pageMargins left="0.75" right="0.75" top="1" bottom="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&amp;C&amp;"Georgia,Regular"Goldberg Family Office</oddHeader>
    <oddFooter>&amp;C&amp;"Georgia,Regular"Prepared by jake goldberg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1" width="1.45"/>
    <col collapsed="false" customWidth="true" hidden="false" outlineLevel="0" max="2" min="2" style="1" width="12"/>
    <col collapsed="false" customWidth="true" hidden="false" outlineLevel="0" max="3" min="3" style="1" width="30"/>
    <col collapsed="false" customWidth="true" hidden="false" outlineLevel="0" max="4" min="4" style="1" width="10"/>
    <col collapsed="false" customWidth="true" hidden="false" outlineLevel="0" max="5" min="5" style="1" width="12"/>
    <col collapsed="false" customWidth="true" hidden="false" outlineLevel="0" max="7" min="6" style="1" width="14"/>
    <col collapsed="false" customWidth="true" hidden="false" outlineLevel="0" max="8" min="8" style="1" width="12"/>
    <col collapsed="false" customWidth="true" hidden="false" outlineLevel="0" max="9" min="9" style="1" width="14"/>
    <col collapsed="false" customWidth="true" hidden="false" outlineLevel="0" max="10" min="10" style="1" width="12"/>
    <col collapsed="false" customWidth="true" hidden="false" outlineLevel="0" max="11" min="11" style="1" width="16"/>
    <col collapsed="false" customWidth="true" hidden="false" outlineLevel="0" max="12" min="12" style="1" width="14"/>
    <col collapsed="false" customWidth="true" hidden="false" outlineLevel="0" max="13" min="13" style="1" width="28"/>
  </cols>
  <sheetData>
    <row r="1" customFormat="false" ht="27.75" hidden="false" customHeight="true" outlineLevel="0" collapsed="false">
      <c r="A1" s="184" t="s">
        <v>548</v>
      </c>
      <c r="B1" s="184"/>
      <c r="C1" s="184"/>
      <c r="D1" s="184"/>
      <c r="E1" s="184"/>
      <c r="F1" s="184"/>
      <c r="G1" s="184"/>
      <c r="H1" s="184"/>
      <c r="I1" s="184"/>
      <c r="J1" s="184"/>
      <c r="K1" s="10"/>
      <c r="L1" s="10"/>
      <c r="M1" s="10"/>
    </row>
    <row r="2" customFormat="false" ht="15.75" hidden="false" customHeight="true" outlineLevel="0" collapsed="false">
      <c r="A2" s="9" t="s">
        <v>549</v>
      </c>
      <c r="B2" s="9"/>
      <c r="C2" s="9"/>
      <c r="D2" s="9"/>
      <c r="E2" s="9"/>
      <c r="F2" s="9"/>
      <c r="G2" s="9"/>
      <c r="H2" s="9"/>
      <c r="I2" s="9"/>
      <c r="J2" s="9"/>
      <c r="K2" s="10"/>
      <c r="L2" s="10"/>
      <c r="M2" s="10"/>
    </row>
    <row r="3" customFormat="false" ht="7.5" hidden="false" customHeight="true" outlineLevel="0" collapsed="false">
      <c r="A3" s="10"/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</row>
    <row r="4" customFormat="false" ht="19.5" hidden="false" customHeight="true" outlineLevel="0" collapsed="false">
      <c r="A4" s="10"/>
      <c r="B4" s="11" t="s">
        <v>550</v>
      </c>
      <c r="C4" s="11"/>
      <c r="D4" s="11"/>
      <c r="E4" s="11"/>
      <c r="F4" s="11"/>
      <c r="G4" s="11"/>
      <c r="H4" s="11"/>
      <c r="I4" s="11"/>
      <c r="J4" s="10"/>
      <c r="K4" s="10"/>
      <c r="L4" s="10"/>
      <c r="M4" s="10"/>
    </row>
    <row r="5" customFormat="false" ht="21.75" hidden="false" customHeight="true" outlineLevel="0" collapsed="false">
      <c r="A5" s="10"/>
      <c r="B5" s="34" t="s">
        <v>551</v>
      </c>
      <c r="C5" s="34"/>
      <c r="D5" s="34" t="s">
        <v>552</v>
      </c>
      <c r="E5" s="34"/>
      <c r="F5" s="34" t="s">
        <v>553</v>
      </c>
      <c r="G5" s="34"/>
      <c r="H5" s="34" t="s">
        <v>554</v>
      </c>
      <c r="I5" s="34"/>
      <c r="J5" s="10"/>
      <c r="K5" s="10"/>
      <c r="L5" s="10"/>
      <c r="M5" s="10"/>
    </row>
    <row r="6" customFormat="false" ht="21.75" hidden="false" customHeight="true" outlineLevel="0" collapsed="false">
      <c r="A6" s="10"/>
      <c r="B6" s="294" t="s">
        <v>4</v>
      </c>
      <c r="C6" s="294"/>
      <c r="D6" s="294" t="s">
        <v>4</v>
      </c>
      <c r="E6" s="294"/>
      <c r="F6" s="294" t="s">
        <v>4</v>
      </c>
      <c r="G6" s="294"/>
      <c r="H6" s="294" t="s">
        <v>4</v>
      </c>
      <c r="I6" s="294"/>
      <c r="J6" s="10"/>
      <c r="K6" s="10"/>
      <c r="L6" s="10"/>
      <c r="M6" s="10"/>
    </row>
    <row r="7" customFormat="false" ht="7.5" hidden="false" customHeight="true" outlineLevel="0" collapsed="false">
      <c r="A7" s="10"/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</row>
    <row r="8" customFormat="false" ht="19.5" hidden="false" customHeight="true" outlineLevel="0" collapsed="false">
      <c r="A8" s="10"/>
      <c r="B8" s="11" t="s">
        <v>555</v>
      </c>
      <c r="C8" s="11"/>
      <c r="D8" s="11"/>
      <c r="E8" s="11"/>
      <c r="F8" s="11"/>
      <c r="G8" s="11"/>
      <c r="H8" s="11"/>
      <c r="I8" s="11"/>
      <c r="J8" s="10"/>
      <c r="K8" s="10"/>
      <c r="L8" s="10"/>
      <c r="M8" s="10"/>
    </row>
    <row r="9" customFormat="false" ht="31.5" hidden="false" customHeight="true" outlineLevel="0" collapsed="false">
      <c r="A9" s="10"/>
      <c r="B9" s="19" t="s">
        <v>556</v>
      </c>
      <c r="C9" s="19" t="s">
        <v>557</v>
      </c>
      <c r="D9" s="19" t="s">
        <v>66</v>
      </c>
      <c r="E9" s="19" t="s">
        <v>558</v>
      </c>
      <c r="F9" s="19" t="s">
        <v>89</v>
      </c>
      <c r="G9" s="19" t="s">
        <v>559</v>
      </c>
      <c r="H9" s="19" t="s">
        <v>560</v>
      </c>
      <c r="I9" s="19" t="s">
        <v>561</v>
      </c>
      <c r="J9" s="19" t="s">
        <v>562</v>
      </c>
      <c r="K9" s="19" t="s">
        <v>563</v>
      </c>
      <c r="L9" s="19" t="s">
        <v>564</v>
      </c>
      <c r="M9" s="19" t="s">
        <v>88</v>
      </c>
    </row>
    <row r="10" customFormat="false" ht="19.5" hidden="false" customHeight="true" outlineLevel="0" collapsed="false">
      <c r="A10" s="10"/>
      <c r="B10" s="22" t="s">
        <v>185</v>
      </c>
      <c r="C10" s="23" t="s">
        <v>565</v>
      </c>
      <c r="D10" s="35" t="n">
        <v>453.3</v>
      </c>
      <c r="E10" s="36" t="n">
        <v>44746</v>
      </c>
      <c r="F10" s="134" t="s">
        <v>566</v>
      </c>
      <c r="G10" s="38" t="n">
        <v>64625.28</v>
      </c>
      <c r="H10" s="38" t="n">
        <v>186.24</v>
      </c>
      <c r="I10" s="22" t="n">
        <v>0</v>
      </c>
      <c r="J10" s="38" t="n">
        <v>64625.28</v>
      </c>
      <c r="K10" s="21"/>
      <c r="L10" s="23" t="s">
        <v>567</v>
      </c>
      <c r="M10" s="22" t="s">
        <v>568</v>
      </c>
    </row>
    <row r="11" customFormat="false" ht="19.5" hidden="false" customHeight="true" outlineLevel="0" collapsed="false">
      <c r="A11" s="10"/>
      <c r="B11" s="295" t="s">
        <v>215</v>
      </c>
      <c r="C11" s="32" t="s">
        <v>569</v>
      </c>
      <c r="D11" s="296" t="n">
        <v>349</v>
      </c>
      <c r="E11" s="141" t="n">
        <v>45292</v>
      </c>
      <c r="F11" s="134" t="s">
        <v>566</v>
      </c>
      <c r="G11" s="297" t="n">
        <v>86789.32</v>
      </c>
      <c r="H11" s="297" t="n">
        <v>248.68</v>
      </c>
      <c r="I11" s="295" t="n">
        <v>0</v>
      </c>
      <c r="J11" s="297" t="n">
        <v>86789.32</v>
      </c>
      <c r="K11" s="241"/>
      <c r="L11" s="32" t="s">
        <v>570</v>
      </c>
      <c r="M11" s="295" t="s">
        <v>571</v>
      </c>
    </row>
    <row r="12" customFormat="false" ht="19.5" hidden="false" customHeight="true" outlineLevel="0" collapsed="false">
      <c r="A12" s="10"/>
      <c r="B12" s="22" t="s">
        <v>218</v>
      </c>
      <c r="C12" s="23" t="s">
        <v>572</v>
      </c>
      <c r="D12" s="35" t="n">
        <v>438</v>
      </c>
      <c r="E12" s="36" t="n">
        <v>45292</v>
      </c>
      <c r="F12" s="134" t="s">
        <v>566</v>
      </c>
      <c r="G12" s="38" t="n">
        <v>671825</v>
      </c>
      <c r="H12" s="38" t="n">
        <v>1547.98</v>
      </c>
      <c r="I12" s="22" t="n">
        <v>0</v>
      </c>
      <c r="J12" s="38" t="n">
        <v>671825</v>
      </c>
      <c r="K12" s="21"/>
      <c r="L12" s="23" t="s">
        <v>570</v>
      </c>
      <c r="M12" s="22" t="s">
        <v>573</v>
      </c>
    </row>
    <row r="13" customFormat="false" ht="19.5" hidden="false" customHeight="true" outlineLevel="0" collapsed="false">
      <c r="A13" s="10"/>
      <c r="B13" s="295" t="s">
        <v>209</v>
      </c>
      <c r="C13" s="32" t="s">
        <v>574</v>
      </c>
      <c r="D13" s="296" t="n">
        <v>186.4</v>
      </c>
      <c r="E13" s="141" t="n">
        <v>44562</v>
      </c>
      <c r="F13" s="134" t="s">
        <v>566</v>
      </c>
      <c r="G13" s="297" t="n">
        <v>170556</v>
      </c>
      <c r="H13" s="297" t="n">
        <v>915</v>
      </c>
      <c r="I13" s="295" t="n">
        <v>0</v>
      </c>
      <c r="J13" s="297" t="n">
        <v>170556</v>
      </c>
      <c r="K13" s="241"/>
      <c r="L13" s="32" t="s">
        <v>567</v>
      </c>
      <c r="M13" s="295" t="s">
        <v>575</v>
      </c>
    </row>
    <row r="14" customFormat="false" ht="19.5" hidden="false" customHeight="true" outlineLevel="0" collapsed="false">
      <c r="A14" s="10"/>
      <c r="B14" s="22" t="s">
        <v>192</v>
      </c>
      <c r="C14" s="23" t="s">
        <v>576</v>
      </c>
      <c r="D14" s="35" t="n">
        <v>251</v>
      </c>
      <c r="E14" s="36" t="n">
        <v>44562</v>
      </c>
      <c r="F14" s="134" t="s">
        <v>566</v>
      </c>
      <c r="G14" s="38" t="n">
        <v>248030.67</v>
      </c>
      <c r="H14" s="38" t="n">
        <v>988.17</v>
      </c>
      <c r="I14" s="22" t="n">
        <v>0</v>
      </c>
      <c r="J14" s="38" t="n">
        <v>248030.67</v>
      </c>
      <c r="K14" s="21"/>
      <c r="L14" s="23" t="s">
        <v>577</v>
      </c>
      <c r="M14" s="22" t="s">
        <v>578</v>
      </c>
    </row>
    <row r="15" customFormat="false" ht="19.5" hidden="false" customHeight="true" outlineLevel="0" collapsed="false">
      <c r="A15" s="10"/>
      <c r="B15" s="295" t="s">
        <v>178</v>
      </c>
      <c r="C15" s="32" t="s">
        <v>579</v>
      </c>
      <c r="D15" s="296" t="n">
        <v>116.3</v>
      </c>
      <c r="E15" s="141" t="n">
        <v>45658</v>
      </c>
      <c r="F15" s="134" t="s">
        <v>566</v>
      </c>
      <c r="G15" s="297" t="n">
        <v>3023.8</v>
      </c>
      <c r="H15" s="297" t="n">
        <v>26</v>
      </c>
      <c r="I15" s="295" t="n">
        <v>0</v>
      </c>
      <c r="J15" s="297" t="n">
        <v>3023.8</v>
      </c>
      <c r="K15" s="241"/>
      <c r="L15" s="32" t="s">
        <v>580</v>
      </c>
      <c r="M15" s="295" t="s">
        <v>581</v>
      </c>
    </row>
    <row r="16" customFormat="false" ht="19.5" hidden="false" customHeight="true" outlineLevel="0" collapsed="false">
      <c r="A16" s="10"/>
      <c r="B16" s="22" t="s">
        <v>582</v>
      </c>
      <c r="C16" s="23" t="s">
        <v>583</v>
      </c>
      <c r="D16" s="35" t="n">
        <v>850.4</v>
      </c>
      <c r="E16" s="36" t="n">
        <v>45809</v>
      </c>
      <c r="F16" s="22" t="s">
        <v>584</v>
      </c>
      <c r="G16" s="54" t="s">
        <v>4</v>
      </c>
      <c r="H16" s="54" t="s">
        <v>4</v>
      </c>
      <c r="I16" s="54" t="s">
        <v>4</v>
      </c>
      <c r="J16" s="54" t="s">
        <v>4</v>
      </c>
      <c r="K16" s="21"/>
      <c r="L16" s="23" t="s">
        <v>266</v>
      </c>
      <c r="M16" s="22" t="s">
        <v>585</v>
      </c>
    </row>
    <row r="17" customFormat="false" ht="19.5" hidden="false" customHeight="true" outlineLevel="0" collapsed="false">
      <c r="A17" s="10"/>
      <c r="B17" s="295" t="s">
        <v>197</v>
      </c>
      <c r="C17" s="32" t="s">
        <v>586</v>
      </c>
      <c r="D17" s="296" t="n">
        <v>344.5</v>
      </c>
      <c r="E17" s="141" t="n">
        <v>45658</v>
      </c>
      <c r="F17" s="134" t="s">
        <v>566</v>
      </c>
      <c r="G17" s="297" t="n">
        <v>64161</v>
      </c>
      <c r="H17" s="297" t="n">
        <v>186.24</v>
      </c>
      <c r="I17" s="295" t="n">
        <v>0</v>
      </c>
      <c r="J17" s="297" t="n">
        <v>64161</v>
      </c>
      <c r="K17" s="241"/>
      <c r="L17" s="32" t="s">
        <v>580</v>
      </c>
      <c r="M17" s="295" t="s">
        <v>587</v>
      </c>
    </row>
    <row r="18" customFormat="false" ht="19.5" hidden="false" customHeight="true" outlineLevel="0" collapsed="false">
      <c r="A18" s="10"/>
      <c r="B18" s="22" t="s">
        <v>131</v>
      </c>
      <c r="C18" s="23" t="s">
        <v>588</v>
      </c>
      <c r="D18" s="35" t="n">
        <v>413.5</v>
      </c>
      <c r="E18" s="36" t="n">
        <v>45352</v>
      </c>
      <c r="F18" s="134" t="s">
        <v>566</v>
      </c>
      <c r="G18" s="54" t="s">
        <v>4</v>
      </c>
      <c r="H18" s="54" t="s">
        <v>4</v>
      </c>
      <c r="I18" s="38" t="n">
        <v>672971.25</v>
      </c>
      <c r="J18" s="54" t="s">
        <v>4</v>
      </c>
      <c r="K18" s="21"/>
      <c r="L18" s="23" t="s">
        <v>570</v>
      </c>
      <c r="M18" s="22" t="s">
        <v>589</v>
      </c>
    </row>
    <row r="19" customFormat="false" ht="19.5" hidden="false" customHeight="true" outlineLevel="0" collapsed="false">
      <c r="A19" s="10"/>
      <c r="B19" s="148" t="s">
        <v>221</v>
      </c>
      <c r="C19" s="148" t="s">
        <v>590</v>
      </c>
      <c r="D19" s="148" t="n">
        <v>242.5</v>
      </c>
      <c r="E19" s="298" t="n">
        <v>46296</v>
      </c>
      <c r="F19" s="299" t="s">
        <v>584</v>
      </c>
      <c r="G19" s="299" t="s">
        <v>4</v>
      </c>
      <c r="H19" s="299" t="s">
        <v>4</v>
      </c>
      <c r="I19" s="299" t="n">
        <v>369812.5</v>
      </c>
      <c r="J19" s="299" t="s">
        <v>4</v>
      </c>
      <c r="K19" s="299"/>
      <c r="L19" s="148" t="s">
        <v>266</v>
      </c>
      <c r="M19" s="148" t="s">
        <v>591</v>
      </c>
    </row>
    <row r="20" customFormat="false" ht="19.5" hidden="false" customHeight="true" outlineLevel="0" collapsed="false">
      <c r="A20" s="10"/>
      <c r="B20" s="28"/>
      <c r="C20" s="28"/>
      <c r="D20" s="28"/>
      <c r="E20" s="28"/>
      <c r="F20" s="299"/>
      <c r="G20" s="299"/>
      <c r="H20" s="299"/>
      <c r="I20" s="299"/>
      <c r="J20" s="299"/>
      <c r="K20" s="299"/>
      <c r="L20" s="28"/>
      <c r="M20" s="28"/>
    </row>
    <row r="21" customFormat="false" ht="19.5" hidden="false" customHeight="true" outlineLevel="0" collapsed="false">
      <c r="A21" s="10"/>
      <c r="B21" s="148"/>
      <c r="C21" s="148"/>
      <c r="D21" s="148"/>
      <c r="E21" s="148"/>
      <c r="F21" s="299"/>
      <c r="G21" s="299"/>
      <c r="H21" s="299"/>
      <c r="I21" s="299"/>
      <c r="J21" s="299"/>
      <c r="K21" s="299"/>
      <c r="L21" s="148"/>
      <c r="M21" s="148"/>
    </row>
    <row r="22" customFormat="false" ht="19.5" hidden="false" customHeight="true" outlineLevel="0" collapsed="false">
      <c r="A22" s="10"/>
      <c r="B22" s="28"/>
      <c r="C22" s="28"/>
      <c r="D22" s="28"/>
      <c r="E22" s="28"/>
      <c r="F22" s="299"/>
      <c r="G22" s="299"/>
      <c r="H22" s="299"/>
      <c r="I22" s="299"/>
      <c r="J22" s="299"/>
      <c r="K22" s="299"/>
      <c r="L22" s="28"/>
      <c r="M22" s="28"/>
    </row>
    <row r="23" customFormat="false" ht="19.5" hidden="false" customHeight="true" outlineLevel="0" collapsed="false">
      <c r="A23" s="10"/>
      <c r="B23" s="148"/>
      <c r="C23" s="148"/>
      <c r="D23" s="148"/>
      <c r="E23" s="148"/>
      <c r="F23" s="299"/>
      <c r="G23" s="299"/>
      <c r="H23" s="299"/>
      <c r="I23" s="299"/>
      <c r="J23" s="299"/>
      <c r="K23" s="299"/>
      <c r="L23" s="148"/>
      <c r="M23" s="148"/>
    </row>
    <row r="24" customFormat="false" ht="19.5" hidden="false" customHeight="true" outlineLevel="0" collapsed="false">
      <c r="A24" s="10"/>
      <c r="B24" s="28"/>
      <c r="C24" s="28"/>
      <c r="D24" s="28"/>
      <c r="E24" s="28"/>
      <c r="F24" s="299"/>
      <c r="G24" s="299"/>
      <c r="H24" s="299"/>
      <c r="I24" s="299"/>
      <c r="J24" s="299"/>
      <c r="K24" s="299"/>
      <c r="L24" s="28"/>
      <c r="M24" s="28"/>
    </row>
    <row r="25" customFormat="false" ht="14.25" hidden="false" customHeight="true" outlineLevel="0" collapsed="false">
      <c r="A25" s="10"/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</row>
    <row r="26" customFormat="false" ht="14.25" hidden="false" customHeight="true" outlineLevel="0" collapsed="false">
      <c r="A26" s="10"/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</row>
    <row r="27" customFormat="false" ht="19.5" hidden="false" customHeight="true" outlineLevel="0" collapsed="false">
      <c r="A27" s="10"/>
      <c r="B27" s="11" t="s">
        <v>592</v>
      </c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</row>
    <row r="28" customFormat="false" ht="18" hidden="false" customHeight="true" outlineLevel="0" collapsed="false">
      <c r="A28" s="10"/>
      <c r="B28" s="170" t="s">
        <v>593</v>
      </c>
      <c r="C28" s="300" t="s">
        <v>594</v>
      </c>
      <c r="D28" s="300" t="s">
        <v>595</v>
      </c>
      <c r="E28" s="300" t="s">
        <v>596</v>
      </c>
      <c r="F28" s="170" t="s">
        <v>88</v>
      </c>
      <c r="G28" s="10"/>
      <c r="H28" s="10"/>
      <c r="I28" s="10"/>
      <c r="J28" s="10"/>
      <c r="K28" s="10"/>
      <c r="L28" s="10"/>
      <c r="M28" s="10"/>
    </row>
    <row r="29" customFormat="false" ht="18" hidden="false" customHeight="true" outlineLevel="0" collapsed="false">
      <c r="A29" s="10"/>
      <c r="B29" s="32" t="s">
        <v>597</v>
      </c>
      <c r="C29" s="295" t="s">
        <v>598</v>
      </c>
      <c r="D29" s="295" t="s">
        <v>599</v>
      </c>
      <c r="E29" s="295" t="s">
        <v>600</v>
      </c>
      <c r="F29" s="32" t="s">
        <v>601</v>
      </c>
      <c r="G29" s="10"/>
      <c r="H29" s="10"/>
      <c r="I29" s="10"/>
      <c r="J29" s="10"/>
      <c r="K29" s="10"/>
      <c r="L29" s="10"/>
      <c r="M29" s="10"/>
    </row>
    <row r="30" customFormat="false" ht="18" hidden="false" customHeight="true" outlineLevel="0" collapsed="false">
      <c r="A30" s="10"/>
      <c r="B30" s="23" t="s">
        <v>602</v>
      </c>
      <c r="C30" s="22" t="s">
        <v>603</v>
      </c>
      <c r="D30" s="22" t="s">
        <v>604</v>
      </c>
      <c r="E30" s="22" t="s">
        <v>605</v>
      </c>
      <c r="F30" s="23" t="s">
        <v>606</v>
      </c>
      <c r="G30" s="10"/>
      <c r="H30" s="10"/>
      <c r="I30" s="10"/>
      <c r="J30" s="10"/>
      <c r="K30" s="10"/>
      <c r="L30" s="10"/>
      <c r="M30" s="10"/>
    </row>
    <row r="31" customFormat="false" ht="18" hidden="false" customHeight="true" outlineLevel="0" collapsed="false">
      <c r="A31" s="10"/>
      <c r="B31" s="32" t="s">
        <v>607</v>
      </c>
      <c r="C31" s="295" t="s">
        <v>608</v>
      </c>
      <c r="D31" s="295" t="s">
        <v>609</v>
      </c>
      <c r="E31" s="295" t="s">
        <v>610</v>
      </c>
      <c r="F31" s="32" t="s">
        <v>611</v>
      </c>
      <c r="G31" s="10"/>
      <c r="H31" s="10"/>
      <c r="I31" s="10"/>
      <c r="J31" s="10"/>
      <c r="K31" s="10"/>
      <c r="L31" s="10"/>
      <c r="M31" s="10"/>
    </row>
    <row r="32" customFormat="false" ht="18" hidden="false" customHeight="true" outlineLevel="0" collapsed="false">
      <c r="A32" s="10"/>
      <c r="B32" s="23" t="s">
        <v>612</v>
      </c>
      <c r="C32" s="22" t="s">
        <v>609</v>
      </c>
      <c r="D32" s="22" t="s">
        <v>613</v>
      </c>
      <c r="E32" s="22" t="s">
        <v>614</v>
      </c>
      <c r="F32" s="23" t="s">
        <v>615</v>
      </c>
      <c r="G32" s="10"/>
      <c r="H32" s="10"/>
      <c r="I32" s="10"/>
      <c r="J32" s="10"/>
      <c r="K32" s="10"/>
      <c r="L32" s="10"/>
      <c r="M32" s="10"/>
    </row>
    <row r="33" customFormat="false" ht="18" hidden="false" customHeight="true" outlineLevel="0" collapsed="false">
      <c r="A33" s="10"/>
      <c r="B33" s="32" t="s">
        <v>616</v>
      </c>
      <c r="C33" s="295" t="s">
        <v>617</v>
      </c>
      <c r="D33" s="295" t="s">
        <v>618</v>
      </c>
      <c r="E33" s="295" t="s">
        <v>619</v>
      </c>
      <c r="F33" s="32" t="s">
        <v>620</v>
      </c>
      <c r="G33" s="10"/>
      <c r="H33" s="10"/>
      <c r="I33" s="10"/>
      <c r="J33" s="10"/>
      <c r="K33" s="10"/>
      <c r="L33" s="10"/>
      <c r="M33" s="10"/>
    </row>
    <row r="34" customFormat="false" ht="18" hidden="false" customHeight="true" outlineLevel="0" collapsed="false">
      <c r="A34" s="10"/>
      <c r="B34" s="23" t="s">
        <v>621</v>
      </c>
      <c r="C34" s="22" t="s">
        <v>622</v>
      </c>
      <c r="D34" s="22" t="s">
        <v>623</v>
      </c>
      <c r="E34" s="22" t="s">
        <v>624</v>
      </c>
      <c r="F34" s="23" t="s">
        <v>625</v>
      </c>
      <c r="G34" s="10"/>
      <c r="H34" s="10"/>
      <c r="I34" s="10"/>
      <c r="J34" s="10"/>
      <c r="K34" s="10"/>
      <c r="L34" s="10"/>
      <c r="M34" s="10"/>
    </row>
    <row r="35" customFormat="false" ht="18" hidden="false" customHeight="true" outlineLevel="0" collapsed="false">
      <c r="A35" s="10"/>
      <c r="B35" s="32" t="s">
        <v>626</v>
      </c>
      <c r="C35" s="295" t="s">
        <v>627</v>
      </c>
      <c r="D35" s="295" t="s">
        <v>628</v>
      </c>
      <c r="E35" s="295" t="s">
        <v>629</v>
      </c>
      <c r="F35" s="32" t="s">
        <v>630</v>
      </c>
      <c r="G35" s="10"/>
      <c r="H35" s="10"/>
      <c r="I35" s="10"/>
      <c r="J35" s="10"/>
      <c r="K35" s="10"/>
      <c r="L35" s="10"/>
      <c r="M35" s="10"/>
    </row>
  </sheetData>
  <mergeCells count="13">
    <mergeCell ref="A1:J1"/>
    <mergeCell ref="A2:J2"/>
    <mergeCell ref="B4:I4"/>
    <mergeCell ref="B5:C5"/>
    <mergeCell ref="D5:E5"/>
    <mergeCell ref="F5:G5"/>
    <mergeCell ref="H5:I5"/>
    <mergeCell ref="B6:C6"/>
    <mergeCell ref="D6:E6"/>
    <mergeCell ref="F6:G6"/>
    <mergeCell ref="H6:I6"/>
    <mergeCell ref="B8:I8"/>
    <mergeCell ref="B27:M27"/>
  </mergeCells>
  <printOptions headings="false" gridLines="false" gridLinesSet="true" horizontalCentered="false" verticalCentered="false"/>
  <pageMargins left="0.75" right="0.75" top="1" bottom="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&amp;C&amp;"Georgia,Regular"Goldberg Family Office</oddHeader>
    <oddFooter>&amp;C&amp;"Georgia,Regular"Prepared by jake goldberg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1" width="1.45"/>
    <col collapsed="false" customWidth="true" hidden="false" outlineLevel="0" max="2" min="2" style="1" width="8"/>
    <col collapsed="false" customWidth="true" hidden="false" outlineLevel="0" max="3" min="3" style="1" width="10"/>
    <col collapsed="false" customWidth="true" hidden="false" outlineLevel="0" max="7" min="4" style="1" width="12"/>
    <col collapsed="false" customWidth="true" hidden="false" outlineLevel="0" max="8" min="8" style="1" width="14"/>
    <col collapsed="false" customWidth="true" hidden="false" outlineLevel="0" max="9" min="9" style="1" width="12"/>
    <col collapsed="false" customWidth="true" hidden="false" outlineLevel="0" max="10" min="10" style="1" width="11"/>
    <col collapsed="false" customWidth="true" hidden="false" outlineLevel="0" max="11" min="11" style="1" width="10"/>
    <col collapsed="false" customWidth="true" hidden="false" outlineLevel="0" max="12" min="12" style="1" width="35"/>
    <col collapsed="false" customWidth="true" hidden="false" outlineLevel="0" max="13" min="13" style="1" width="12"/>
    <col collapsed="false" customWidth="true" hidden="false" outlineLevel="0" max="14" min="14" style="1" width="1.45"/>
  </cols>
  <sheetData>
    <row r="1" customFormat="false" ht="27.75" hidden="false" customHeight="true" outlineLevel="0" collapsed="false">
      <c r="A1" s="184" t="s">
        <v>631</v>
      </c>
      <c r="B1" s="184"/>
      <c r="C1" s="184"/>
      <c r="D1" s="184"/>
      <c r="E1" s="184"/>
      <c r="F1" s="184"/>
      <c r="G1" s="184"/>
      <c r="H1" s="184"/>
      <c r="I1" s="184"/>
      <c r="J1" s="184"/>
      <c r="K1" s="184"/>
      <c r="L1" s="184"/>
      <c r="M1" s="184"/>
      <c r="N1" s="184"/>
    </row>
    <row r="2" customFormat="false" ht="15.75" hidden="false" customHeight="true" outlineLevel="0" collapsed="false">
      <c r="A2" s="9" t="s">
        <v>632</v>
      </c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</row>
    <row r="3" customFormat="false" ht="19.5" hidden="false" customHeight="true" outlineLevel="0" collapsed="false">
      <c r="A3" s="10"/>
      <c r="B3" s="11" t="s">
        <v>633</v>
      </c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0"/>
    </row>
    <row r="4" customFormat="false" ht="24" hidden="false" customHeight="true" outlineLevel="0" collapsed="false">
      <c r="A4" s="10"/>
      <c r="B4" s="34" t="s">
        <v>634</v>
      </c>
      <c r="C4" s="34"/>
      <c r="D4" s="301" t="s">
        <v>635</v>
      </c>
      <c r="E4" s="34" t="s">
        <v>636</v>
      </c>
      <c r="F4" s="34"/>
      <c r="G4" s="301" t="s">
        <v>637</v>
      </c>
      <c r="H4" s="34" t="s">
        <v>638</v>
      </c>
      <c r="I4" s="34"/>
      <c r="J4" s="301" t="s">
        <v>639</v>
      </c>
      <c r="K4" s="34" t="s">
        <v>640</v>
      </c>
      <c r="L4" s="34"/>
      <c r="M4" s="301" t="s">
        <v>641</v>
      </c>
      <c r="N4" s="10"/>
    </row>
    <row r="5" customFormat="false" ht="7.5" hidden="false" customHeight="true" outlineLevel="0" collapsed="false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</row>
    <row r="6" customFormat="false" ht="19.5" hidden="false" customHeight="true" outlineLevel="0" collapsed="false">
      <c r="A6" s="10"/>
      <c r="B6" s="11" t="s">
        <v>642</v>
      </c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0"/>
    </row>
    <row r="7" customFormat="false" ht="31.5" hidden="false" customHeight="true" outlineLevel="0" collapsed="false">
      <c r="A7" s="10"/>
      <c r="B7" s="19" t="s">
        <v>274</v>
      </c>
      <c r="C7" s="19" t="s">
        <v>276</v>
      </c>
      <c r="D7" s="19" t="s">
        <v>643</v>
      </c>
      <c r="E7" s="19" t="s">
        <v>644</v>
      </c>
      <c r="F7" s="19" t="s">
        <v>645</v>
      </c>
      <c r="G7" s="19" t="s">
        <v>646</v>
      </c>
      <c r="H7" s="19" t="s">
        <v>647</v>
      </c>
      <c r="I7" s="19" t="s">
        <v>648</v>
      </c>
      <c r="J7" s="19" t="s">
        <v>649</v>
      </c>
      <c r="K7" s="19" t="s">
        <v>650</v>
      </c>
      <c r="L7" s="19" t="s">
        <v>651</v>
      </c>
      <c r="M7" s="10"/>
      <c r="N7" s="10"/>
    </row>
    <row r="8" customFormat="false" ht="19.5" hidden="false" customHeight="true" outlineLevel="0" collapsed="false">
      <c r="A8" s="10"/>
      <c r="B8" s="22"/>
      <c r="C8" s="35"/>
      <c r="D8" s="38"/>
      <c r="E8" s="38"/>
      <c r="F8" s="38"/>
      <c r="G8" s="38"/>
      <c r="H8" s="38"/>
      <c r="I8" s="38"/>
      <c r="J8" s="285"/>
      <c r="K8" s="22"/>
      <c r="L8" s="23"/>
      <c r="M8" s="10"/>
      <c r="N8" s="10"/>
    </row>
    <row r="9" customFormat="false" ht="19.5" hidden="false" customHeight="true" outlineLevel="0" collapsed="false">
      <c r="A9" s="10"/>
      <c r="B9" s="295" t="s">
        <v>215</v>
      </c>
      <c r="C9" s="296" t="n">
        <v>349</v>
      </c>
      <c r="D9" s="297" t="n">
        <v>5235</v>
      </c>
      <c r="E9" s="297" t="n">
        <v>6980</v>
      </c>
      <c r="F9" s="297" t="n">
        <v>6980</v>
      </c>
      <c r="G9" s="297" t="n">
        <v>8725</v>
      </c>
      <c r="H9" s="297" t="n">
        <v>248.68</v>
      </c>
      <c r="I9" s="297" t="n">
        <v>990</v>
      </c>
      <c r="J9" s="295" t="s">
        <v>4</v>
      </c>
      <c r="K9" s="295" t="n">
        <v>2</v>
      </c>
      <c r="L9" s="32" t="s">
        <v>652</v>
      </c>
      <c r="M9" s="10"/>
      <c r="N9" s="10"/>
    </row>
    <row r="10" customFormat="false" ht="19.5" hidden="false" customHeight="true" outlineLevel="0" collapsed="false">
      <c r="A10" s="10"/>
      <c r="B10" s="22" t="s">
        <v>218</v>
      </c>
      <c r="C10" s="35" t="n">
        <v>438</v>
      </c>
      <c r="D10" s="38" t="n">
        <v>6570</v>
      </c>
      <c r="E10" s="38" t="n">
        <v>8760</v>
      </c>
      <c r="F10" s="38" t="n">
        <v>8760</v>
      </c>
      <c r="G10" s="38" t="n">
        <v>10950</v>
      </c>
      <c r="H10" s="38" t="n">
        <v>1547.98</v>
      </c>
      <c r="I10" s="38" t="n">
        <v>1000</v>
      </c>
      <c r="J10" s="285" t="n">
        <v>0.38</v>
      </c>
      <c r="K10" s="22" t="n">
        <v>3</v>
      </c>
      <c r="L10" s="23" t="s">
        <v>653</v>
      </c>
      <c r="M10" s="10"/>
      <c r="N10" s="10"/>
    </row>
    <row r="11" customFormat="false" ht="19.5" hidden="false" customHeight="true" outlineLevel="0" collapsed="false">
      <c r="A11" s="10"/>
      <c r="B11" s="295"/>
      <c r="C11" s="296"/>
      <c r="D11" s="297"/>
      <c r="E11" s="297"/>
      <c r="F11" s="297"/>
      <c r="G11" s="297"/>
      <c r="H11" s="295"/>
      <c r="I11" s="297"/>
      <c r="J11" s="197"/>
      <c r="K11" s="295"/>
      <c r="L11" s="32"/>
      <c r="M11" s="10"/>
      <c r="N11" s="10"/>
    </row>
    <row r="12" customFormat="false" ht="19.5" hidden="false" customHeight="true" outlineLevel="0" collapsed="false">
      <c r="A12" s="10"/>
      <c r="B12" s="74" t="s">
        <v>654</v>
      </c>
      <c r="C12" s="74"/>
      <c r="D12" s="151" t="n">
        <v>787</v>
      </c>
      <c r="E12" s="76" t="n">
        <f aca="false">D9+D10</f>
        <v>11805</v>
      </c>
      <c r="F12" s="76" t="n">
        <f aca="false">E9+E10</f>
        <v>15740</v>
      </c>
      <c r="G12" s="76" t="n">
        <f aca="false">F9+F10</f>
        <v>15740</v>
      </c>
      <c r="H12" s="76" t="n">
        <f aca="false">G9+G10</f>
        <v>19675</v>
      </c>
      <c r="I12" s="95" t="n">
        <f aca="false">H9+H10</f>
        <v>1796.66</v>
      </c>
      <c r="J12" s="95"/>
      <c r="K12" s="95"/>
      <c r="L12" s="95"/>
      <c r="M12" s="95"/>
      <c r="N12" s="10"/>
    </row>
    <row r="13" customFormat="false" ht="7.5" hidden="false" customHeight="true" outlineLevel="0" collapsed="false">
      <c r="A13" s="10"/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</row>
    <row r="14" customFormat="false" ht="19.5" hidden="false" customHeight="true" outlineLevel="0" collapsed="false">
      <c r="A14" s="10"/>
      <c r="B14" s="11" t="s">
        <v>655</v>
      </c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0"/>
    </row>
    <row r="15" customFormat="false" ht="49.5" hidden="false" customHeight="true" outlineLevel="0" collapsed="false">
      <c r="A15" s="10"/>
      <c r="B15" s="130" t="s">
        <v>656</v>
      </c>
      <c r="C15" s="130"/>
      <c r="D15" s="130"/>
      <c r="E15" s="130"/>
      <c r="F15" s="130"/>
      <c r="G15" s="130"/>
      <c r="H15" s="130"/>
      <c r="I15" s="130"/>
      <c r="J15" s="130"/>
      <c r="K15" s="130"/>
      <c r="L15" s="130"/>
      <c r="M15" s="130"/>
      <c r="N15" s="10"/>
    </row>
  </sheetData>
  <mergeCells count="11">
    <mergeCell ref="A1:N1"/>
    <mergeCell ref="A2:N2"/>
    <mergeCell ref="B3:M3"/>
    <mergeCell ref="B4:C4"/>
    <mergeCell ref="E4:F4"/>
    <mergeCell ref="H4:I4"/>
    <mergeCell ref="K4:L4"/>
    <mergeCell ref="B6:M6"/>
    <mergeCell ref="B12:C12"/>
    <mergeCell ref="B14:M14"/>
    <mergeCell ref="B15:M15"/>
  </mergeCells>
  <printOptions headings="false" gridLines="false" gridLinesSet="true" horizontalCentered="false" verticalCentered="false"/>
  <pageMargins left="0.75" right="0.75" top="1" bottom="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&amp;C&amp;"Georgia,Regular"Goldberg Family Office</oddHeader>
    <oddFooter>&amp;C&amp;"Georgia,Regular"Prepared by jake goldberg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1" width="1.45"/>
    <col collapsed="false" customWidth="true" hidden="false" outlineLevel="0" max="2" min="2" style="1" width="28"/>
    <col collapsed="false" customWidth="true" hidden="false" outlineLevel="0" max="3" min="3" style="1" width="8"/>
    <col collapsed="false" customWidth="true" hidden="false" outlineLevel="0" max="4" min="4" style="1" width="20"/>
    <col collapsed="false" customWidth="true" hidden="false" outlineLevel="0" max="8" min="5" style="1" width="12"/>
    <col collapsed="false" customWidth="true" hidden="false" outlineLevel="0" max="9" min="9" style="1" width="1.45"/>
  </cols>
  <sheetData>
    <row r="1" customFormat="false" ht="27.75" hidden="false" customHeight="true" outlineLevel="0" collapsed="false">
      <c r="A1" s="8" t="s">
        <v>657</v>
      </c>
      <c r="B1" s="8"/>
      <c r="C1" s="8"/>
      <c r="D1" s="8"/>
      <c r="E1" s="8"/>
      <c r="F1" s="8"/>
      <c r="G1" s="8"/>
      <c r="H1" s="8"/>
    </row>
    <row r="2" customFormat="false" ht="15.75" hidden="false" customHeight="true" outlineLevel="0" collapsed="false">
      <c r="A2" s="9" t="s">
        <v>658</v>
      </c>
      <c r="B2" s="9"/>
      <c r="C2" s="9"/>
      <c r="D2" s="9"/>
      <c r="E2" s="9"/>
      <c r="F2" s="9"/>
      <c r="G2" s="9"/>
      <c r="H2" s="9"/>
    </row>
    <row r="3" customFormat="false" ht="7.5" hidden="false" customHeight="true" outlineLevel="0" collapsed="false">
      <c r="A3" s="10"/>
      <c r="B3" s="10"/>
      <c r="C3" s="10"/>
      <c r="D3" s="10"/>
      <c r="E3" s="10"/>
      <c r="F3" s="10"/>
      <c r="G3" s="10"/>
      <c r="H3" s="10"/>
    </row>
    <row r="4" customFormat="false" ht="19.5" hidden="false" customHeight="true" outlineLevel="0" collapsed="false">
      <c r="A4" s="10"/>
      <c r="B4" s="11" t="s">
        <v>659</v>
      </c>
      <c r="C4" s="11"/>
      <c r="D4" s="11"/>
      <c r="E4" s="11"/>
      <c r="F4" s="11"/>
      <c r="G4" s="11"/>
      <c r="H4" s="10"/>
    </row>
    <row r="5" customFormat="false" ht="18" hidden="false" customHeight="true" outlineLevel="0" collapsed="false">
      <c r="A5" s="10"/>
      <c r="B5" s="12" t="s">
        <v>660</v>
      </c>
      <c r="C5" s="22" t="s">
        <v>661</v>
      </c>
      <c r="D5" s="302" t="n">
        <v>8940.9</v>
      </c>
      <c r="E5" s="10"/>
      <c r="F5" s="10"/>
      <c r="G5" s="10"/>
      <c r="H5" s="10"/>
    </row>
    <row r="6" customFormat="false" ht="18" hidden="false" customHeight="true" outlineLevel="0" collapsed="false">
      <c r="A6" s="10"/>
      <c r="B6" s="14" t="s">
        <v>662</v>
      </c>
      <c r="C6" s="303" t="s">
        <v>663</v>
      </c>
      <c r="D6" s="304" t="n">
        <f aca="false">D9/D5</f>
        <v>0.0280732364750752</v>
      </c>
      <c r="E6" s="10"/>
      <c r="F6" s="10"/>
      <c r="G6" s="10"/>
      <c r="H6" s="10"/>
    </row>
    <row r="7" customFormat="false" ht="7.5" hidden="false" customHeight="true" outlineLevel="0" collapsed="false">
      <c r="A7" s="10"/>
      <c r="B7" s="10"/>
      <c r="C7" s="10"/>
      <c r="D7" s="10"/>
      <c r="E7" s="10"/>
      <c r="F7" s="10"/>
      <c r="G7" s="10"/>
      <c r="H7" s="10"/>
    </row>
    <row r="8" customFormat="false" ht="19.5" hidden="false" customHeight="true" outlineLevel="0" collapsed="false">
      <c r="A8" s="10"/>
      <c r="B8" s="11" t="s">
        <v>664</v>
      </c>
      <c r="C8" s="11"/>
      <c r="D8" s="11"/>
      <c r="E8" s="11"/>
      <c r="F8" s="11"/>
      <c r="G8" s="11"/>
      <c r="H8" s="10"/>
    </row>
    <row r="9" customFormat="false" ht="18" hidden="false" customHeight="true" outlineLevel="0" collapsed="false">
      <c r="A9" s="10"/>
      <c r="B9" s="12" t="s">
        <v>665</v>
      </c>
      <c r="C9" s="22" t="s">
        <v>661</v>
      </c>
      <c r="D9" s="305" t="n">
        <v>251</v>
      </c>
      <c r="E9" s="10"/>
      <c r="F9" s="10"/>
      <c r="G9" s="10"/>
      <c r="H9" s="10"/>
    </row>
    <row r="10" customFormat="false" ht="18" hidden="false" customHeight="true" outlineLevel="0" collapsed="false">
      <c r="A10" s="10"/>
      <c r="B10" s="14" t="s">
        <v>666</v>
      </c>
      <c r="C10" s="303" t="s">
        <v>667</v>
      </c>
      <c r="D10" s="306" t="n">
        <v>5</v>
      </c>
      <c r="E10" s="10"/>
      <c r="F10" s="10"/>
      <c r="G10" s="10"/>
      <c r="H10" s="10"/>
    </row>
    <row r="11" customFormat="false" ht="18" hidden="false" customHeight="true" outlineLevel="0" collapsed="false">
      <c r="A11" s="10"/>
      <c r="B11" s="12" t="s">
        <v>668</v>
      </c>
      <c r="C11" s="22" t="s">
        <v>669</v>
      </c>
      <c r="D11" s="307" t="n">
        <v>985</v>
      </c>
      <c r="E11" s="10"/>
      <c r="F11" s="10"/>
      <c r="G11" s="10"/>
      <c r="H11" s="10"/>
    </row>
    <row r="12" customFormat="false" ht="18" hidden="false" customHeight="true" outlineLevel="0" collapsed="false">
      <c r="A12" s="10"/>
      <c r="B12" s="14" t="s">
        <v>670</v>
      </c>
      <c r="C12" s="303" t="s">
        <v>671</v>
      </c>
      <c r="D12" s="308" t="n">
        <f aca="false">D10*D9</f>
        <v>1255</v>
      </c>
      <c r="E12" s="10"/>
      <c r="F12" s="10"/>
      <c r="G12" s="10"/>
      <c r="H12" s="10"/>
    </row>
    <row r="13" customFormat="false" ht="18" hidden="false" customHeight="true" outlineLevel="0" collapsed="false">
      <c r="A13" s="10"/>
      <c r="B13" s="12" t="s">
        <v>672</v>
      </c>
      <c r="C13" s="22" t="s">
        <v>673</v>
      </c>
      <c r="D13" s="309" t="n">
        <f aca="false">D11*D9</f>
        <v>247235</v>
      </c>
      <c r="E13" s="10"/>
      <c r="F13" s="10"/>
      <c r="G13" s="10"/>
      <c r="H13" s="10"/>
    </row>
    <row r="14" customFormat="false" ht="7.5" hidden="false" customHeight="true" outlineLevel="0" collapsed="false">
      <c r="A14" s="10"/>
      <c r="B14" s="10"/>
      <c r="C14" s="10"/>
      <c r="D14" s="10"/>
      <c r="E14" s="10"/>
      <c r="F14" s="10"/>
      <c r="G14" s="10"/>
      <c r="H14" s="10"/>
    </row>
    <row r="15" customFormat="false" ht="19.5" hidden="false" customHeight="true" outlineLevel="0" collapsed="false">
      <c r="A15" s="10"/>
      <c r="B15" s="11" t="s">
        <v>674</v>
      </c>
      <c r="C15" s="11"/>
      <c r="D15" s="11"/>
      <c r="E15" s="11"/>
      <c r="F15" s="11"/>
      <c r="G15" s="11"/>
      <c r="H15" s="10"/>
    </row>
    <row r="16" customFormat="false" ht="18" hidden="false" customHeight="true" outlineLevel="0" collapsed="false">
      <c r="A16" s="10"/>
      <c r="B16" s="12" t="s">
        <v>675</v>
      </c>
      <c r="C16" s="22" t="s">
        <v>663</v>
      </c>
      <c r="D16" s="310" t="n">
        <v>0.3</v>
      </c>
      <c r="E16" s="10"/>
      <c r="F16" s="10"/>
      <c r="G16" s="10"/>
      <c r="H16" s="10"/>
    </row>
    <row r="17" customFormat="false" ht="18" hidden="false" customHeight="true" outlineLevel="0" collapsed="false">
      <c r="A17" s="10"/>
      <c r="B17" s="106" t="s">
        <v>676</v>
      </c>
      <c r="C17" s="311" t="s">
        <v>673</v>
      </c>
      <c r="D17" s="312" t="n">
        <f aca="false">D11*D16</f>
        <v>295.5</v>
      </c>
      <c r="E17" s="10"/>
      <c r="F17" s="10"/>
      <c r="G17" s="10"/>
      <c r="H17" s="10"/>
    </row>
    <row r="18" customFormat="false" ht="18" hidden="false" customHeight="true" outlineLevel="0" collapsed="false">
      <c r="A18" s="10"/>
      <c r="B18" s="12" t="s">
        <v>677</v>
      </c>
      <c r="C18" s="22" t="s">
        <v>671</v>
      </c>
      <c r="D18" s="309" t="n">
        <f aca="false">D17/D9</f>
        <v>1.17729083665339</v>
      </c>
      <c r="E18" s="10"/>
      <c r="F18" s="10"/>
      <c r="G18" s="10"/>
      <c r="H18" s="10"/>
    </row>
    <row r="19" customFormat="false" ht="18" hidden="false" customHeight="true" outlineLevel="0" collapsed="false">
      <c r="A19" s="10"/>
      <c r="B19" s="106" t="s">
        <v>678</v>
      </c>
      <c r="C19" s="311" t="s">
        <v>673</v>
      </c>
      <c r="D19" s="312" t="n">
        <f aca="false">D18/12</f>
        <v>0.0981075697211156</v>
      </c>
      <c r="E19" s="10"/>
      <c r="F19" s="10"/>
      <c r="G19" s="10"/>
      <c r="H19" s="10"/>
    </row>
    <row r="20" customFormat="false" ht="18" hidden="false" customHeight="true" outlineLevel="0" collapsed="false">
      <c r="A20" s="10"/>
      <c r="B20" s="12" t="s">
        <v>679</v>
      </c>
      <c r="C20" s="22" t="s">
        <v>667</v>
      </c>
      <c r="D20" s="306" t="n">
        <v>0</v>
      </c>
      <c r="E20" s="10"/>
      <c r="F20" s="10"/>
      <c r="G20" s="10"/>
      <c r="H20" s="10"/>
    </row>
    <row r="21" customFormat="false" ht="18" hidden="false" customHeight="true" outlineLevel="0" collapsed="false">
      <c r="A21" s="10"/>
      <c r="B21" s="106" t="s">
        <v>680</v>
      </c>
      <c r="C21" s="311" t="s">
        <v>673</v>
      </c>
      <c r="D21" s="312" t="n">
        <f aca="false">D11/D9/12*D20</f>
        <v>0</v>
      </c>
      <c r="E21" s="10"/>
      <c r="F21" s="10"/>
      <c r="G21" s="10"/>
      <c r="H21" s="10"/>
    </row>
    <row r="22" customFormat="false" ht="18" hidden="false" customHeight="true" outlineLevel="0" collapsed="false">
      <c r="A22" s="10"/>
      <c r="B22" s="12" t="s">
        <v>681</v>
      </c>
      <c r="C22" s="22" t="s">
        <v>673</v>
      </c>
      <c r="D22" s="307" t="n">
        <v>248030.67</v>
      </c>
      <c r="E22" s="10"/>
      <c r="F22" s="10"/>
      <c r="G22" s="10"/>
      <c r="H22" s="10"/>
    </row>
    <row r="23" customFormat="false" ht="7.5" hidden="false" customHeight="true" outlineLevel="0" collapsed="false">
      <c r="A23" s="10"/>
      <c r="B23" s="10"/>
      <c r="C23" s="10"/>
      <c r="D23" s="10"/>
      <c r="E23" s="10"/>
      <c r="F23" s="10"/>
      <c r="G23" s="10"/>
      <c r="H23" s="10"/>
    </row>
    <row r="24" customFormat="false" ht="19.5" hidden="false" customHeight="true" outlineLevel="0" collapsed="false">
      <c r="A24" s="10"/>
      <c r="B24" s="11" t="s">
        <v>682</v>
      </c>
      <c r="C24" s="11"/>
      <c r="D24" s="11"/>
      <c r="E24" s="11"/>
      <c r="F24" s="11"/>
      <c r="G24" s="11"/>
      <c r="H24" s="10"/>
    </row>
    <row r="25" customFormat="false" ht="18" hidden="false" customHeight="true" outlineLevel="0" collapsed="false">
      <c r="A25" s="10"/>
      <c r="B25" s="12" t="s">
        <v>683</v>
      </c>
      <c r="C25" s="22" t="s">
        <v>663</v>
      </c>
      <c r="D25" s="313" t="n">
        <v>0.035</v>
      </c>
      <c r="E25" s="10"/>
      <c r="F25" s="10"/>
      <c r="G25" s="10"/>
      <c r="H25" s="10"/>
    </row>
    <row r="26" customFormat="false" ht="18" hidden="false" customHeight="true" outlineLevel="0" collapsed="false">
      <c r="A26" s="10"/>
      <c r="B26" s="14" t="s">
        <v>684</v>
      </c>
      <c r="C26" s="303" t="s">
        <v>669</v>
      </c>
      <c r="D26" s="307" t="n">
        <v>15.77</v>
      </c>
      <c r="E26" s="10"/>
      <c r="F26" s="10"/>
      <c r="G26" s="10"/>
      <c r="H26" s="10"/>
    </row>
    <row r="27" customFormat="false" ht="18" hidden="false" customHeight="true" outlineLevel="0" collapsed="false">
      <c r="A27" s="10"/>
      <c r="B27" s="12" t="s">
        <v>685</v>
      </c>
      <c r="C27" s="22" t="s">
        <v>673</v>
      </c>
      <c r="D27" s="309" t="n">
        <f aca="false">D10*D26</f>
        <v>78.85</v>
      </c>
      <c r="E27" s="10"/>
      <c r="F27" s="10"/>
      <c r="G27" s="10"/>
      <c r="H27" s="10"/>
    </row>
    <row r="28" customFormat="false" ht="18" hidden="false" customHeight="true" outlineLevel="0" collapsed="false">
      <c r="A28" s="10"/>
      <c r="B28" s="14" t="s">
        <v>686</v>
      </c>
      <c r="C28" s="303" t="s">
        <v>667</v>
      </c>
      <c r="D28" s="306" t="n">
        <v>0</v>
      </c>
      <c r="E28" s="10"/>
      <c r="F28" s="10"/>
      <c r="G28" s="10"/>
      <c r="H28" s="10"/>
    </row>
    <row r="29" customFormat="false" ht="18" hidden="false" customHeight="true" outlineLevel="0" collapsed="false">
      <c r="A29" s="10"/>
      <c r="B29" s="12" t="s">
        <v>687</v>
      </c>
      <c r="C29" s="22" t="s">
        <v>688</v>
      </c>
      <c r="D29" s="307" t="n">
        <v>1000</v>
      </c>
      <c r="E29" s="10"/>
      <c r="F29" s="10"/>
      <c r="G29" s="10"/>
      <c r="H29" s="10"/>
    </row>
    <row r="30" customFormat="false" ht="18" hidden="false" customHeight="true" outlineLevel="0" collapsed="false">
      <c r="A30" s="10"/>
      <c r="B30" s="14" t="s">
        <v>689</v>
      </c>
      <c r="C30" s="303" t="s">
        <v>673</v>
      </c>
      <c r="D30" s="308" t="n">
        <f aca="false">D28*D29</f>
        <v>0</v>
      </c>
      <c r="E30" s="10"/>
      <c r="F30" s="10"/>
      <c r="G30" s="10"/>
      <c r="H30" s="10"/>
    </row>
    <row r="31" customFormat="false" ht="7.5" hidden="false" customHeight="true" outlineLevel="0" collapsed="false">
      <c r="A31" s="10"/>
      <c r="B31" s="10"/>
      <c r="C31" s="10"/>
      <c r="D31" s="10"/>
      <c r="E31" s="10"/>
      <c r="F31" s="10"/>
      <c r="G31" s="10"/>
      <c r="H31" s="10"/>
    </row>
    <row r="32" customFormat="false" ht="19.5" hidden="false" customHeight="true" outlineLevel="0" collapsed="false">
      <c r="A32" s="10"/>
      <c r="B32" s="11" t="s">
        <v>690</v>
      </c>
      <c r="C32" s="11"/>
      <c r="D32" s="11"/>
      <c r="E32" s="11"/>
      <c r="F32" s="11"/>
      <c r="G32" s="11"/>
      <c r="H32" s="10"/>
    </row>
    <row r="33" customFormat="false" ht="19.5" hidden="false" customHeight="true" outlineLevel="0" collapsed="false">
      <c r="A33" s="10"/>
      <c r="B33" s="19" t="s">
        <v>691</v>
      </c>
      <c r="C33" s="19"/>
      <c r="D33" s="19"/>
      <c r="E33" s="19" t="s">
        <v>692</v>
      </c>
      <c r="F33" s="19" t="s">
        <v>693</v>
      </c>
      <c r="G33" s="19" t="s">
        <v>694</v>
      </c>
      <c r="H33" s="19" t="s">
        <v>695</v>
      </c>
    </row>
    <row r="34" customFormat="false" ht="18" hidden="false" customHeight="true" outlineLevel="0" collapsed="false">
      <c r="A34" s="10"/>
      <c r="B34" s="13" t="s">
        <v>696</v>
      </c>
      <c r="C34" s="13"/>
      <c r="D34" s="13"/>
      <c r="E34" s="309" t="n">
        <f aca="false">D11</f>
        <v>985</v>
      </c>
      <c r="F34" s="309" t="n">
        <f aca="false">E34*(1+D25)</f>
        <v>1019.475</v>
      </c>
      <c r="G34" s="309" t="n">
        <f aca="false">F34*(1+D25)</f>
        <v>1055.156625</v>
      </c>
      <c r="H34" s="309" t="n">
        <f aca="false">G34*(1+D25)</f>
        <v>1092.087106875</v>
      </c>
    </row>
    <row r="35" customFormat="false" ht="18" hidden="false" customHeight="true" outlineLevel="0" collapsed="false">
      <c r="A35" s="10"/>
      <c r="B35" s="314" t="s">
        <v>697</v>
      </c>
      <c r="C35" s="314"/>
      <c r="D35" s="314"/>
      <c r="E35" s="312" t="n">
        <f aca="false">D27</f>
        <v>78.85</v>
      </c>
      <c r="F35" s="312" t="n">
        <f aca="false">E35</f>
        <v>78.85</v>
      </c>
      <c r="G35" s="312" t="n">
        <f aca="false">F35</f>
        <v>78.85</v>
      </c>
      <c r="H35" s="312" t="n">
        <f aca="false">G35</f>
        <v>78.85</v>
      </c>
    </row>
    <row r="36" customFormat="false" ht="18" hidden="false" customHeight="true" outlineLevel="0" collapsed="false">
      <c r="A36" s="10"/>
      <c r="B36" s="13" t="s">
        <v>698</v>
      </c>
      <c r="C36" s="13"/>
      <c r="D36" s="13"/>
      <c r="E36" s="309" t="n">
        <f aca="false">D30</f>
        <v>0</v>
      </c>
      <c r="F36" s="309" t="n">
        <f aca="false">E36</f>
        <v>0</v>
      </c>
      <c r="G36" s="309" t="n">
        <f aca="false">F36</f>
        <v>0</v>
      </c>
      <c r="H36" s="309" t="n">
        <f aca="false">G36</f>
        <v>0</v>
      </c>
    </row>
    <row r="37" customFormat="false" ht="18" hidden="false" customHeight="true" outlineLevel="0" collapsed="false">
      <c r="A37" s="10"/>
      <c r="B37" s="314" t="s">
        <v>699</v>
      </c>
      <c r="C37" s="314"/>
      <c r="D37" s="314"/>
      <c r="E37" s="312" t="n">
        <f aca="false">IF(D20&gt;0,-D11/D9/12*MIN(D20,12),IF(D16&gt;0,-D18,0))</f>
        <v>-1.17729083665339</v>
      </c>
      <c r="F37" s="312" t="n">
        <f aca="false">IF(D20&gt;1,-D11/D9/12*MIN(D20-12,12),IF(D16&gt;0,-D18,0))</f>
        <v>-1.17729083665339</v>
      </c>
      <c r="G37" s="312" t="n">
        <f aca="false">0</f>
        <v>0</v>
      </c>
      <c r="H37" s="312" t="n">
        <f aca="false">0</f>
        <v>0</v>
      </c>
    </row>
    <row r="38" customFormat="false" ht="18" hidden="false" customHeight="true" outlineLevel="0" collapsed="false">
      <c r="A38" s="10"/>
      <c r="B38" s="11" t="s">
        <v>700</v>
      </c>
      <c r="C38" s="11"/>
      <c r="D38" s="11"/>
      <c r="E38" s="315" t="n">
        <f aca="false">SUM(E34:E37)</f>
        <v>1062.67270916335</v>
      </c>
      <c r="F38" s="315" t="n">
        <f aca="false">SUM(F34:F37)</f>
        <v>1097.14770916335</v>
      </c>
      <c r="G38" s="315" t="n">
        <f aca="false">SUM(G34:G37)</f>
        <v>1134.006625</v>
      </c>
      <c r="H38" s="315" t="n">
        <f aca="false">SUM(H34:H37)</f>
        <v>1170.937106875</v>
      </c>
    </row>
    <row r="39" customFormat="false" ht="7.5" hidden="false" customHeight="true" outlineLevel="0" collapsed="false">
      <c r="A39" s="10"/>
      <c r="B39" s="10"/>
      <c r="C39" s="10"/>
      <c r="D39" s="10"/>
      <c r="E39" s="10"/>
      <c r="F39" s="10"/>
      <c r="G39" s="10"/>
      <c r="H39" s="10"/>
    </row>
    <row r="40" customFormat="false" ht="19.5" hidden="false" customHeight="true" outlineLevel="0" collapsed="false">
      <c r="A40" s="10"/>
      <c r="B40" s="11" t="s">
        <v>701</v>
      </c>
      <c r="C40" s="11"/>
      <c r="D40" s="11"/>
      <c r="E40" s="11"/>
      <c r="F40" s="11"/>
      <c r="G40" s="11"/>
      <c r="H40" s="10"/>
    </row>
    <row r="41" customFormat="false" ht="18" hidden="false" customHeight="true" outlineLevel="0" collapsed="false">
      <c r="A41" s="10"/>
      <c r="B41" s="13" t="s">
        <v>702</v>
      </c>
      <c r="C41" s="22" t="s">
        <v>667</v>
      </c>
      <c r="D41" s="306" t="n">
        <v>6</v>
      </c>
      <c r="E41" s="10"/>
      <c r="F41" s="10"/>
      <c r="G41" s="10"/>
      <c r="H41" s="10"/>
    </row>
    <row r="42" customFormat="false" ht="18" hidden="false" customHeight="true" outlineLevel="0" collapsed="false">
      <c r="A42" s="10"/>
      <c r="B42" s="316" t="s">
        <v>703</v>
      </c>
      <c r="C42" s="303" t="s">
        <v>673</v>
      </c>
      <c r="D42" s="308" t="n">
        <f aca="false">D9*(D10/12)*D41</f>
        <v>627.5</v>
      </c>
      <c r="E42" s="10"/>
      <c r="F42" s="10"/>
      <c r="G42" s="10"/>
      <c r="H42" s="10"/>
    </row>
    <row r="43" customFormat="false" ht="18" hidden="false" customHeight="true" outlineLevel="0" collapsed="false">
      <c r="A43" s="10"/>
      <c r="B43" s="13" t="s">
        <v>684</v>
      </c>
      <c r="C43" s="22" t="s">
        <v>673</v>
      </c>
      <c r="D43" s="309" t="n">
        <f aca="false">D27/12*D41</f>
        <v>39.425</v>
      </c>
      <c r="E43" s="10"/>
      <c r="F43" s="10"/>
      <c r="G43" s="10"/>
      <c r="H43" s="10"/>
    </row>
    <row r="44" customFormat="false" ht="18" hidden="false" customHeight="true" outlineLevel="0" collapsed="false">
      <c r="A44" s="10"/>
      <c r="B44" s="316" t="s">
        <v>704</v>
      </c>
      <c r="C44" s="303" t="s">
        <v>673</v>
      </c>
      <c r="D44" s="308" t="n">
        <f aca="false">D30/12*D41</f>
        <v>0</v>
      </c>
      <c r="E44" s="10"/>
      <c r="F44" s="10"/>
      <c r="G44" s="10"/>
      <c r="H44" s="10"/>
    </row>
    <row r="45" customFormat="false" ht="18" hidden="false" customHeight="true" outlineLevel="0" collapsed="false">
      <c r="A45" s="10"/>
      <c r="B45" s="12" t="s">
        <v>705</v>
      </c>
      <c r="C45" s="22" t="s">
        <v>673</v>
      </c>
      <c r="D45" s="317" t="n">
        <f aca="false">SUM(D42:D44)</f>
        <v>666.925</v>
      </c>
      <c r="E45" s="10"/>
      <c r="F45" s="10"/>
      <c r="G45" s="10"/>
      <c r="H45" s="10"/>
    </row>
    <row r="46" customFormat="false" ht="18" hidden="false" customHeight="true" outlineLevel="0" collapsed="false">
      <c r="A46" s="10"/>
      <c r="B46" s="14" t="s">
        <v>706</v>
      </c>
      <c r="C46" s="303" t="s">
        <v>673</v>
      </c>
      <c r="D46" s="317" t="n">
        <f aca="false">D45*0.1</f>
        <v>66.6925</v>
      </c>
      <c r="E46" s="10"/>
      <c r="F46" s="10"/>
      <c r="G46" s="10"/>
      <c r="H46" s="10"/>
    </row>
    <row r="47" customFormat="false" ht="18" hidden="false" customHeight="true" outlineLevel="0" collapsed="false">
      <c r="A47" s="10"/>
      <c r="B47" s="12" t="s">
        <v>707</v>
      </c>
      <c r="C47" s="22" t="s">
        <v>673</v>
      </c>
      <c r="D47" s="317" t="n">
        <f aca="false">D45+D46</f>
        <v>733.6175</v>
      </c>
      <c r="E47" s="10"/>
      <c r="F47" s="10"/>
      <c r="G47" s="10"/>
      <c r="H47" s="10"/>
    </row>
    <row r="48" customFormat="false" ht="7.5" hidden="false" customHeight="true" outlineLevel="0" collapsed="false">
      <c r="A48" s="10"/>
      <c r="B48" s="10"/>
      <c r="C48" s="10"/>
      <c r="D48" s="10"/>
      <c r="E48" s="10"/>
      <c r="F48" s="10"/>
      <c r="G48" s="10"/>
      <c r="H48" s="10"/>
    </row>
    <row r="49" customFormat="false" ht="19.5" hidden="false" customHeight="true" outlineLevel="0" collapsed="false">
      <c r="A49" s="10"/>
      <c r="B49" s="11" t="s">
        <v>708</v>
      </c>
      <c r="C49" s="11"/>
      <c r="D49" s="11"/>
      <c r="E49" s="11"/>
      <c r="F49" s="11"/>
      <c r="G49" s="11"/>
      <c r="H49" s="10"/>
    </row>
    <row r="50" customFormat="false" ht="18" hidden="false" customHeight="true" outlineLevel="0" collapsed="false">
      <c r="A50" s="10"/>
      <c r="B50" s="13" t="s">
        <v>709</v>
      </c>
      <c r="C50" s="22" t="s">
        <v>673</v>
      </c>
      <c r="D50" s="309" t="n">
        <f aca="false">D34</f>
        <v>0</v>
      </c>
      <c r="E50" s="10"/>
      <c r="F50" s="10"/>
      <c r="G50" s="10"/>
      <c r="H50" s="10"/>
    </row>
    <row r="51" customFormat="false" ht="18" hidden="false" customHeight="true" outlineLevel="0" collapsed="false">
      <c r="A51" s="10"/>
      <c r="B51" s="314" t="s">
        <v>710</v>
      </c>
      <c r="C51" s="311" t="s">
        <v>673</v>
      </c>
      <c r="D51" s="312" t="n">
        <f aca="false">D35</f>
        <v>0</v>
      </c>
      <c r="E51" s="10"/>
      <c r="F51" s="10"/>
      <c r="G51" s="10"/>
      <c r="H51" s="10"/>
    </row>
    <row r="52" customFormat="false" ht="18" hidden="false" customHeight="true" outlineLevel="0" collapsed="false">
      <c r="A52" s="10"/>
      <c r="B52" s="13" t="s">
        <v>711</v>
      </c>
      <c r="C52" s="22" t="s">
        <v>673</v>
      </c>
      <c r="D52" s="309" t="n">
        <f aca="false">D36</f>
        <v>0</v>
      </c>
      <c r="E52" s="10"/>
      <c r="F52" s="10"/>
      <c r="G52" s="10"/>
      <c r="H52" s="10"/>
    </row>
    <row r="53" customFormat="false" ht="18" hidden="false" customHeight="true" outlineLevel="0" collapsed="false">
      <c r="A53" s="10"/>
      <c r="B53" s="314" t="s">
        <v>712</v>
      </c>
      <c r="C53" s="311" t="s">
        <v>673</v>
      </c>
      <c r="D53" s="312" t="n">
        <f aca="false">D37</f>
        <v>0</v>
      </c>
      <c r="E53" s="10"/>
      <c r="F53" s="10"/>
      <c r="G53" s="10"/>
      <c r="H53" s="10"/>
    </row>
    <row r="54" customFormat="false" ht="18" hidden="false" customHeight="true" outlineLevel="0" collapsed="false">
      <c r="A54" s="10"/>
      <c r="B54" s="12" t="s">
        <v>713</v>
      </c>
      <c r="C54" s="22" t="s">
        <v>673</v>
      </c>
      <c r="D54" s="317" t="n">
        <f aca="false">SUM(D50:D53)</f>
        <v>0</v>
      </c>
      <c r="E54" s="10"/>
      <c r="F54" s="10"/>
      <c r="G54" s="10"/>
      <c r="H54" s="10"/>
    </row>
    <row r="55" customFormat="false" ht="18" hidden="false" customHeight="true" outlineLevel="0" collapsed="false">
      <c r="A55" s="10"/>
      <c r="B55" s="106" t="s">
        <v>714</v>
      </c>
      <c r="C55" s="311" t="s">
        <v>673</v>
      </c>
      <c r="D55" s="317" t="n">
        <f aca="false">D54/D10</f>
        <v>0</v>
      </c>
      <c r="E55" s="10"/>
      <c r="F55" s="10"/>
      <c r="G55" s="10"/>
      <c r="H55" s="10"/>
    </row>
    <row r="56" customFormat="false" ht="18" hidden="false" customHeight="true" outlineLevel="0" collapsed="false">
      <c r="A56" s="10"/>
      <c r="B56" s="12" t="s">
        <v>715</v>
      </c>
      <c r="C56" s="22" t="s">
        <v>673</v>
      </c>
      <c r="D56" s="317" t="n">
        <f aca="false">D54/12</f>
        <v>0</v>
      </c>
      <c r="E56" s="10"/>
      <c r="F56" s="10"/>
      <c r="G56" s="10"/>
      <c r="H56" s="10"/>
    </row>
    <row r="57" customFormat="false" ht="14.25" hidden="false" customHeight="true" outlineLevel="0" collapsed="false">
      <c r="A57" s="10"/>
      <c r="B57" s="10"/>
      <c r="C57" s="10"/>
      <c r="D57" s="10"/>
      <c r="E57" s="10"/>
      <c r="F57" s="10"/>
      <c r="G57" s="10"/>
      <c r="H57" s="10"/>
    </row>
    <row r="58" customFormat="false" ht="19.5" hidden="false" customHeight="true" outlineLevel="0" collapsed="false">
      <c r="A58" s="10"/>
      <c r="B58" s="11" t="s">
        <v>716</v>
      </c>
      <c r="C58" s="11"/>
      <c r="D58" s="11"/>
      <c r="E58" s="11"/>
      <c r="F58" s="11"/>
      <c r="G58" s="11"/>
      <c r="H58" s="10"/>
    </row>
    <row r="59" customFormat="false" ht="18" hidden="false" customHeight="true" outlineLevel="0" collapsed="false">
      <c r="A59" s="10"/>
      <c r="B59" s="13" t="s">
        <v>717</v>
      </c>
      <c r="C59" s="22" t="s">
        <v>673</v>
      </c>
      <c r="D59" s="309" t="n">
        <f aca="false">D17</f>
        <v>295.5</v>
      </c>
      <c r="E59" s="10"/>
      <c r="F59" s="10"/>
      <c r="G59" s="10"/>
      <c r="H59" s="10"/>
    </row>
    <row r="60" customFormat="false" ht="18" hidden="false" customHeight="true" outlineLevel="0" collapsed="false">
      <c r="A60" s="10"/>
      <c r="B60" s="316" t="s">
        <v>718</v>
      </c>
      <c r="C60" s="303" t="s">
        <v>673</v>
      </c>
      <c r="D60" s="308" t="n">
        <f aca="false">D21</f>
        <v>0</v>
      </c>
      <c r="E60" s="10"/>
      <c r="F60" s="10"/>
      <c r="G60" s="10"/>
      <c r="H60" s="10"/>
    </row>
    <row r="61" customFormat="false" ht="18" hidden="false" customHeight="true" outlineLevel="0" collapsed="false">
      <c r="A61" s="10"/>
      <c r="B61" s="13" t="s">
        <v>681</v>
      </c>
      <c r="C61" s="22" t="s">
        <v>673</v>
      </c>
      <c r="D61" s="309" t="n">
        <f aca="false">D22</f>
        <v>248030.67</v>
      </c>
      <c r="E61" s="10"/>
      <c r="F61" s="10"/>
      <c r="G61" s="10"/>
      <c r="H61" s="10"/>
    </row>
    <row r="62" customFormat="false" ht="18" hidden="false" customHeight="true" outlineLevel="0" collapsed="false">
      <c r="A62" s="10"/>
      <c r="B62" s="14" t="s">
        <v>719</v>
      </c>
      <c r="C62" s="303" t="s">
        <v>673</v>
      </c>
      <c r="D62" s="317" t="n">
        <f aca="false">SUM(D59:D61)</f>
        <v>248326.17</v>
      </c>
      <c r="E62" s="10"/>
      <c r="F62" s="10"/>
      <c r="G62" s="10"/>
      <c r="H62" s="10"/>
    </row>
    <row r="63" customFormat="false" ht="18" hidden="false" customHeight="true" outlineLevel="0" collapsed="false">
      <c r="A63" s="10"/>
      <c r="B63" s="12" t="s">
        <v>720</v>
      </c>
      <c r="C63" s="22" t="s">
        <v>673</v>
      </c>
      <c r="D63" s="317" t="n">
        <f aca="false">D62/D10</f>
        <v>49665.234</v>
      </c>
      <c r="E63" s="10"/>
      <c r="F63" s="10"/>
      <c r="G63" s="10"/>
      <c r="H63" s="10"/>
    </row>
    <row r="64" customFormat="false" ht="18" hidden="false" customHeight="true" outlineLevel="0" collapsed="false">
      <c r="A64" s="10"/>
      <c r="B64" s="14" t="s">
        <v>721</v>
      </c>
      <c r="C64" s="303" t="s">
        <v>663</v>
      </c>
      <c r="D64" s="318" t="n">
        <f aca="false">D62/D13</f>
        <v>1.00441349323518</v>
      </c>
      <c r="E64" s="10"/>
      <c r="F64" s="10"/>
      <c r="G64" s="10"/>
      <c r="H64" s="10"/>
    </row>
    <row r="65" customFormat="false" ht="14.25" hidden="false" customHeight="true" outlineLevel="0" collapsed="false">
      <c r="A65" s="10"/>
      <c r="B65" s="10"/>
      <c r="C65" s="10"/>
      <c r="D65" s="10"/>
      <c r="E65" s="10"/>
      <c r="F65" s="10"/>
      <c r="G65" s="10"/>
      <c r="H65" s="10"/>
    </row>
    <row r="66" customFormat="false" ht="19.5" hidden="false" customHeight="true" outlineLevel="0" collapsed="false">
      <c r="A66" s="10"/>
      <c r="B66" s="183" t="s">
        <v>722</v>
      </c>
      <c r="C66" s="183"/>
      <c r="D66" s="183"/>
      <c r="E66" s="183"/>
      <c r="F66" s="183"/>
      <c r="G66" s="183"/>
      <c r="H66" s="183"/>
    </row>
  </sheetData>
  <mergeCells count="17">
    <mergeCell ref="A1:H1"/>
    <mergeCell ref="A2:H2"/>
    <mergeCell ref="B4:G4"/>
    <mergeCell ref="B8:G8"/>
    <mergeCell ref="B15:G15"/>
    <mergeCell ref="B24:G24"/>
    <mergeCell ref="B32:G32"/>
    <mergeCell ref="B33:D33"/>
    <mergeCell ref="B34:D34"/>
    <mergeCell ref="B35:D35"/>
    <mergeCell ref="B36:D36"/>
    <mergeCell ref="B37:D37"/>
    <mergeCell ref="B38:D38"/>
    <mergeCell ref="B40:G40"/>
    <mergeCell ref="B49:G49"/>
    <mergeCell ref="B58:G58"/>
    <mergeCell ref="B66:H66"/>
  </mergeCells>
  <printOptions headings="false" gridLines="false" gridLinesSet="true" horizontalCentered="false" verticalCentered="false"/>
  <pageMargins left="0.75" right="0.75" top="1" bottom="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&amp;C&amp;"Georgia,Regular"Goldberg Family Office</oddHeader>
    <oddFooter>&amp;C&amp;"Georgia,Regular"Prepared by jake goldberg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2026-05-05T04:42:50Z</dcterms:created>
  <dc:creator>openpyxl</dc:creator>
  <dc:description/>
  <dc:language>en-US</dc:language>
  <cp:lastModifiedBy>Jake Goldberg</cp:lastModifiedBy>
  <dcterms:modified xsi:type="dcterms:W3CDTF">2026-10-02T00:31:14Z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