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Properties\Elizabeth Plaza-Educom-Nesova\Elizabeth Plaza - Property Management\"/>
    </mc:Choice>
  </mc:AlternateContent>
  <xr:revisionPtr revIDLastSave="0" documentId="13_ncr:1_{121FA509-AB16-43FD-AE87-A7BFF4148FBD}" xr6:coauthVersionLast="47" xr6:coauthVersionMax="47" xr10:uidLastSave="{00000000-0000-0000-0000-000000000000}"/>
  <bookViews>
    <workbookView xWindow="16650" yWindow="-16320" windowWidth="29040" windowHeight="15720" tabRatio="500" activeTab="1" xr2:uid="{00000000-000D-0000-FFFF-FFFF00000000}"/>
  </bookViews>
  <sheets>
    <sheet name="Cover" sheetId="1" r:id="rId1"/>
    <sheet name="Last Updated" sheetId="2" r:id="rId2"/>
    <sheet name="Input Data" sheetId="3" r:id="rId3"/>
    <sheet name="Dashboard" sheetId="4" r:id="rId4"/>
    <sheet name="Valuations" sheetId="5" r:id="rId5"/>
    <sheet name="Market Rents 26-27" sheetId="6" r:id="rId6"/>
    <sheet name="Expiry Profile" sheetId="7" r:id="rId7"/>
    <sheet name="Leases" sheetId="8" r:id="rId8"/>
    <sheet name="Make Good Obligations" sheetId="9" r:id="rId9"/>
    <sheet name="Stack Plan" sheetId="10" r:id="rId10"/>
    <sheet name="Leasing Activity" sheetId="11" r:id="rId11"/>
    <sheet name="Fitout Costs" sheetId="12" r:id="rId12"/>
    <sheet name="Leasing Fees" sheetId="13" r:id="rId13"/>
    <sheet name="Rental Analysi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1" i="14" l="1"/>
  <c r="D53" i="14"/>
  <c r="D52" i="14"/>
  <c r="D51" i="14"/>
  <c r="D50" i="14"/>
  <c r="D54" i="14" s="1"/>
  <c r="D42" i="14"/>
  <c r="H37" i="14"/>
  <c r="G37" i="14"/>
  <c r="E34" i="14"/>
  <c r="D30" i="14"/>
  <c r="D27" i="14"/>
  <c r="D21" i="14"/>
  <c r="D60" i="14" s="1"/>
  <c r="D17" i="14"/>
  <c r="D13" i="14"/>
  <c r="D12" i="14"/>
  <c r="D6" i="14"/>
  <c r="I12" i="13"/>
  <c r="H12" i="13"/>
  <c r="G12" i="13"/>
  <c r="F12" i="13"/>
  <c r="E12" i="13"/>
  <c r="D23" i="11"/>
  <c r="I90" i="10"/>
  <c r="D90" i="10"/>
  <c r="I88" i="10"/>
  <c r="D88" i="10"/>
  <c r="I87" i="10"/>
  <c r="D87" i="10"/>
  <c r="I86" i="10"/>
  <c r="D86" i="10"/>
  <c r="D81" i="10"/>
  <c r="D79" i="10"/>
  <c r="D78" i="10"/>
  <c r="D77" i="10"/>
  <c r="S72" i="10"/>
  <c r="N72" i="10"/>
  <c r="D72" i="10"/>
  <c r="S70" i="10"/>
  <c r="N70" i="10"/>
  <c r="D70" i="10"/>
  <c r="S69" i="10"/>
  <c r="N69" i="10"/>
  <c r="D69" i="10"/>
  <c r="S68" i="10"/>
  <c r="N68" i="10"/>
  <c r="D68" i="10"/>
  <c r="W63" i="10"/>
  <c r="R63" i="10"/>
  <c r="I63" i="10"/>
  <c r="D63" i="10"/>
  <c r="W61" i="10"/>
  <c r="R61" i="10"/>
  <c r="I61" i="10"/>
  <c r="D61" i="10"/>
  <c r="W60" i="10"/>
  <c r="R60" i="10"/>
  <c r="I60" i="10"/>
  <c r="D60" i="10"/>
  <c r="W59" i="10"/>
  <c r="R59" i="10"/>
  <c r="I59" i="10"/>
  <c r="D59" i="10"/>
  <c r="R54" i="10"/>
  <c r="D54" i="10"/>
  <c r="R52" i="10"/>
  <c r="D52" i="10"/>
  <c r="R51" i="10"/>
  <c r="D51" i="10"/>
  <c r="R50" i="10"/>
  <c r="D50" i="10"/>
  <c r="X45" i="10"/>
  <c r="D45" i="10"/>
  <c r="X43" i="10"/>
  <c r="D43" i="10"/>
  <c r="X42" i="10"/>
  <c r="D42" i="10"/>
  <c r="X41" i="10"/>
  <c r="D41" i="10"/>
  <c r="R36" i="10"/>
  <c r="D36" i="10"/>
  <c r="R34" i="10"/>
  <c r="D34" i="10"/>
  <c r="R33" i="10"/>
  <c r="D33" i="10"/>
  <c r="R32" i="10"/>
  <c r="D32" i="10"/>
  <c r="L18" i="10"/>
  <c r="D18" i="10"/>
  <c r="L16" i="10"/>
  <c r="D16" i="10"/>
  <c r="L15" i="10"/>
  <c r="D15" i="10"/>
  <c r="L14" i="10"/>
  <c r="D14" i="10"/>
  <c r="L9" i="10"/>
  <c r="D9" i="10"/>
  <c r="L7" i="10"/>
  <c r="D7" i="10"/>
  <c r="L6" i="10"/>
  <c r="D6" i="10"/>
  <c r="L5" i="10"/>
  <c r="D5" i="10"/>
  <c r="I32" i="9"/>
  <c r="E32" i="9"/>
  <c r="L32" i="9" s="1"/>
  <c r="D32" i="9"/>
  <c r="I31" i="9"/>
  <c r="E31" i="9"/>
  <c r="L31" i="9" s="1"/>
  <c r="D31" i="9"/>
  <c r="I30" i="9"/>
  <c r="E30" i="9"/>
  <c r="L30" i="9" s="1"/>
  <c r="D30" i="9"/>
  <c r="I29" i="9"/>
  <c r="E29" i="9"/>
  <c r="L29" i="9" s="1"/>
  <c r="D29" i="9"/>
  <c r="I28" i="9"/>
  <c r="E28" i="9"/>
  <c r="L28" i="9" s="1"/>
  <c r="D28" i="9"/>
  <c r="I27" i="9"/>
  <c r="E27" i="9"/>
  <c r="L27" i="9" s="1"/>
  <c r="D27" i="9"/>
  <c r="I26" i="9"/>
  <c r="E26" i="9"/>
  <c r="L26" i="9" s="1"/>
  <c r="D26" i="9"/>
  <c r="I25" i="9"/>
  <c r="E25" i="9"/>
  <c r="L25" i="9" s="1"/>
  <c r="D25" i="9"/>
  <c r="I24" i="9"/>
  <c r="E24" i="9"/>
  <c r="L24" i="9" s="1"/>
  <c r="D24" i="9"/>
  <c r="L23" i="9"/>
  <c r="I23" i="9"/>
  <c r="I22" i="9"/>
  <c r="E22" i="9"/>
  <c r="L22" i="9" s="1"/>
  <c r="D22" i="9"/>
  <c r="I21" i="9"/>
  <c r="E21" i="9"/>
  <c r="L21" i="9" s="1"/>
  <c r="D21" i="9"/>
  <c r="I20" i="9"/>
  <c r="E20" i="9"/>
  <c r="L20" i="9" s="1"/>
  <c r="D20" i="9"/>
  <c r="I19" i="9"/>
  <c r="E19" i="9"/>
  <c r="L19" i="9" s="1"/>
  <c r="D19" i="9"/>
  <c r="I18" i="9"/>
  <c r="E18" i="9"/>
  <c r="L18" i="9" s="1"/>
  <c r="D18" i="9"/>
  <c r="I17" i="9"/>
  <c r="E17" i="9"/>
  <c r="L17" i="9" s="1"/>
  <c r="D17" i="9"/>
  <c r="I16" i="9"/>
  <c r="E16" i="9"/>
  <c r="L16" i="9" s="1"/>
  <c r="D16" i="9"/>
  <c r="I15" i="9"/>
  <c r="E15" i="9"/>
  <c r="L15" i="9" s="1"/>
  <c r="D15" i="9"/>
  <c r="I14" i="9"/>
  <c r="E14" i="9"/>
  <c r="L14" i="9" s="1"/>
  <c r="D14" i="9"/>
  <c r="I13" i="9"/>
  <c r="E13" i="9"/>
  <c r="L13" i="9" s="1"/>
  <c r="D13" i="9"/>
  <c r="I12" i="9"/>
  <c r="E12" i="9"/>
  <c r="L12" i="9" s="1"/>
  <c r="D12" i="9"/>
  <c r="I11" i="9"/>
  <c r="E11" i="9"/>
  <c r="L11" i="9" s="1"/>
  <c r="D11" i="9"/>
  <c r="I10" i="9"/>
  <c r="E10" i="9"/>
  <c r="L10" i="9" s="1"/>
  <c r="D10" i="9"/>
  <c r="E6" i="9"/>
  <c r="B6" i="9"/>
  <c r="J32" i="8"/>
  <c r="I32" i="8"/>
  <c r="E32" i="8"/>
  <c r="X30" i="8"/>
  <c r="E30" i="8"/>
  <c r="D30" i="8"/>
  <c r="C30" i="8"/>
  <c r="B30" i="8"/>
  <c r="A30" i="8"/>
  <c r="X29" i="8"/>
  <c r="E29" i="8"/>
  <c r="D29" i="8"/>
  <c r="C29" i="8"/>
  <c r="B29" i="8"/>
  <c r="A29" i="8"/>
  <c r="X27" i="8"/>
  <c r="T27" i="8"/>
  <c r="S27" i="8"/>
  <c r="R27" i="8"/>
  <c r="Q27" i="8"/>
  <c r="P27" i="8"/>
  <c r="O27" i="8"/>
  <c r="N27" i="8"/>
  <c r="M27" i="8"/>
  <c r="K27" i="8"/>
  <c r="J27" i="8"/>
  <c r="H27" i="8"/>
  <c r="G27" i="8"/>
  <c r="F27" i="8"/>
  <c r="E27" i="8"/>
  <c r="D27" i="8"/>
  <c r="C27" i="8"/>
  <c r="B27" i="8"/>
  <c r="A27" i="8"/>
  <c r="X26" i="8"/>
  <c r="T26" i="8"/>
  <c r="S26" i="8"/>
  <c r="R26" i="8"/>
  <c r="Q26" i="8"/>
  <c r="P26" i="8"/>
  <c r="O26" i="8"/>
  <c r="N26" i="8"/>
  <c r="M26" i="8"/>
  <c r="K26" i="8"/>
  <c r="J26" i="8"/>
  <c r="H26" i="8"/>
  <c r="G26" i="8"/>
  <c r="F26" i="8"/>
  <c r="E26" i="8"/>
  <c r="D26" i="8"/>
  <c r="C26" i="8"/>
  <c r="B26" i="8"/>
  <c r="A26" i="8"/>
  <c r="W25" i="8"/>
  <c r="S25" i="8"/>
  <c r="R25" i="8"/>
  <c r="Q25" i="8"/>
  <c r="P25" i="8"/>
  <c r="O25" i="8"/>
  <c r="N25" i="8"/>
  <c r="M25" i="8"/>
  <c r="K25" i="8"/>
  <c r="J25" i="8"/>
  <c r="H25" i="8"/>
  <c r="G25" i="8"/>
  <c r="F25" i="8"/>
  <c r="E25" i="8"/>
  <c r="D25" i="8"/>
  <c r="C25" i="8"/>
  <c r="B25" i="8"/>
  <c r="A25" i="8"/>
  <c r="X24" i="8"/>
  <c r="T24" i="8"/>
  <c r="S24" i="8"/>
  <c r="R24" i="8"/>
  <c r="Q24" i="8"/>
  <c r="P24" i="8"/>
  <c r="O24" i="8"/>
  <c r="N24" i="8"/>
  <c r="M24" i="8"/>
  <c r="K24" i="8"/>
  <c r="J24" i="8"/>
  <c r="H24" i="8"/>
  <c r="G24" i="8"/>
  <c r="F24" i="8"/>
  <c r="E24" i="8"/>
  <c r="D24" i="8"/>
  <c r="C24" i="8"/>
  <c r="B24" i="8"/>
  <c r="A24" i="8"/>
  <c r="X23" i="8"/>
  <c r="T23" i="8"/>
  <c r="S23" i="8"/>
  <c r="R23" i="8"/>
  <c r="Q23" i="8"/>
  <c r="P23" i="8"/>
  <c r="O23" i="8"/>
  <c r="N23" i="8"/>
  <c r="M23" i="8"/>
  <c r="K23" i="8"/>
  <c r="J23" i="8"/>
  <c r="H23" i="8"/>
  <c r="G23" i="8"/>
  <c r="F23" i="8"/>
  <c r="E23" i="8"/>
  <c r="D23" i="8"/>
  <c r="C23" i="8"/>
  <c r="B23" i="8"/>
  <c r="A23" i="8"/>
  <c r="X22" i="8"/>
  <c r="T22" i="8"/>
  <c r="S22" i="8"/>
  <c r="R22" i="8"/>
  <c r="Q22" i="8"/>
  <c r="P22" i="8"/>
  <c r="O22" i="8"/>
  <c r="N22" i="8"/>
  <c r="M22" i="8"/>
  <c r="K22" i="8"/>
  <c r="J22" i="8"/>
  <c r="H22" i="8"/>
  <c r="G22" i="8"/>
  <c r="F22" i="8"/>
  <c r="E22" i="8"/>
  <c r="D22" i="8"/>
  <c r="C22" i="8"/>
  <c r="B22" i="8"/>
  <c r="A22" i="8"/>
  <c r="X21" i="8"/>
  <c r="T21" i="8"/>
  <c r="S21" i="8"/>
  <c r="R21" i="8"/>
  <c r="Q21" i="8"/>
  <c r="P21" i="8"/>
  <c r="O21" i="8"/>
  <c r="N21" i="8"/>
  <c r="M21" i="8"/>
  <c r="K21" i="8"/>
  <c r="J21" i="8"/>
  <c r="H21" i="8"/>
  <c r="G21" i="8"/>
  <c r="F21" i="8"/>
  <c r="E21" i="8"/>
  <c r="D21" i="8"/>
  <c r="C21" i="8"/>
  <c r="B21" i="8"/>
  <c r="A21" i="8"/>
  <c r="X19" i="8"/>
  <c r="T19" i="8"/>
  <c r="S19" i="8"/>
  <c r="R19" i="8"/>
  <c r="Q19" i="8"/>
  <c r="P19" i="8"/>
  <c r="O19" i="8"/>
  <c r="N19" i="8"/>
  <c r="M19" i="8"/>
  <c r="K19" i="8"/>
  <c r="J19" i="8"/>
  <c r="H19" i="8"/>
  <c r="G19" i="8"/>
  <c r="F19" i="8"/>
  <c r="E19" i="8"/>
  <c r="D19" i="8"/>
  <c r="C19" i="8"/>
  <c r="B19" i="8"/>
  <c r="A19" i="8"/>
  <c r="X18" i="8"/>
  <c r="T18" i="8"/>
  <c r="S18" i="8"/>
  <c r="R18" i="8"/>
  <c r="Q18" i="8"/>
  <c r="P18" i="8"/>
  <c r="O18" i="8"/>
  <c r="N18" i="8"/>
  <c r="M18" i="8"/>
  <c r="K18" i="8"/>
  <c r="J18" i="8"/>
  <c r="H18" i="8"/>
  <c r="G18" i="8"/>
  <c r="F18" i="8"/>
  <c r="E18" i="8"/>
  <c r="D18" i="8"/>
  <c r="C18" i="8"/>
  <c r="B18" i="8"/>
  <c r="A18" i="8"/>
  <c r="X17" i="8"/>
  <c r="T17" i="8"/>
  <c r="S17" i="8"/>
  <c r="R17" i="8"/>
  <c r="Q17" i="8"/>
  <c r="P17" i="8"/>
  <c r="O17" i="8"/>
  <c r="N17" i="8"/>
  <c r="M17" i="8"/>
  <c r="K17" i="8"/>
  <c r="J17" i="8"/>
  <c r="H17" i="8"/>
  <c r="G17" i="8"/>
  <c r="F17" i="8"/>
  <c r="E17" i="8"/>
  <c r="D17" i="8"/>
  <c r="C17" i="8"/>
  <c r="B17" i="8"/>
  <c r="A17" i="8"/>
  <c r="X15" i="8"/>
  <c r="T15" i="8"/>
  <c r="S15" i="8"/>
  <c r="R15" i="8"/>
  <c r="Q15" i="8"/>
  <c r="P15" i="8"/>
  <c r="O15" i="8"/>
  <c r="N15" i="8"/>
  <c r="M15" i="8"/>
  <c r="K15" i="8"/>
  <c r="J15" i="8"/>
  <c r="H15" i="8"/>
  <c r="G15" i="8"/>
  <c r="F15" i="8"/>
  <c r="E15" i="8"/>
  <c r="D15" i="8"/>
  <c r="C15" i="8"/>
  <c r="B15" i="8"/>
  <c r="A15" i="8"/>
  <c r="X14" i="8"/>
  <c r="T14" i="8"/>
  <c r="S14" i="8"/>
  <c r="R14" i="8"/>
  <c r="Q14" i="8"/>
  <c r="P14" i="8"/>
  <c r="O14" i="8"/>
  <c r="N14" i="8"/>
  <c r="M14" i="8"/>
  <c r="K14" i="8"/>
  <c r="J14" i="8"/>
  <c r="H14" i="8"/>
  <c r="G14" i="8"/>
  <c r="F14" i="8"/>
  <c r="E14" i="8"/>
  <c r="D14" i="8"/>
  <c r="C14" i="8"/>
  <c r="B14" i="8"/>
  <c r="A14" i="8"/>
  <c r="X13" i="8"/>
  <c r="T13" i="8"/>
  <c r="S13" i="8"/>
  <c r="R13" i="8"/>
  <c r="Q13" i="8"/>
  <c r="P13" i="8"/>
  <c r="O13" i="8"/>
  <c r="N13" i="8"/>
  <c r="M13" i="8"/>
  <c r="K13" i="8"/>
  <c r="J13" i="8"/>
  <c r="H13" i="8"/>
  <c r="G13" i="8"/>
  <c r="F13" i="8"/>
  <c r="E13" i="8"/>
  <c r="D13" i="8"/>
  <c r="C13" i="8"/>
  <c r="B13" i="8"/>
  <c r="A13" i="8"/>
  <c r="X12" i="8"/>
  <c r="T12" i="8"/>
  <c r="S12" i="8"/>
  <c r="R12" i="8"/>
  <c r="Q12" i="8"/>
  <c r="P12" i="8"/>
  <c r="O12" i="8"/>
  <c r="N12" i="8"/>
  <c r="M12" i="8"/>
  <c r="K12" i="8"/>
  <c r="J12" i="8"/>
  <c r="H12" i="8"/>
  <c r="G12" i="8"/>
  <c r="F12" i="8"/>
  <c r="E12" i="8"/>
  <c r="D12" i="8"/>
  <c r="C12" i="8"/>
  <c r="B12" i="8"/>
  <c r="A12" i="8"/>
  <c r="X11" i="8"/>
  <c r="T11" i="8"/>
  <c r="S11" i="8"/>
  <c r="R11" i="8"/>
  <c r="Q11" i="8"/>
  <c r="P11" i="8"/>
  <c r="O11" i="8"/>
  <c r="N11" i="8"/>
  <c r="M11" i="8"/>
  <c r="K11" i="8"/>
  <c r="J11" i="8"/>
  <c r="H11" i="8"/>
  <c r="G11" i="8"/>
  <c r="F11" i="8"/>
  <c r="E11" i="8"/>
  <c r="D11" i="8"/>
  <c r="C11" i="8"/>
  <c r="B11" i="8"/>
  <c r="A11" i="8"/>
  <c r="X10" i="8"/>
  <c r="T10" i="8"/>
  <c r="S10" i="8"/>
  <c r="R10" i="8"/>
  <c r="Q10" i="8"/>
  <c r="P10" i="8"/>
  <c r="O10" i="8"/>
  <c r="N10" i="8"/>
  <c r="M10" i="8"/>
  <c r="K10" i="8"/>
  <c r="J10" i="8"/>
  <c r="H10" i="8"/>
  <c r="G10" i="8"/>
  <c r="F10" i="8"/>
  <c r="E10" i="8"/>
  <c r="D10" i="8"/>
  <c r="C10" i="8"/>
  <c r="B10" i="8"/>
  <c r="A10" i="8"/>
  <c r="X8" i="8"/>
  <c r="T8" i="8"/>
  <c r="S8" i="8"/>
  <c r="R8" i="8"/>
  <c r="Q8" i="8"/>
  <c r="P8" i="8"/>
  <c r="O8" i="8"/>
  <c r="N8" i="8"/>
  <c r="M8" i="8"/>
  <c r="K8" i="8"/>
  <c r="J8" i="8"/>
  <c r="H8" i="8"/>
  <c r="G8" i="8"/>
  <c r="F8" i="8"/>
  <c r="E8" i="8"/>
  <c r="D8" i="8"/>
  <c r="C8" i="8"/>
  <c r="B8" i="8"/>
  <c r="A8" i="8"/>
  <c r="X7" i="8"/>
  <c r="T7" i="8"/>
  <c r="S7" i="8"/>
  <c r="R7" i="8"/>
  <c r="Q7" i="8"/>
  <c r="P7" i="8"/>
  <c r="O7" i="8"/>
  <c r="N7" i="8"/>
  <c r="M7" i="8"/>
  <c r="K7" i="8"/>
  <c r="J7" i="8"/>
  <c r="H7" i="8"/>
  <c r="G7" i="8"/>
  <c r="F7" i="8"/>
  <c r="E7" i="8"/>
  <c r="D7" i="8"/>
  <c r="C7" i="8"/>
  <c r="B7" i="8"/>
  <c r="A7" i="8"/>
  <c r="X5" i="8"/>
  <c r="T5" i="8"/>
  <c r="S5" i="8"/>
  <c r="R5" i="8"/>
  <c r="Q5" i="8"/>
  <c r="P5" i="8"/>
  <c r="O5" i="8"/>
  <c r="N5" i="8"/>
  <c r="M5" i="8"/>
  <c r="K5" i="8"/>
  <c r="J5" i="8"/>
  <c r="H5" i="8"/>
  <c r="G5" i="8"/>
  <c r="F5" i="8"/>
  <c r="E5" i="8"/>
  <c r="D5" i="8"/>
  <c r="C5" i="8"/>
  <c r="B5" i="8"/>
  <c r="A5" i="8"/>
  <c r="X4" i="8"/>
  <c r="T4" i="8"/>
  <c r="S4" i="8"/>
  <c r="R4" i="8"/>
  <c r="Q4" i="8"/>
  <c r="P4" i="8"/>
  <c r="O4" i="8"/>
  <c r="N4" i="8"/>
  <c r="M4" i="8"/>
  <c r="K4" i="8"/>
  <c r="J4" i="8"/>
  <c r="H4" i="8"/>
  <c r="G4" i="8"/>
  <c r="F4" i="8"/>
  <c r="E4" i="8"/>
  <c r="D4" i="8"/>
  <c r="C4" i="8"/>
  <c r="B4" i="8"/>
  <c r="A4" i="8"/>
  <c r="I32" i="7"/>
  <c r="D32" i="7"/>
  <c r="N30" i="7"/>
  <c r="D30" i="7"/>
  <c r="C30" i="7"/>
  <c r="B30" i="7"/>
  <c r="N29" i="7"/>
  <c r="D29" i="7"/>
  <c r="C29" i="7"/>
  <c r="B29" i="7"/>
  <c r="M27" i="7"/>
  <c r="L27" i="7"/>
  <c r="K27" i="7"/>
  <c r="I27" i="7"/>
  <c r="G27" i="7"/>
  <c r="F27" i="7"/>
  <c r="E27" i="7"/>
  <c r="D27" i="7"/>
  <c r="C27" i="7"/>
  <c r="B27" i="7"/>
  <c r="M26" i="7"/>
  <c r="L26" i="7"/>
  <c r="K26" i="7"/>
  <c r="I26" i="7"/>
  <c r="G26" i="7"/>
  <c r="F26" i="7"/>
  <c r="E26" i="7"/>
  <c r="D26" i="7"/>
  <c r="C26" i="7"/>
  <c r="B26" i="7"/>
  <c r="M25" i="7"/>
  <c r="L25" i="7"/>
  <c r="K25" i="7"/>
  <c r="I25" i="7"/>
  <c r="G25" i="7"/>
  <c r="F25" i="7"/>
  <c r="E25" i="7"/>
  <c r="D25" i="7"/>
  <c r="C25" i="7"/>
  <c r="B25" i="7"/>
  <c r="M24" i="7"/>
  <c r="L24" i="7"/>
  <c r="K24" i="7"/>
  <c r="I24" i="7"/>
  <c r="G24" i="7"/>
  <c r="F24" i="7"/>
  <c r="E24" i="7"/>
  <c r="D24" i="7"/>
  <c r="C24" i="7"/>
  <c r="B24" i="7"/>
  <c r="M23" i="7"/>
  <c r="L23" i="7"/>
  <c r="K23" i="7"/>
  <c r="I23" i="7"/>
  <c r="G23" i="7"/>
  <c r="F23" i="7"/>
  <c r="E23" i="7"/>
  <c r="D23" i="7"/>
  <c r="C23" i="7"/>
  <c r="B23" i="7"/>
  <c r="M22" i="7"/>
  <c r="L22" i="7"/>
  <c r="K22" i="7"/>
  <c r="I22" i="7"/>
  <c r="G22" i="7"/>
  <c r="F22" i="7"/>
  <c r="E22" i="7"/>
  <c r="D22" i="7"/>
  <c r="C22" i="7"/>
  <c r="B22" i="7"/>
  <c r="M21" i="7"/>
  <c r="L21" i="7"/>
  <c r="K21" i="7"/>
  <c r="I21" i="7"/>
  <c r="G21" i="7"/>
  <c r="F21" i="7"/>
  <c r="E21" i="7"/>
  <c r="D21" i="7"/>
  <c r="C21" i="7"/>
  <c r="B21" i="7"/>
  <c r="M19" i="7"/>
  <c r="L19" i="7"/>
  <c r="K19" i="7"/>
  <c r="I19" i="7"/>
  <c r="G19" i="7"/>
  <c r="F19" i="7"/>
  <c r="E19" i="7"/>
  <c r="D19" i="7"/>
  <c r="C19" i="7"/>
  <c r="B19" i="7"/>
  <c r="M18" i="7"/>
  <c r="L18" i="7"/>
  <c r="K18" i="7"/>
  <c r="I18" i="7"/>
  <c r="G18" i="7"/>
  <c r="F18" i="7"/>
  <c r="E18" i="7"/>
  <c r="D18" i="7"/>
  <c r="C18" i="7"/>
  <c r="B18" i="7"/>
  <c r="M17" i="7"/>
  <c r="L17" i="7"/>
  <c r="K17" i="7"/>
  <c r="I17" i="7"/>
  <c r="G17" i="7"/>
  <c r="F17" i="7"/>
  <c r="E17" i="7"/>
  <c r="D17" i="7"/>
  <c r="C17" i="7"/>
  <c r="B17" i="7"/>
  <c r="M15" i="7"/>
  <c r="L15" i="7"/>
  <c r="K15" i="7"/>
  <c r="I15" i="7"/>
  <c r="G15" i="7"/>
  <c r="F15" i="7"/>
  <c r="E15" i="7"/>
  <c r="D15" i="7"/>
  <c r="C15" i="7"/>
  <c r="B15" i="7"/>
  <c r="M14" i="7"/>
  <c r="L14" i="7"/>
  <c r="K14" i="7"/>
  <c r="I14" i="7"/>
  <c r="G14" i="7"/>
  <c r="F14" i="7"/>
  <c r="E14" i="7"/>
  <c r="D14" i="7"/>
  <c r="C14" i="7"/>
  <c r="B14" i="7"/>
  <c r="M13" i="7"/>
  <c r="L13" i="7"/>
  <c r="K13" i="7"/>
  <c r="I13" i="7"/>
  <c r="G13" i="7"/>
  <c r="F13" i="7"/>
  <c r="E13" i="7"/>
  <c r="D13" i="7"/>
  <c r="C13" i="7"/>
  <c r="B13" i="7"/>
  <c r="M12" i="7"/>
  <c r="L12" i="7"/>
  <c r="K12" i="7"/>
  <c r="I12" i="7"/>
  <c r="G12" i="7"/>
  <c r="F12" i="7"/>
  <c r="E12" i="7"/>
  <c r="D12" i="7"/>
  <c r="C12" i="7"/>
  <c r="B12" i="7"/>
  <c r="M11" i="7"/>
  <c r="L11" i="7"/>
  <c r="K11" i="7"/>
  <c r="I11" i="7"/>
  <c r="G11" i="7"/>
  <c r="F11" i="7"/>
  <c r="E11" i="7"/>
  <c r="D11" i="7"/>
  <c r="C11" i="7"/>
  <c r="B11" i="7"/>
  <c r="M10" i="7"/>
  <c r="L10" i="7"/>
  <c r="K10" i="7"/>
  <c r="I10" i="7"/>
  <c r="G10" i="7"/>
  <c r="F10" i="7"/>
  <c r="E10" i="7"/>
  <c r="D10" i="7"/>
  <c r="C10" i="7"/>
  <c r="B10" i="7"/>
  <c r="M8" i="7"/>
  <c r="L8" i="7"/>
  <c r="K8" i="7"/>
  <c r="I8" i="7"/>
  <c r="G8" i="7"/>
  <c r="F8" i="7"/>
  <c r="E8" i="7"/>
  <c r="D8" i="7"/>
  <c r="C8" i="7"/>
  <c r="B8" i="7"/>
  <c r="M7" i="7"/>
  <c r="L7" i="7"/>
  <c r="K7" i="7"/>
  <c r="I7" i="7"/>
  <c r="G7" i="7"/>
  <c r="F7" i="7"/>
  <c r="E7" i="7"/>
  <c r="D7" i="7"/>
  <c r="C7" i="7"/>
  <c r="B7" i="7"/>
  <c r="M5" i="7"/>
  <c r="L5" i="7"/>
  <c r="K5" i="7"/>
  <c r="I5" i="7"/>
  <c r="G5" i="7"/>
  <c r="F5" i="7"/>
  <c r="E5" i="7"/>
  <c r="D5" i="7"/>
  <c r="C5" i="7"/>
  <c r="B5" i="7"/>
  <c r="M4" i="7"/>
  <c r="L4" i="7"/>
  <c r="K4" i="7"/>
  <c r="I4" i="7"/>
  <c r="G4" i="7"/>
  <c r="F4" i="7"/>
  <c r="E4" i="7"/>
  <c r="D4" i="7"/>
  <c r="C4" i="7"/>
  <c r="B4" i="7"/>
  <c r="E25" i="6"/>
  <c r="D25" i="6"/>
  <c r="C25" i="6"/>
  <c r="E24" i="6"/>
  <c r="D24" i="6"/>
  <c r="C24" i="6"/>
  <c r="E23" i="6"/>
  <c r="D23" i="6"/>
  <c r="E22" i="6"/>
  <c r="D22" i="6"/>
  <c r="C22" i="6"/>
  <c r="E21" i="6"/>
  <c r="D21" i="6"/>
  <c r="C21" i="6"/>
  <c r="E20" i="6"/>
  <c r="D20" i="6"/>
  <c r="C20" i="6"/>
  <c r="E19" i="6"/>
  <c r="D19" i="6"/>
  <c r="C19" i="6"/>
  <c r="E18" i="6"/>
  <c r="D18" i="6"/>
  <c r="C18" i="6"/>
  <c r="E17" i="6"/>
  <c r="D17" i="6"/>
  <c r="C17" i="6"/>
  <c r="E16" i="6"/>
  <c r="D16" i="6"/>
  <c r="C16" i="6"/>
  <c r="E15" i="6"/>
  <c r="D15" i="6"/>
  <c r="C15" i="6"/>
  <c r="E14" i="6"/>
  <c r="D14" i="6"/>
  <c r="C14" i="6"/>
  <c r="E13" i="6"/>
  <c r="D13" i="6"/>
  <c r="C13" i="6"/>
  <c r="E12" i="6"/>
  <c r="D12" i="6"/>
  <c r="C12" i="6"/>
  <c r="E11" i="6"/>
  <c r="D11" i="6"/>
  <c r="C11" i="6"/>
  <c r="E10" i="6"/>
  <c r="D10" i="6"/>
  <c r="C10" i="6"/>
  <c r="E9" i="6"/>
  <c r="D9" i="6"/>
  <c r="C9" i="6"/>
  <c r="E8" i="6"/>
  <c r="D8" i="6"/>
  <c r="C8" i="6"/>
  <c r="E7" i="6"/>
  <c r="D7" i="6"/>
  <c r="C7" i="6"/>
  <c r="E6" i="6"/>
  <c r="D6" i="6"/>
  <c r="C6" i="6"/>
  <c r="E5" i="6"/>
  <c r="D5" i="6"/>
  <c r="C5" i="6"/>
  <c r="E4" i="6"/>
  <c r="D4" i="6"/>
  <c r="C4" i="6"/>
  <c r="F26" i="6" s="1"/>
  <c r="D41" i="5"/>
  <c r="E31" i="5"/>
  <c r="C31" i="5"/>
  <c r="E30" i="5"/>
  <c r="C30" i="5"/>
  <c r="E16" i="5"/>
  <c r="C16" i="5"/>
  <c r="E15" i="5"/>
  <c r="C15" i="5"/>
  <c r="H90" i="4"/>
  <c r="F90" i="4"/>
  <c r="E90" i="4"/>
  <c r="H89" i="4"/>
  <c r="F89" i="4"/>
  <c r="E89" i="4"/>
  <c r="H88" i="4"/>
  <c r="F88" i="4"/>
  <c r="E88" i="4"/>
  <c r="H87" i="4"/>
  <c r="F87" i="4"/>
  <c r="E87" i="4"/>
  <c r="H83" i="4"/>
  <c r="F83" i="4"/>
  <c r="E83" i="4"/>
  <c r="H82" i="4"/>
  <c r="F82" i="4"/>
  <c r="E82" i="4"/>
  <c r="H81" i="4"/>
  <c r="F81" i="4"/>
  <c r="E81" i="4"/>
  <c r="H80" i="4"/>
  <c r="F80" i="4"/>
  <c r="E80" i="4"/>
  <c r="H79" i="4"/>
  <c r="F79" i="4"/>
  <c r="E79" i="4"/>
  <c r="H78" i="4"/>
  <c r="F78" i="4"/>
  <c r="E78" i="4"/>
  <c r="H77" i="4"/>
  <c r="F77" i="4"/>
  <c r="E77" i="4"/>
  <c r="E73" i="4"/>
  <c r="K72" i="4"/>
  <c r="E72" i="4"/>
  <c r="C72" i="4"/>
  <c r="K71" i="4"/>
  <c r="E71" i="4"/>
  <c r="C71" i="4"/>
  <c r="K70" i="4"/>
  <c r="E70" i="4"/>
  <c r="C70" i="4"/>
  <c r="K69" i="4"/>
  <c r="E69" i="4"/>
  <c r="C69" i="4"/>
  <c r="K68" i="4"/>
  <c r="E68" i="4"/>
  <c r="C68" i="4"/>
  <c r="K67" i="4"/>
  <c r="E67" i="4"/>
  <c r="C67" i="4"/>
  <c r="K66" i="4"/>
  <c r="E66" i="4"/>
  <c r="C66" i="4"/>
  <c r="K65" i="4"/>
  <c r="E65" i="4"/>
  <c r="C65" i="4"/>
  <c r="K64" i="4"/>
  <c r="E64" i="4"/>
  <c r="C64" i="4"/>
  <c r="K63" i="4"/>
  <c r="E63" i="4"/>
  <c r="C63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G44" i="4"/>
  <c r="F44" i="4"/>
  <c r="E44" i="4"/>
  <c r="C44" i="4"/>
  <c r="B44" i="4"/>
  <c r="G43" i="4"/>
  <c r="F43" i="4"/>
  <c r="E43" i="4"/>
  <c r="C43" i="4"/>
  <c r="B43" i="4"/>
  <c r="G42" i="4"/>
  <c r="F42" i="4"/>
  <c r="E42" i="4"/>
  <c r="C42" i="4"/>
  <c r="B42" i="4"/>
  <c r="G41" i="4"/>
  <c r="F41" i="4"/>
  <c r="E41" i="4"/>
  <c r="C41" i="4"/>
  <c r="B41" i="4"/>
  <c r="G40" i="4"/>
  <c r="F40" i="4"/>
  <c r="E40" i="4"/>
  <c r="C40" i="4"/>
  <c r="B40" i="4"/>
  <c r="G39" i="4"/>
  <c r="F39" i="4"/>
  <c r="E39" i="4"/>
  <c r="C39" i="4"/>
  <c r="B39" i="4"/>
  <c r="G38" i="4"/>
  <c r="F38" i="4"/>
  <c r="E38" i="4"/>
  <c r="C38" i="4"/>
  <c r="B38" i="4"/>
  <c r="G37" i="4"/>
  <c r="F37" i="4"/>
  <c r="E37" i="4"/>
  <c r="C37" i="4"/>
  <c r="B37" i="4"/>
  <c r="G36" i="4"/>
  <c r="F36" i="4"/>
  <c r="E36" i="4"/>
  <c r="C36" i="4"/>
  <c r="B36" i="4"/>
  <c r="G35" i="4"/>
  <c r="F35" i="4"/>
  <c r="E35" i="4"/>
  <c r="C35" i="4"/>
  <c r="B35" i="4"/>
  <c r="G34" i="4"/>
  <c r="F34" i="4"/>
  <c r="E34" i="4"/>
  <c r="C34" i="4"/>
  <c r="B34" i="4"/>
  <c r="G33" i="4"/>
  <c r="F33" i="4"/>
  <c r="E33" i="4"/>
  <c r="C33" i="4"/>
  <c r="B33" i="4"/>
  <c r="G32" i="4"/>
  <c r="F32" i="4"/>
  <c r="E32" i="4"/>
  <c r="C32" i="4"/>
  <c r="B32" i="4"/>
  <c r="G31" i="4"/>
  <c r="F31" i="4"/>
  <c r="E31" i="4"/>
  <c r="C31" i="4"/>
  <c r="B31" i="4"/>
  <c r="G30" i="4"/>
  <c r="F30" i="4"/>
  <c r="E30" i="4"/>
  <c r="C30" i="4"/>
  <c r="B30" i="4"/>
  <c r="G29" i="4"/>
  <c r="F29" i="4"/>
  <c r="E29" i="4"/>
  <c r="C29" i="4"/>
  <c r="B29" i="4"/>
  <c r="G25" i="4"/>
  <c r="D25" i="4"/>
  <c r="J24" i="4"/>
  <c r="I24" i="4"/>
  <c r="G24" i="4"/>
  <c r="H24" i="4" s="1"/>
  <c r="D24" i="4"/>
  <c r="F24" i="4" s="1"/>
  <c r="J23" i="4"/>
  <c r="I23" i="4"/>
  <c r="G23" i="4"/>
  <c r="H23" i="4" s="1"/>
  <c r="D23" i="4"/>
  <c r="F23" i="4" s="1"/>
  <c r="J22" i="4"/>
  <c r="I22" i="4"/>
  <c r="G22" i="4"/>
  <c r="H22" i="4" s="1"/>
  <c r="D22" i="4"/>
  <c r="F22" i="4" s="1"/>
  <c r="J21" i="4"/>
  <c r="I21" i="4"/>
  <c r="G21" i="4"/>
  <c r="H21" i="4" s="1"/>
  <c r="D21" i="4"/>
  <c r="F21" i="4" s="1"/>
  <c r="J20" i="4"/>
  <c r="I20" i="4"/>
  <c r="G20" i="4"/>
  <c r="H20" i="4" s="1"/>
  <c r="D20" i="4" a="1"/>
  <c r="D20" i="4" s="1"/>
  <c r="F20" i="4" s="1"/>
  <c r="J19" i="4"/>
  <c r="I19" i="4"/>
  <c r="G19" i="4"/>
  <c r="H19" i="4" s="1"/>
  <c r="D19" i="4"/>
  <c r="F19" i="4" s="1"/>
  <c r="E15" i="4"/>
  <c r="J9" i="4" s="1"/>
  <c r="E14" i="4"/>
  <c r="F9" i="4"/>
  <c r="J5" i="4"/>
  <c r="H5" i="4"/>
  <c r="F5" i="4"/>
  <c r="D5" i="4"/>
  <c r="B5" i="4"/>
  <c r="I26" i="3"/>
  <c r="G26" i="3"/>
  <c r="M26" i="3" s="1"/>
  <c r="E26" i="3"/>
  <c r="K26" i="3" s="1"/>
  <c r="V25" i="3"/>
  <c r="F21" i="2" s="1"/>
  <c r="L25" i="3"/>
  <c r="F25" i="3"/>
  <c r="AC24" i="3"/>
  <c r="Z24" i="3"/>
  <c r="U25" i="8" s="1"/>
  <c r="Y24" i="3"/>
  <c r="V24" i="3"/>
  <c r="K24" i="3"/>
  <c r="Q24" i="3" s="1"/>
  <c r="AC23" i="3"/>
  <c r="Z23" i="3"/>
  <c r="V26" i="8" s="1"/>
  <c r="Y23" i="3"/>
  <c r="V23" i="3"/>
  <c r="K23" i="3"/>
  <c r="Q23" i="3" s="1"/>
  <c r="AC22" i="3"/>
  <c r="Z22" i="3"/>
  <c r="Y22" i="3"/>
  <c r="V22" i="3"/>
  <c r="W22" i="3" s="1"/>
  <c r="K22" i="3"/>
  <c r="Q22" i="3" s="1"/>
  <c r="AC21" i="3"/>
  <c r="Z21" i="3"/>
  <c r="Y21" i="3"/>
  <c r="V21" i="3"/>
  <c r="W21" i="3" s="1"/>
  <c r="K21" i="3"/>
  <c r="Q21" i="3" s="1"/>
  <c r="AC20" i="3"/>
  <c r="Z20" i="3"/>
  <c r="V27" i="8" s="1"/>
  <c r="Y20" i="3"/>
  <c r="V20" i="3"/>
  <c r="K20" i="3"/>
  <c r="Q20" i="3" s="1"/>
  <c r="AC19" i="3"/>
  <c r="Z19" i="3"/>
  <c r="Y19" i="3"/>
  <c r="V19" i="3"/>
  <c r="K19" i="3"/>
  <c r="Q19" i="3" s="1"/>
  <c r="AC18" i="3"/>
  <c r="Z18" i="3"/>
  <c r="Y18" i="3"/>
  <c r="V18" i="3"/>
  <c r="K18" i="3"/>
  <c r="Q18" i="3" s="1"/>
  <c r="AC17" i="3"/>
  <c r="Z17" i="3"/>
  <c r="Y17" i="3"/>
  <c r="V17" i="3"/>
  <c r="K17" i="3"/>
  <c r="Q17" i="3" s="1"/>
  <c r="AC16" i="3"/>
  <c r="Z16" i="3"/>
  <c r="Y16" i="3"/>
  <c r="V16" i="3"/>
  <c r="K16" i="3"/>
  <c r="Q16" i="3" s="1"/>
  <c r="AC15" i="3"/>
  <c r="Z15" i="3"/>
  <c r="Y15" i="3"/>
  <c r="V15" i="3"/>
  <c r="K15" i="3"/>
  <c r="Q15" i="3" s="1"/>
  <c r="AC14" i="3"/>
  <c r="Z14" i="3"/>
  <c r="Y14" i="3"/>
  <c r="V14" i="3"/>
  <c r="K14" i="3"/>
  <c r="Q14" i="3" s="1"/>
  <c r="AC13" i="3"/>
  <c r="Z13" i="3"/>
  <c r="V14" i="8" s="1"/>
  <c r="Y13" i="3"/>
  <c r="V13" i="3"/>
  <c r="K13" i="3"/>
  <c r="Q13" i="3" s="1"/>
  <c r="AC12" i="3"/>
  <c r="Z12" i="3"/>
  <c r="Y12" i="3"/>
  <c r="V12" i="3"/>
  <c r="K12" i="3"/>
  <c r="Q12" i="3" s="1"/>
  <c r="AC11" i="3"/>
  <c r="Z11" i="3"/>
  <c r="Y11" i="3"/>
  <c r="V11" i="3"/>
  <c r="K11" i="3"/>
  <c r="Q11" i="3" s="1"/>
  <c r="AC10" i="3"/>
  <c r="Z10" i="3"/>
  <c r="Y10" i="3"/>
  <c r="V10" i="3"/>
  <c r="K10" i="3"/>
  <c r="Q10" i="3" s="1"/>
  <c r="AC9" i="3"/>
  <c r="Z9" i="3"/>
  <c r="Y9" i="3"/>
  <c r="V9" i="3"/>
  <c r="K9" i="3"/>
  <c r="Q9" i="3" s="1"/>
  <c r="AC8" i="3"/>
  <c r="Z8" i="3"/>
  <c r="Y8" i="3"/>
  <c r="V8" i="3"/>
  <c r="K8" i="3"/>
  <c r="Q8" i="3" s="1"/>
  <c r="AC7" i="3"/>
  <c r="Z7" i="3"/>
  <c r="Y7" i="3"/>
  <c r="V7" i="3"/>
  <c r="K7" i="3"/>
  <c r="Q7" i="3" s="1"/>
  <c r="AC6" i="3"/>
  <c r="Z6" i="3"/>
  <c r="Y6" i="3"/>
  <c r="V6" i="3"/>
  <c r="K6" i="3"/>
  <c r="Q6" i="3" s="1"/>
  <c r="AC5" i="3"/>
  <c r="Z5" i="3"/>
  <c r="Y5" i="3"/>
  <c r="V5" i="3"/>
  <c r="K5" i="3"/>
  <c r="Q5" i="3" s="1"/>
  <c r="AC4" i="3"/>
  <c r="Z4" i="3"/>
  <c r="Y4" i="3"/>
  <c r="V4" i="3"/>
  <c r="K4" i="3"/>
  <c r="Q4" i="3" s="1"/>
  <c r="AC3" i="3"/>
  <c r="Z3" i="3"/>
  <c r="Y3" i="3"/>
  <c r="V3" i="3"/>
  <c r="K3" i="3"/>
  <c r="D11" i="2"/>
  <c r="D10" i="2"/>
  <c r="D9" i="2"/>
  <c r="D8" i="2"/>
  <c r="D55" i="14" l="1"/>
  <c r="D56" i="14"/>
  <c r="F34" i="14"/>
  <c r="D44" i="14"/>
  <c r="E36" i="14"/>
  <c r="F36" i="14" s="1"/>
  <c r="G36" i="14" s="1"/>
  <c r="H36" i="14" s="1"/>
  <c r="E35" i="14"/>
  <c r="D43" i="14"/>
  <c r="D45" i="14" s="1"/>
  <c r="D59" i="14"/>
  <c r="D62" i="14" s="1"/>
  <c r="D18" i="14"/>
  <c r="H25" i="6"/>
  <c r="G25" i="6"/>
  <c r="H24" i="6"/>
  <c r="G24" i="6"/>
  <c r="H23" i="6"/>
  <c r="G23" i="6"/>
  <c r="H22" i="6"/>
  <c r="G22" i="6"/>
  <c r="H21" i="6"/>
  <c r="G21" i="6"/>
  <c r="G20" i="6"/>
  <c r="H20" i="6"/>
  <c r="H19" i="6"/>
  <c r="G19" i="6"/>
  <c r="G18" i="6"/>
  <c r="H18" i="6"/>
  <c r="G17" i="6"/>
  <c r="H17" i="6"/>
  <c r="H16" i="6"/>
  <c r="G16" i="6"/>
  <c r="G15" i="6"/>
  <c r="H15" i="6"/>
  <c r="G14" i="6"/>
  <c r="H14" i="6"/>
  <c r="G13" i="6"/>
  <c r="H13" i="6"/>
  <c r="G12" i="6"/>
  <c r="H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E26" i="6"/>
  <c r="H4" i="6"/>
  <c r="G4" i="6"/>
  <c r="L89" i="4"/>
  <c r="J89" i="4"/>
  <c r="L88" i="4"/>
  <c r="J88" i="4"/>
  <c r="L82" i="4"/>
  <c r="J82" i="4"/>
  <c r="J81" i="4"/>
  <c r="L81" i="4"/>
  <c r="J80" i="4"/>
  <c r="L80" i="4"/>
  <c r="L77" i="4"/>
  <c r="J77" i="4"/>
  <c r="D17" i="11"/>
  <c r="H9" i="4"/>
  <c r="E21" i="2"/>
  <c r="D18" i="11"/>
  <c r="T25" i="8"/>
  <c r="N25" i="7"/>
  <c r="L19" i="10"/>
  <c r="L20" i="10"/>
  <c r="I25" i="8"/>
  <c r="H25" i="7"/>
  <c r="W24" i="3"/>
  <c r="V25" i="8" s="1"/>
  <c r="L17" i="10"/>
  <c r="J25" i="7"/>
  <c r="L25" i="8"/>
  <c r="N27" i="7"/>
  <c r="U26" i="8"/>
  <c r="D20" i="10"/>
  <c r="H27" i="7"/>
  <c r="W23" i="3"/>
  <c r="W26" i="8" s="1"/>
  <c r="I26" i="8"/>
  <c r="D19" i="10"/>
  <c r="D17" i="10"/>
  <c r="J27" i="7"/>
  <c r="L26" i="8"/>
  <c r="N26" i="7"/>
  <c r="U27" i="8"/>
  <c r="H26" i="7"/>
  <c r="I27" i="8"/>
  <c r="D65" i="10"/>
  <c r="D64" i="10"/>
  <c r="W20" i="3"/>
  <c r="W27" i="8" s="1"/>
  <c r="J26" i="7"/>
  <c r="L27" i="8"/>
  <c r="D62" i="10"/>
  <c r="I44" i="4"/>
  <c r="V19" i="8"/>
  <c r="U19" i="8"/>
  <c r="N19" i="7"/>
  <c r="H44" i="4"/>
  <c r="J44" i="4"/>
  <c r="W19" i="3"/>
  <c r="W19" i="8" s="1"/>
  <c r="I19" i="8"/>
  <c r="L11" i="10"/>
  <c r="L10" i="10"/>
  <c r="H19" i="7"/>
  <c r="L8" i="10"/>
  <c r="L19" i="8"/>
  <c r="J19" i="7"/>
  <c r="V18" i="8"/>
  <c r="I43" i="4"/>
  <c r="N18" i="7"/>
  <c r="J43" i="4"/>
  <c r="H43" i="4"/>
  <c r="U18" i="8"/>
  <c r="H18" i="7"/>
  <c r="I18" i="8"/>
  <c r="R37" i="10"/>
  <c r="R38" i="10"/>
  <c r="W18" i="3"/>
  <c r="W18" i="8" s="1"/>
  <c r="J18" i="7"/>
  <c r="L18" i="8"/>
  <c r="R35" i="10"/>
  <c r="V15" i="8"/>
  <c r="I42" i="4"/>
  <c r="N15" i="7"/>
  <c r="U15" i="8"/>
  <c r="J42" i="4"/>
  <c r="H42" i="4"/>
  <c r="H15" i="7"/>
  <c r="D11" i="10"/>
  <c r="W17" i="3"/>
  <c r="W15" i="8" s="1"/>
  <c r="D10" i="10"/>
  <c r="I15" i="8"/>
  <c r="D8" i="10"/>
  <c r="J15" i="7"/>
  <c r="L15" i="8"/>
  <c r="V5" i="8"/>
  <c r="I41" i="4"/>
  <c r="U5" i="8"/>
  <c r="J41" i="4"/>
  <c r="N5" i="7"/>
  <c r="H41" i="4"/>
  <c r="W16" i="3"/>
  <c r="W5" i="8" s="1"/>
  <c r="I5" i="8"/>
  <c r="D37" i="10"/>
  <c r="H5" i="7"/>
  <c r="D38" i="10"/>
  <c r="D35" i="10"/>
  <c r="J5" i="7"/>
  <c r="L5" i="8"/>
  <c r="V17" i="8"/>
  <c r="I40" i="4"/>
  <c r="N17" i="7"/>
  <c r="J40" i="4"/>
  <c r="H40" i="4"/>
  <c r="U17" i="8"/>
  <c r="I17" i="8"/>
  <c r="H17" i="7"/>
  <c r="X46" i="10"/>
  <c r="X47" i="10"/>
  <c r="W15" i="3"/>
  <c r="W17" i="8" s="1"/>
  <c r="J17" i="7"/>
  <c r="L17" i="8"/>
  <c r="X44" i="10"/>
  <c r="I39" i="4"/>
  <c r="V7" i="8"/>
  <c r="U7" i="8"/>
  <c r="N7" i="7"/>
  <c r="J39" i="4"/>
  <c r="H39" i="4"/>
  <c r="D46" i="10"/>
  <c r="H7" i="7"/>
  <c r="I7" i="8"/>
  <c r="W14" i="3"/>
  <c r="W7" i="8" s="1"/>
  <c r="D47" i="10"/>
  <c r="D44" i="10"/>
  <c r="L7" i="8"/>
  <c r="J7" i="7"/>
  <c r="N14" i="7"/>
  <c r="U14" i="8"/>
  <c r="H14" i="7"/>
  <c r="R56" i="10"/>
  <c r="R55" i="10"/>
  <c r="I14" i="8"/>
  <c r="W13" i="3"/>
  <c r="W14" i="8" s="1"/>
  <c r="R53" i="10"/>
  <c r="L14" i="8"/>
  <c r="J14" i="7"/>
  <c r="I38" i="4"/>
  <c r="V13" i="8"/>
  <c r="N13" i="7"/>
  <c r="U13" i="8"/>
  <c r="J38" i="4"/>
  <c r="H38" i="4"/>
  <c r="H13" i="7"/>
  <c r="D55" i="10"/>
  <c r="D56" i="10"/>
  <c r="W12" i="3"/>
  <c r="W13" i="8" s="1"/>
  <c r="I13" i="8"/>
  <c r="D53" i="10"/>
  <c r="J13" i="7"/>
  <c r="L13" i="8"/>
  <c r="I37" i="4"/>
  <c r="V24" i="8"/>
  <c r="U24" i="8"/>
  <c r="J37" i="4"/>
  <c r="H37" i="4"/>
  <c r="N24" i="7"/>
  <c r="W11" i="3"/>
  <c r="W24" i="8" s="1"/>
  <c r="I24" i="8"/>
  <c r="W64" i="10"/>
  <c r="W65" i="10"/>
  <c r="H24" i="7"/>
  <c r="J24" i="7"/>
  <c r="L24" i="8"/>
  <c r="W62" i="10"/>
  <c r="I36" i="4"/>
  <c r="V4" i="8"/>
  <c r="J36" i="4"/>
  <c r="H36" i="4"/>
  <c r="U4" i="8"/>
  <c r="N4" i="7"/>
  <c r="W10" i="3"/>
  <c r="W4" i="8" s="1"/>
  <c r="H4" i="7"/>
  <c r="R64" i="10"/>
  <c r="I4" i="8"/>
  <c r="R65" i="10"/>
  <c r="R62" i="10"/>
  <c r="J4" i="7"/>
  <c r="L4" i="8"/>
  <c r="I35" i="4"/>
  <c r="V12" i="8"/>
  <c r="U12" i="8"/>
  <c r="N12" i="7"/>
  <c r="H35" i="4"/>
  <c r="J35" i="4"/>
  <c r="I12" i="8"/>
  <c r="I64" i="10"/>
  <c r="I65" i="10"/>
  <c r="W9" i="3"/>
  <c r="W12" i="8" s="1"/>
  <c r="H12" i="7"/>
  <c r="J12" i="7"/>
  <c r="L12" i="8"/>
  <c r="I62" i="10"/>
  <c r="I34" i="4"/>
  <c r="V10" i="8"/>
  <c r="J34" i="4"/>
  <c r="N10" i="7"/>
  <c r="U10" i="8"/>
  <c r="H34" i="4"/>
  <c r="H10" i="7"/>
  <c r="I10" i="8"/>
  <c r="S74" i="10"/>
  <c r="W8" i="3"/>
  <c r="W10" i="8" s="1"/>
  <c r="S73" i="10"/>
  <c r="S71" i="10"/>
  <c r="J10" i="7"/>
  <c r="L10" i="8"/>
  <c r="I33" i="4"/>
  <c r="V11" i="8"/>
  <c r="N11" i="7"/>
  <c r="J33" i="4"/>
  <c r="H33" i="4"/>
  <c r="U11" i="8"/>
  <c r="N73" i="10"/>
  <c r="N74" i="10"/>
  <c r="H11" i="7"/>
  <c r="I11" i="8"/>
  <c r="W7" i="3"/>
  <c r="W11" i="8" s="1"/>
  <c r="L11" i="8"/>
  <c r="J11" i="7"/>
  <c r="N71" i="10"/>
  <c r="V23" i="8"/>
  <c r="I32" i="4"/>
  <c r="U23" i="8"/>
  <c r="N23" i="7"/>
  <c r="J32" i="4"/>
  <c r="H32" i="4"/>
  <c r="I23" i="8"/>
  <c r="D73" i="10"/>
  <c r="D74" i="10"/>
  <c r="H23" i="7"/>
  <c r="W6" i="3"/>
  <c r="W23" i="8" s="1"/>
  <c r="D71" i="10"/>
  <c r="L23" i="8"/>
  <c r="J23" i="7"/>
  <c r="I31" i="4"/>
  <c r="V22" i="8"/>
  <c r="N22" i="7"/>
  <c r="J31" i="4"/>
  <c r="U22" i="8"/>
  <c r="H31" i="4"/>
  <c r="H22" i="7"/>
  <c r="I22" i="8"/>
  <c r="D82" i="10"/>
  <c r="D83" i="10"/>
  <c r="W5" i="3"/>
  <c r="W22" i="8" s="1"/>
  <c r="J22" i="7"/>
  <c r="L22" i="8"/>
  <c r="D80" i="10"/>
  <c r="V21" i="8"/>
  <c r="I30" i="4"/>
  <c r="U21" i="8"/>
  <c r="H30" i="4"/>
  <c r="J30" i="4"/>
  <c r="N21" i="7"/>
  <c r="I91" i="10"/>
  <c r="W4" i="3"/>
  <c r="W21" i="8" s="1"/>
  <c r="H21" i="7"/>
  <c r="I21" i="8"/>
  <c r="I92" i="10"/>
  <c r="I89" i="10"/>
  <c r="J21" i="7"/>
  <c r="L21" i="8"/>
  <c r="V8" i="8"/>
  <c r="I29" i="4"/>
  <c r="J29" i="4"/>
  <c r="H29" i="4"/>
  <c r="N8" i="7"/>
  <c r="U8" i="8"/>
  <c r="I8" i="8"/>
  <c r="D92" i="10"/>
  <c r="D91" i="10"/>
  <c r="H8" i="7"/>
  <c r="W3" i="3"/>
  <c r="B9" i="4"/>
  <c r="K25" i="3"/>
  <c r="Q3" i="3"/>
  <c r="H6" i="9"/>
  <c r="G34" i="14" l="1"/>
  <c r="D46" i="14"/>
  <c r="D47" i="14" s="1"/>
  <c r="D63" i="14"/>
  <c r="D64" i="14"/>
  <c r="D19" i="14"/>
  <c r="E37" i="14"/>
  <c r="F37" i="14"/>
  <c r="F38" i="14" s="1"/>
  <c r="W25" i="3"/>
  <c r="W8" i="8"/>
  <c r="D9" i="4"/>
  <c r="G63" i="4"/>
  <c r="G64" i="4"/>
  <c r="G65" i="4"/>
  <c r="G66" i="4"/>
  <c r="G67" i="4"/>
  <c r="G68" i="4"/>
  <c r="G69" i="4"/>
  <c r="G70" i="4"/>
  <c r="G71" i="4"/>
  <c r="G72" i="4"/>
  <c r="G73" i="4"/>
  <c r="L8" i="8"/>
  <c r="J8" i="7"/>
  <c r="J32" i="7"/>
  <c r="Q25" i="3"/>
  <c r="L32" i="8"/>
  <c r="D89" i="10"/>
  <c r="F35" i="14"/>
  <c r="G35" i="14" s="1"/>
  <c r="H35" i="14" s="1"/>
  <c r="E38" i="14"/>
  <c r="H34" i="14" l="1"/>
  <c r="H38" i="14" s="1"/>
  <c r="G38" i="14"/>
</calcChain>
</file>

<file path=xl/sharedStrings.xml><?xml version="1.0" encoding="utf-8"?>
<sst xmlns="http://schemas.openxmlformats.org/spreadsheetml/2006/main" count="1255" uniqueCount="721">
  <si>
    <t>GOLDBERG FAMILY OFFICE</t>
  </si>
  <si>
    <t>1 Elizabeth Plaza</t>
  </si>
  <si>
    <t>Asset Summary — Tenancy Schedule</t>
  </si>
  <si>
    <t>As at 29 June 2026</t>
  </si>
  <si>
    <t>—</t>
  </si>
  <si>
    <t>Prepared by jake goldberg</t>
  </si>
  <si>
    <t>1 ELIZABETH PLAZA, NORTH SYDNEY  —  TRACKER VERSION CONTROL</t>
  </si>
  <si>
    <t>Update Input Data tab each month from the tenancy schedule. All other tabs recalculate automatically.</t>
  </si>
  <si>
    <t xml:space="preserve">  CURRENT TRACKER STATUS</t>
  </si>
  <si>
    <t xml:space="preserve">  Property</t>
  </si>
  <si>
    <t>1 Elizabeth Plaza, North Sydney</t>
  </si>
  <si>
    <t xml:space="preserve">  Current As At</t>
  </si>
  <si>
    <t xml:space="preserve">  Total NLA</t>
  </si>
  <si>
    <t xml:space="preserve">  Occupancy</t>
  </si>
  <si>
    <t xml:space="preserve">  Vacancy</t>
  </si>
  <si>
    <t xml:space="preserve">  WALE by NLA</t>
  </si>
  <si>
    <t xml:space="preserve">  Gross Income PA</t>
  </si>
  <si>
    <t xml:space="preserve">  Occupied Suites</t>
  </si>
  <si>
    <t>17  |  4 Vacant</t>
  </si>
  <si>
    <t xml:space="preserve">  Car Parks</t>
  </si>
  <si>
    <t>Monthly + individual licences</t>
  </si>
  <si>
    <t xml:space="preserve">  Last Updated By</t>
  </si>
  <si>
    <t xml:space="preserve">  Next Update Due</t>
  </si>
  <si>
    <t xml:space="preserve">  Notes / Changes</t>
  </si>
  <si>
    <t xml:space="preserve">  UPDATE LOG</t>
  </si>
  <si>
    <t>Date Updated</t>
  </si>
  <si>
    <t>Updated By</t>
  </si>
  <si>
    <t>As At Date</t>
  </si>
  <si>
    <t>Occupancy</t>
  </si>
  <si>
    <t>WALE (NLA)</t>
  </si>
  <si>
    <t>Key Changes</t>
  </si>
  <si>
    <t>30/04/2026</t>
  </si>
  <si>
    <t>79.74%</t>
  </si>
  <si>
    <t>~4.0 yrs</t>
  </si>
  <si>
    <t>Initial build from April 2026 tenancy schedule</t>
  </si>
  <si>
    <t>Jake</t>
  </si>
  <si>
    <t>30/09/2026</t>
  </si>
  <si>
    <t>Refreshed from Sept26 TS (dated 01/10/26): FIXED reviews applied for Sydney Smiletree, Keeping Company, Elekta, Can Too Foundation, Pitt &amp; Sherry, Vanderlande (all PSM ups); outgoings/cleaning refreshed across most tenants. Asterx (0503) lease dates corrected (01/07/24–30/06/29, was 01/06/24–31/05/29) plus abatement/car park/cleaning/outgoings now confirmed. IMPORTANT correction: Smile Partners (0902) and Hulsbosch Design (1201) had swapped NLA/financials in this file — 0902 is actually 344.5 sqm, 1201 is actually 251 sqm — now fixed, cross-checked against the Fitout Costs register. Sungrow L7 (0701/0702) combined rent reset to $925,326 pa total, an 82% jump — flagged in row notes for verification. Caladas Constructions renamed to correct spelling 'Caldas', lease start corrected to 01/07/26. Luxasia (1101) entered as occupied per Jake's instruction: outgoings $9,728.72 pa, cleaning $4,015.80 pa, fitout contribution $369,812.50 (added to Fitout Costs register), abatement $192,787.50 over term (Yr1-3 $25,705 pa now reflected; Yr4-5 $57,836.25 pa needs manual update at the Yr4 anniversary). New ROOF1 (Pipe Networks/Vocus) comms licence ($2,500 pa) identified on the TS but NOT added to this table (zero NLA, would need a new row/range change) — flagged for Jake's decision on where to capture it. Note: TS's own vacancy count still shows 1101 as vacant (lease not yet in the PM system) — this file now diverges from that by design. Cross-tab sweep: corrected the same Smile Partners/Hulsbosch swap in the Leasing Activity log; moved Luxasia out of the 'vacant suites' sections in Expiry Profile/Leases into its proper occupied row; updated Make Good Obligations, Dashboard (critical dates, suite count, header), Market Rents (hardcoded NLA), Leasing Fees (vacancy register — removed 6.01/11.01/11.02, now leased) and Stack Plan (roof tenant name corrected to Pipe Networks/Vocus, portfolio summary refreshed) so all tabs now agree with Input Data.</t>
  </si>
  <si>
    <t xml:space="preserve">  MONTHLY UPDATE CHECKLIST</t>
  </si>
  <si>
    <t>1</t>
  </si>
  <si>
    <t xml:space="preserve">  Download tenancy schedule from property management system (Strata/SHP2)</t>
  </si>
  <si>
    <t>2</t>
  </si>
  <si>
    <t xml:space="preserve">  Update Input Data — check rent, dates, PSM, abatement, outgoings per suite</t>
  </si>
  <si>
    <t>3</t>
  </si>
  <si>
    <t xml:space="preserve">  Update Market Rents section in Dashboard if market has moved</t>
  </si>
  <si>
    <t>4</t>
  </si>
  <si>
    <t xml:space="preserve">  Check Dashboard KPIs reconcile with tenancy schedule totals</t>
  </si>
  <si>
    <t>5</t>
  </si>
  <si>
    <t xml:space="preserve">  Update Leasing Activity tab with new deals, HOAs, renewals</t>
  </si>
  <si>
    <t>6</t>
  </si>
  <si>
    <t xml:space="preserve">  Update Fitout Costs with any new capex approved or completed</t>
  </si>
  <si>
    <t>7</t>
  </si>
  <si>
    <t xml:space="preserve">  Update Leasing Fees with current vacancy and asking rents</t>
  </si>
  <si>
    <t>8</t>
  </si>
  <si>
    <t xml:space="preserve">  Update Rental Analysis for any new deals being analysed</t>
  </si>
  <si>
    <t>9</t>
  </si>
  <si>
    <t xml:space="preserve">  Record update in Log above — date, occupancy, WALE, key changes</t>
  </si>
  <si>
    <t>10</t>
  </si>
  <si>
    <t xml:space="preserve">  Save as 1ElizabethPlaza_[MonthYY].xlsx</t>
  </si>
  <si>
    <t>1 ELIZABETH PLAZA, NORTH SYDNEY  —  TENANCY SCHEDULE INPUT  |  As at 30.9.2026</t>
  </si>
  <si>
    <t>Suite ID</t>
  </si>
  <si>
    <t>Floor</t>
  </si>
  <si>
    <t>Suite #</t>
  </si>
  <si>
    <t>Tenant Name</t>
  </si>
  <si>
    <t>Trading Name</t>
  </si>
  <si>
    <t>NLA (sqm)</t>
  </si>
  <si>
    <t>Lease Start</t>
  </si>
  <si>
    <t>Lease Expiry</t>
  </si>
  <si>
    <t>Term (Yrs)</t>
  </si>
  <si>
    <t>Face PSM ($)</t>
  </si>
  <si>
    <t>Office Rent PA ($)</t>
  </si>
  <si>
    <t>Abatement PA ($)</t>
  </si>
  <si>
    <t>Outgoings PA ($)</t>
  </si>
  <si>
    <t>Cleaning PA ($)</t>
  </si>
  <si>
    <t>Car Park Rent PA ($)</t>
  </si>
  <si>
    <t>Car Park Levy PA ($)</t>
  </si>
  <si>
    <t>Net Effective PA ($)</t>
  </si>
  <si>
    <t>Car Parks</t>
  </si>
  <si>
    <t>Review Type</t>
  </si>
  <si>
    <t>Next Review</t>
  </si>
  <si>
    <t>Lease Type</t>
  </si>
  <si>
    <t>WALE (yrs)</t>
  </si>
  <si>
    <t>Wtd NLA</t>
  </si>
  <si>
    <t>Market PSM ($)</t>
  </si>
  <si>
    <t>Var to Mkt ($)</t>
  </si>
  <si>
    <t>Var to Mkt (%)</t>
  </si>
  <si>
    <t>Bank Guarantee ($)</t>
  </si>
  <si>
    <t>Notes</t>
  </si>
  <si>
    <t>Status</t>
  </si>
  <si>
    <t>Expiry Source
(Enter Here)</t>
  </si>
  <si>
    <t>PSM Source</t>
  </si>
  <si>
    <t>Display Name</t>
  </si>
  <si>
    <t>0301</t>
  </si>
  <si>
    <t>L03</t>
  </si>
  <si>
    <t>3.01</t>
  </si>
  <si>
    <t>Sydney Smiletree Pty Ltd</t>
  </si>
  <si>
    <t>The Trustee for Sydney Smiletree Unit Trust</t>
  </si>
  <si>
    <t>FIXED 4%</t>
  </si>
  <si>
    <t>Net</t>
  </si>
  <si>
    <t>86814.00</t>
  </si>
  <si>
    <t>Option: 5 yrs. BG: $86,814. Car Space 16.</t>
  </si>
  <si>
    <t>Sydney Smiletree</t>
  </si>
  <si>
    <t>0302</t>
  </si>
  <si>
    <t>3.02</t>
  </si>
  <si>
    <t>Fitness First Australia Pty Limited</t>
  </si>
  <si>
    <t>Gross</t>
  </si>
  <si>
    <t>300000.40</t>
  </si>
  <si>
    <t>Gross lease - Nil outgoings. Includes direct AC recovery $108.09 psm. Option: 5 yrs (01/07/26-30/06/31).</t>
  </si>
  <si>
    <t>Fitness First (L3)</t>
  </si>
  <si>
    <t>0401</t>
  </si>
  <si>
    <t>L04</t>
  </si>
  <si>
    <t>4.01</t>
  </si>
  <si>
    <t>Gross lease - Nil outgoings. 1 car space.</t>
  </si>
  <si>
    <t>Fitness First (L4)</t>
  </si>
  <si>
    <t>0501</t>
  </si>
  <si>
    <t>L05</t>
  </si>
  <si>
    <t>5.01</t>
  </si>
  <si>
    <t>Fitness First North Sydney</t>
  </si>
  <si>
    <t>Gross lease - Nil outgoings. Car park levy only.</t>
  </si>
  <si>
    <t>Fitness First N. Sydney</t>
  </si>
  <si>
    <t>0503</t>
  </si>
  <si>
    <t>5.03</t>
  </si>
  <si>
    <t>Asterx Pty Ltd</t>
  </si>
  <si>
    <t>Asterx Pty Ltd (MediRecords)</t>
  </si>
  <si>
    <t>FIXED 3.5%</t>
  </si>
  <si>
    <t>Semi-Gross</t>
  </si>
  <si>
    <t>135234.00</t>
  </si>
  <si>
    <t>Semi-gross base year FY24. BG: $135,234. 1 car space. Lease start/expiry corrected to 01/07/24–30/06/29 per Sept26 TS (previously recorded as 01/06/24–31/05/29). Abatement, car park rent, cleaning and outgoings all confirmed/updated per Sept26 TS.</t>
  </si>
  <si>
    <t>Asterx (MediRecords)</t>
  </si>
  <si>
    <t>0504</t>
  </si>
  <si>
    <t>5.04</t>
  </si>
  <si>
    <t>Auctionsplus Pty Ltd</t>
  </si>
  <si>
    <t>199187.44</t>
  </si>
  <si>
    <t>Semi-gross base year FY24 2.4%. BG equiv $199,187 incl GST. Incentive: fitout contribution $672,971.</t>
  </si>
  <si>
    <t>Auctionsplus</t>
  </si>
  <si>
    <t>0602</t>
  </si>
  <si>
    <t>L06</t>
  </si>
  <si>
    <t>6.02</t>
  </si>
  <si>
    <t>Sungrow Australia Group</t>
  </si>
  <si>
    <t>Sungrow Australia Group Pty Ltd</t>
  </si>
  <si>
    <t>FIXED 3.75%</t>
  </si>
  <si>
    <t>291050.49</t>
  </si>
  <si>
    <t>BG: $291,050 (6 mths last yr gross rent). Incentive: 50% of rent as abatement. Make Good: $200 psm.</t>
  </si>
  <si>
    <t>Sungrow (L6)</t>
  </si>
  <si>
    <t>0603</t>
  </si>
  <si>
    <t>6.03</t>
  </si>
  <si>
    <t>Keeping Company Pty Ltd</t>
  </si>
  <si>
    <t>110738.92</t>
  </si>
  <si>
    <t>2 car spaces. BG: $110,739. Incentive: fitout $177,810 + abatement. Base year FY2021.</t>
  </si>
  <si>
    <t>Keeping Company</t>
  </si>
  <si>
    <t>0604</t>
  </si>
  <si>
    <t>6.04</t>
  </si>
  <si>
    <t>Elekta Pty Limited</t>
  </si>
  <si>
    <t>FIXED (3.75%)</t>
  </si>
  <si>
    <t>210969.39</t>
  </si>
  <si>
    <t>New lease 01/08/25. BG: $210,969. Abatement: $2,576 psm over term. Outgoings 2.95% base FY2025.</t>
  </si>
  <si>
    <t>Elekta</t>
  </si>
  <si>
    <t>0701</t>
  </si>
  <si>
    <t>L07</t>
  </si>
  <si>
    <t>7.01</t>
  </si>
  <si>
    <t>536314.24</t>
  </si>
  <si>
    <t>Tandem bays x2. BG: $536,314. Base year FY2021 9.41%. Sept26 TS shows office rent reset to a combined total of $925,326 pa across 7.01+7.02 (849.6 sqm) — PSM above is a blended rate ($925,326/484.1 sqm) to keep this in the existing K=PSM×NLA formula; not a genuine per-sqm market rate, so Var to Mkt for this row is not meaningful. This is an 82% jump on the prior $508k combined rent — flagging for verification against the lease before relying on it.</t>
  </si>
  <si>
    <t>Sungrow (L7 Main)</t>
  </si>
  <si>
    <t>0702</t>
  </si>
  <si>
    <t>7.02</t>
  </si>
  <si>
    <t>Additional Space (Sungrow)</t>
  </si>
  <si>
    <t>0</t>
  </si>
  <si>
    <t>Additional space - office rent included in Suite 7.01 totals (same lease). Sept26 TS now shows a separate Outgoings Recoverable charge of $37,146.72 pa billed against this suite.</t>
  </si>
  <si>
    <t>Sungrow (L7 Add.)</t>
  </si>
  <si>
    <t>0801</t>
  </si>
  <si>
    <t>L08</t>
  </si>
  <si>
    <t>8.01</t>
  </si>
  <si>
    <t>Vanderlande Industries Australia Pty Ltd</t>
  </si>
  <si>
    <t>288500.00</t>
  </si>
  <si>
    <t>Base year FY2015 7.57%. BG: $288,500. Make good: full open plan. Cleaning $15 psm.</t>
  </si>
  <si>
    <t>Vanderlande Industries</t>
  </si>
  <si>
    <t>0803</t>
  </si>
  <si>
    <t>8.03</t>
  </si>
  <si>
    <t>Can Too Foundation Limited</t>
  </si>
  <si>
    <t>74933.60</t>
  </si>
  <si>
    <t>BG: $74,934. Base year 2025 1.29%. Cleaning $15.77 psm.</t>
  </si>
  <si>
    <t>Can Too Foundation</t>
  </si>
  <si>
    <t>0901</t>
  </si>
  <si>
    <t>L09</t>
  </si>
  <si>
    <t>9.01</t>
  </si>
  <si>
    <t>Pitt &amp; Sherry (Operations) Pty Ltd</t>
  </si>
  <si>
    <t>281758.41</t>
  </si>
  <si>
    <t>Option: 5 yrs (04/07/27-03/07/32). BG: $281,758. Base year FY2021 5%.</t>
  </si>
  <si>
    <t>Pitt &amp; Sherry</t>
  </si>
  <si>
    <t>1201</t>
  </si>
  <si>
    <t>L12</t>
  </si>
  <si>
    <t>12.01</t>
  </si>
  <si>
    <t>Hulsbosch Design Pty Ltd</t>
  </si>
  <si>
    <t>Base year FY25 3.8%. Corrected per Sept26 TS: this row's NLA/financials were previously swapped with Smile Partners (0902) in the master file. Suite 1201 (Hulsbosch) is actually 251 sqm, 01/11/25–31/10/30, 5 yr term — not 344.5 sqm/4.1 yrs as previously recorded. No car park charges shown for this suite on the TS.</t>
  </si>
  <si>
    <t>Hulsbosch Design</t>
  </si>
  <si>
    <t>0902</t>
  </si>
  <si>
    <t>9.02</t>
  </si>
  <si>
    <t>Smile Partners Australia</t>
  </si>
  <si>
    <t>Smile Partners Australia Pty Ltd</t>
  </si>
  <si>
    <t>Corrected per Sept26 TS: this row's NLA/financials were previously swapped with Hulsbosch Design (1201) in the master file. Suite 0902 (Smile Partners) is actually 344.5 sqm, 01/12/25–31/12/29, 4.1 yr term, 2 car spaces ($6,060 pa levy) — not 251 sqm/5 yrs/no car parks as previously recorded.</t>
  </si>
  <si>
    <t>1202</t>
  </si>
  <si>
    <t>12.02</t>
  </si>
  <si>
    <t>AEI Insurance Group Pty Ltd</t>
  </si>
  <si>
    <t>440704.03</t>
  </si>
  <si>
    <t>Option: 6 mths. BG: $440,704 (no expiry). 10 car spaces. Formerly Austbrokers.</t>
  </si>
  <si>
    <t>AEI Insurance Group</t>
  </si>
  <si>
    <t>0601</t>
  </si>
  <si>
    <t>6.01</t>
  </si>
  <si>
    <t>Caldas Constructions Pty Ltd</t>
  </si>
  <si>
    <t>Caldas Constructions — new lease 01/07/26 (corrected from 30/06/26), 6 yr term, $920 psm. Prepaid rent held (no BG). Outgoings/cleaning/car park still TBC pending TS confirmation (still NIL on Sept26 TS). Tenant legal name corrected to "Caldas" (previously "Caladas").</t>
  </si>
  <si>
    <t>Caldas Constructions</t>
  </si>
  <si>
    <t>1001</t>
  </si>
  <si>
    <t>L10</t>
  </si>
  <si>
    <t>10.01</t>
  </si>
  <si>
    <t>VACANT</t>
  </si>
  <si>
    <t>1002</t>
  </si>
  <si>
    <t>10.02</t>
  </si>
  <si>
    <t>1101</t>
  </si>
  <si>
    <t>L11</t>
  </si>
  <si>
    <t>11.01</t>
  </si>
  <si>
    <t>Luxasia</t>
  </si>
  <si>
    <t>LUXASIA</t>
  </si>
  <si>
    <t>Break at 3 years. Lease commenced 1/10/26, 5 yr term, $1,060 psm. Incentive: landlord fitout contribution $369,812.50 (see Fitout Costs register) + rent abatement totalling $192,787.50 over the term — Yr 1-3 $25,705 pa (reflected in Abatement PA), Yr 4-5 $57,836.25 pa. Abatement PA will need manual updating to -$57,836.25 from the Yr 4 anniversary (1/10/29).</t>
  </si>
  <si>
    <t>1102</t>
  </si>
  <si>
    <t>11.02</t>
  </si>
  <si>
    <t>Haskoning Australia Pty Ltd</t>
  </si>
  <si>
    <t>Haskoning Australia Pty Ltd — new lease commencing 01/10/26, 6 yr term, $1,040 psm, fixed 3.5% review. Fitout contribution $750,400 (landlord funded). Outgoings/cleaning/car park TBC pending TS confirmation. Next review date estimated.</t>
  </si>
  <si>
    <t>Haskoning Australia</t>
  </si>
  <si>
    <t>TOTALS / BUILDING SUMMARY</t>
  </si>
  <si>
    <t>OCCUPANCY %</t>
  </si>
  <si>
    <t>Occupied NLA</t>
  </si>
  <si>
    <t>Vacant NLA</t>
  </si>
  <si>
    <t>Total NLA</t>
  </si>
  <si>
    <t>Occupancy %</t>
  </si>
  <si>
    <t>Vacancy %</t>
  </si>
  <si>
    <t>1 ELIZABETH PLAZA, NORTH SYDNEY  —  ASSET MANAGEMENT DASHBOARD</t>
  </si>
  <si>
    <t>As at 30 September 2026  |  Data sourced from Input Data tab  |  All amounts in AUD</t>
  </si>
  <si>
    <t>TOTAL NLA</t>
  </si>
  <si>
    <t>OCCUPIED NLA</t>
  </si>
  <si>
    <t>VACANT NLA</t>
  </si>
  <si>
    <t>OCCUPANCY</t>
  </si>
  <si>
    <t>VACANCY</t>
  </si>
  <si>
    <t>SUITES</t>
  </si>
  <si>
    <t>20 occ  |  2 vacant</t>
  </si>
  <si>
    <t>GROSS INCOME PA</t>
  </si>
  <si>
    <t>NET EFFECTIVE PA</t>
  </si>
  <si>
    <t>ABATEMENT PA</t>
  </si>
  <si>
    <t>WALE by NLA</t>
  </si>
  <si>
    <t>WALE by Income</t>
  </si>
  <si>
    <t>OUTGOINGS %</t>
  </si>
  <si>
    <t>92.3%</t>
  </si>
  <si>
    <t xml:space="preserve">  WEIGHTED AVERAGE LEASE EXPIRY (WALE)</t>
  </si>
  <si>
    <t>Measure</t>
  </si>
  <si>
    <t>WALE</t>
  </si>
  <si>
    <t>Basis</t>
  </si>
  <si>
    <t>Area-weighted average of remaining lease terms (occupied suites only)</t>
  </si>
  <si>
    <t>Income-weighted average of remaining lease terms</t>
  </si>
  <si>
    <t xml:space="preserve">  LEASE EXPIRY PROFILE  —  BY INCOME &amp; AREA (5 YEAR FORWARD VIEW)</t>
  </si>
  <si>
    <t>Expiry Year</t>
  </si>
  <si>
    <t>Net Effective ($)</t>
  </si>
  <si>
    <t>Income %</t>
  </si>
  <si>
    <t>Area %</t>
  </si>
  <si>
    <t># Leases</t>
  </si>
  <si>
    <t>Tenants Expiring</t>
  </si>
  <si>
    <t>2026</t>
  </si>
  <si>
    <t>2027</t>
  </si>
  <si>
    <t>2028</t>
  </si>
  <si>
    <t>2029</t>
  </si>
  <si>
    <t>2030</t>
  </si>
  <si>
    <t>2031+</t>
  </si>
  <si>
    <t>TOTAL</t>
  </si>
  <si>
    <t xml:space="preserve">  PASSING RENT vs MARKET RENT  —  By Suite</t>
  </si>
  <si>
    <t>Suite</t>
  </si>
  <si>
    <t>Tenant</t>
  </si>
  <si>
    <t>NLA</t>
  </si>
  <si>
    <t>Face PSM</t>
  </si>
  <si>
    <t>Market PSM</t>
  </si>
  <si>
    <t>Var ($)</t>
  </si>
  <si>
    <t>Var (%)</t>
  </si>
  <si>
    <t>Position</t>
  </si>
  <si>
    <t xml:space="preserve">  UPCOMING CRITICAL DATES  —  Next 18 Months</t>
  </si>
  <si>
    <t>Suite / Tenant</t>
  </si>
  <si>
    <t>Event</t>
  </si>
  <si>
    <t>Due Date</t>
  </si>
  <si>
    <t>Days Away</t>
  </si>
  <si>
    <t>Action Required</t>
  </si>
  <si>
    <t>6.01/Caldas</t>
  </si>
  <si>
    <t>New Lease Commences</t>
  </si>
  <si>
    <t>Ensure fitout complete, BG received, rent commences</t>
  </si>
  <si>
    <t>6.03/Keeping Co</t>
  </si>
  <si>
    <t>Renewal negotiations — 13 months away, engage tenant</t>
  </si>
  <si>
    <t>5.04/Auctionsplus</t>
  </si>
  <si>
    <t>Rent Review 4%</t>
  </si>
  <si>
    <t>Fixed review — calculate and issue notice</t>
  </si>
  <si>
    <t>5.03/Asterx</t>
  </si>
  <si>
    <t>Rent Review 3.5%</t>
  </si>
  <si>
    <t>Fixed review — confirm calculation</t>
  </si>
  <si>
    <t>Fixed review — imminent, action now</t>
  </si>
  <si>
    <t>8.01/Vanderlande</t>
  </si>
  <si>
    <t>Fixed review — imminent</t>
  </si>
  <si>
    <t>9.01/Pitt &amp; Sherry</t>
  </si>
  <si>
    <t>Rent Review 3.75%</t>
  </si>
  <si>
    <t>Fixed review — action now</t>
  </si>
  <si>
    <t>3.01/Smiletree</t>
  </si>
  <si>
    <t>Fixed review on lease extension</t>
  </si>
  <si>
    <t>Option available — engage tenant in advance</t>
  </si>
  <si>
    <t>8.03/Can Too</t>
  </si>
  <si>
    <t>LEVEL 10/Vacant</t>
  </si>
  <si>
    <t>Vacancy Risk</t>
  </si>
  <si>
    <t>TBC</t>
  </si>
  <si>
    <t>Long vacancy — 787 sqm, marketing required urgently</t>
  </si>
  <si>
    <t>11.01/Luxasia</t>
  </si>
  <si>
    <t>New Lease Commenced</t>
  </si>
  <si>
    <t>Confirm fitout contribution paid, BG/condition received, abatement schedule tracked (steps up 1/10/29)</t>
  </si>
  <si>
    <t>11.02/Haskoning</t>
  </si>
  <si>
    <t>Ensure fitout contribution paid, lease execution complete</t>
  </si>
  <si>
    <t xml:space="preserve">  INCOME ANALYSIS  —  By Floor</t>
  </si>
  <si>
    <t>Tenants</t>
  </si>
  <si>
    <t>Net Eff PA ($)</t>
  </si>
  <si>
    <t>Expiry Yr</t>
  </si>
  <si>
    <t>TOTAL / BUILDING</t>
  </si>
  <si>
    <t>100.0%</t>
  </si>
  <si>
    <t xml:space="preserve">  ASSET VALUATION SUMMARY</t>
  </si>
  <si>
    <t>Latest Valuation
(Val 1)</t>
  </si>
  <si>
    <t>Previous
(Val 2)</t>
  </si>
  <si>
    <t>Prior
(Val 3)</t>
  </si>
  <si>
    <t>Movement (Val 1 vs Val 2)</t>
  </si>
  <si>
    <t xml:space="preserve">  Valuation Amount ($)</t>
  </si>
  <si>
    <t xml:space="preserve">  Date of Valuation</t>
  </si>
  <si>
    <t xml:space="preserve">  Valuer / Firm</t>
  </si>
  <si>
    <t xml:space="preserve">  Capitalisation Rate</t>
  </si>
  <si>
    <t xml:space="preserve">  Passing Yield</t>
  </si>
  <si>
    <t xml:space="preserve">  Land Value</t>
  </si>
  <si>
    <t xml:space="preserve">  Valuation Basis</t>
  </si>
  <si>
    <t xml:space="preserve">  LAND TAX SUMMARY  —  NSW</t>
  </si>
  <si>
    <t>Assessment 1
(Latest)</t>
  </si>
  <si>
    <t>Assessment 2</t>
  </si>
  <si>
    <t>Assessment 3</t>
  </si>
  <si>
    <t>Land Value Movement</t>
  </si>
  <si>
    <t xml:space="preserve">  Land Tax Year</t>
  </si>
  <si>
    <t xml:space="preserve">  Assessed Land Value ($)</t>
  </si>
  <si>
    <t xml:space="preserve">  Land Tax Payable ($)</t>
  </si>
  <si>
    <t xml:space="preserve">  Assessment Date</t>
  </si>
  <si>
    <t xml:space="preserve">  Mortgage details recorded in Valuations tab only  |  Update Valuations tab after each new valuation or land tax assessment</t>
  </si>
  <si>
    <t>1 ELIZABETH PLAZA, NORTH SYDNEY  —  VALUATIONS, LAND TAX &amp; MORTGAGE REGISTER</t>
  </si>
  <si>
    <t>Yellow cells = input. All Dashboard valuation figures pull from this tab automatically. Update each time a new valuation or assessment is received.</t>
  </si>
  <si>
    <t xml:space="preserve">  PROPERTY VALUATIONS</t>
  </si>
  <si>
    <t>Valuation 1
(Most Recent)</t>
  </si>
  <si>
    <t>Valuation 2</t>
  </si>
  <si>
    <t>Valuation 3</t>
  </si>
  <si>
    <t xml:space="preserve">  Valuation Amount</t>
  </si>
  <si>
    <t xml:space="preserve">  Capitalisation Rate (%)</t>
  </si>
  <si>
    <t xml:space="preserve">  Passing Yield (%)</t>
  </si>
  <si>
    <t xml:space="preserve">  Land Value ($)</t>
  </si>
  <si>
    <t xml:space="preserve">  Improvement Value ($)</t>
  </si>
  <si>
    <t xml:space="preserve">  VALUATION MOVEMENT</t>
  </si>
  <si>
    <t xml:space="preserve">  Val 1 vs Val 2 ($)</t>
  </si>
  <si>
    <t xml:space="preserve">  Val 2 vs Val 3 ($)</t>
  </si>
  <si>
    <t xml:space="preserve">  LAND TAX ASSESSMENTS  —  NSW</t>
  </si>
  <si>
    <t>Assessment 1
(Most Recent)</t>
  </si>
  <si>
    <t xml:space="preserve">  Threshold Applied ($)</t>
  </si>
  <si>
    <t xml:space="preserve">  Tax Rate Applied (%)</t>
  </si>
  <si>
    <t xml:space="preserve">  Payment Due Date</t>
  </si>
  <si>
    <t xml:space="preserve">  Assessment Reference / Notice</t>
  </si>
  <si>
    <t xml:space="preserve">  LAND VALUE MOVEMENT</t>
  </si>
  <si>
    <t xml:space="preserve">  Assessment 1 vs 2 Land Value Change</t>
  </si>
  <si>
    <t xml:space="preserve">  Assessment 2 vs 3 Land Value Change</t>
  </si>
  <si>
    <t xml:space="preserve">  MORTGAGE / DEBT DETAILS  —  (Not displayed on Dashboard)</t>
  </si>
  <si>
    <t>Field</t>
  </si>
  <si>
    <t>Current</t>
  </si>
  <si>
    <t>Prior</t>
  </si>
  <si>
    <t xml:space="preserve">  Lender / Bank</t>
  </si>
  <si>
    <t xml:space="preserve">  Loan Amount ($)</t>
  </si>
  <si>
    <t xml:space="preserve">  As at Date</t>
  </si>
  <si>
    <t xml:space="preserve">  Interest Rate (%)</t>
  </si>
  <si>
    <t xml:space="preserve">  Loan Type</t>
  </si>
  <si>
    <t xml:space="preserve">  Facility Expiry / Review Date</t>
  </si>
  <si>
    <t xml:space="preserve">  LVR (%)</t>
  </si>
  <si>
    <t xml:space="preserve">  Interest Cover Ratio (ICR)</t>
  </si>
  <si>
    <t xml:space="preserve">  Covenants / Notes</t>
  </si>
  <si>
    <t xml:space="preserve">  LEGEND:  Yellow = input  |  Teal = calculated  |  Valuation 1 = most recent  |  LVR auto-calculates from Loan Amount ÷ Latest Valuation</t>
  </si>
  <si>
    <t>1 ELIZABETH PLAZA, NORTH SYDNEY — MARKET RENTS 2026-27  |  Face Rent PSM ($)  |  Update annually or when market moves materially</t>
  </si>
  <si>
    <t>Source: Market assessment 2026  |  Update annually or when market moves  |  Market PSM (col E) feeds Var to Mkt analysis in Input Data tab  |  Yellow = input cells</t>
  </si>
  <si>
    <t>Size
(sqm)</t>
  </si>
  <si>
    <t>Current Tenant</t>
  </si>
  <si>
    <t>Passing
PSM ($)</t>
  </si>
  <si>
    <t>Market
Rent PSM ($)</t>
  </si>
  <si>
    <t>New Tenant Incentive
3yr</t>
  </si>
  <si>
    <t>4yr</t>
  </si>
  <si>
    <t>5yr</t>
  </si>
  <si>
    <t>Renewal Incentive
3yr</t>
  </si>
  <si>
    <t>35-45%</t>
  </si>
  <si>
    <t>38-45%</t>
  </si>
  <si>
    <t>40-45%</t>
  </si>
  <si>
    <t>28-32%</t>
  </si>
  <si>
    <t>35-42%</t>
  </si>
  <si>
    <t>PORTFOLIO MARKET RENT SUMMARY</t>
  </si>
  <si>
    <t xml:space="preserve">  LEGEND:  Yellow = input (update market PSM and incentive rates each assessment)  |  Red rows = expired/vacant suites  |  Var $ and % auto-calculate from Input Data  |  Incentive rates = gross incentive as % of gross rent</t>
  </si>
  <si>
    <t>1 ELIZABETH PLAZA  —  LEASE EXPIRY PROFILE  |  As at 30/09/2026  |  ALL DATA SOURCED FROM INPUT DATA TAB</t>
  </si>
  <si>
    <t>Tenant / Suite</t>
  </si>
  <si>
    <t>Rem. (Yrs)</t>
  </si>
  <si>
    <t>Cars</t>
  </si>
  <si>
    <t xml:space="preserve">  EXPIRY 2027</t>
  </si>
  <si>
    <t xml:space="preserve">  EXPIRY 2028</t>
  </si>
  <si>
    <t xml:space="preserve">  EXPIRY 2029</t>
  </si>
  <si>
    <t xml:space="preserve">  EXPIRY 2030</t>
  </si>
  <si>
    <t xml:space="preserve">  EXPIRY 2031+</t>
  </si>
  <si>
    <t xml:space="preserve">  VACANT SUITES</t>
  </si>
  <si>
    <t>BUILDING TOTALS</t>
  </si>
  <si>
    <t>1 ELIZABETH PLAZA  —  LEASE REGISTER  |  As at 30/09/2026  |  ALL DATA SOURCED FROM INPUT DATA TAB</t>
  </si>
  <si>
    <t>Mkt PSM ($)</t>
  </si>
  <si>
    <t>Car Park PA ($)</t>
  </si>
  <si>
    <t>WALE Contrib (sqm.yr)</t>
  </si>
  <si>
    <t xml:space="preserve">  VACANT SUITES  —  787 sqm available</t>
  </si>
  <si>
    <t>1 ELIZABETH PLAZA, NORTH SYDNEY  —  MAKE GOOD OBLIGATIONS REGISTER  |  As at 30 September 2026</t>
  </si>
  <si>
    <t>Track make-good obligations, notice periods and estimated costs for each suite. Update when leases are signed or when condition changes.</t>
  </si>
  <si>
    <t xml:space="preserve">  MAKE GOOD SUMMARY</t>
  </si>
  <si>
    <t xml:space="preserve">  Leases with Make Good Obligation</t>
  </si>
  <si>
    <t xml:space="preserve">  Total Estimated Cost ($)</t>
  </si>
  <si>
    <t xml:space="preserve">  High Risk (expiring &lt;12 mths)</t>
  </si>
  <si>
    <t xml:space="preserve">  Make Good Notice Period</t>
  </si>
  <si>
    <t>See per lease</t>
  </si>
  <si>
    <t xml:space="preserve">  MAKE GOOD OBLIGATIONS  —  Per Lease  (update from lease schedule &amp; inspections)</t>
  </si>
  <si>
    <t>Lease
Expiry</t>
  </si>
  <si>
    <t>Notice
Period</t>
  </si>
  <si>
    <t>MG Obligation
in Lease?</t>
  </si>
  <si>
    <t>Estimated
Cost ($)</t>
  </si>
  <si>
    <t>Cost
PSM ($)</t>
  </si>
  <si>
    <t>Last
Inspected</t>
  </si>
  <si>
    <t>Condition
Rating</t>
  </si>
  <si>
    <t>MG
Status</t>
  </si>
  <si>
    <t>Action
Required</t>
  </si>
  <si>
    <t>Notes / Scope of Works</t>
  </si>
  <si>
    <t>Further detail</t>
  </si>
  <si>
    <t>NA</t>
  </si>
  <si>
    <t>Yes</t>
  </si>
  <si>
    <t>Not Inspected</t>
  </si>
  <si>
    <t>None</t>
  </si>
  <si>
    <t>Payment in Lieu $300 /sqm + GST ($32,310 + GST)</t>
  </si>
  <si>
    <t>Fitness First gross lease — no specific make-good clause captured in the tenancy schedule extract; confirm scope against executed lease.</t>
  </si>
  <si>
    <t>Fitness First (North Sydney) gross lease — no specific make-good clause captured in the tenancy schedule extract; confirm scope against executed lease.</t>
  </si>
  <si>
    <t>Clause 10 — tenant to make good any damage, remove tenant property and existing fit-out, and hand back the premises (including landlord-directed works) at expiry.</t>
  </si>
  <si>
    <t>Under Clause 10 the tenant must make good any damage existing in the premises and remove tenant property/fitout, unless the landlord directs otherwise.</t>
  </si>
  <si>
    <t>Clause 6.7(c) — tenant may elect to pay the Lessor $250/sqm + GST in lieu of undertaking make-good works.</t>
  </si>
  <si>
    <t>Payment in lieu of $250/sqm + GST (≈$103,375 ex GST based on current NLA).</t>
  </si>
  <si>
    <t>Clause 10.2 (pg 53) — remove tenant property, reinstate alterations, restore ceiling &amp; carpet tiles (fair wear &amp; tear excepted), professionally steam-clean carpet, repaint.</t>
  </si>
  <si>
    <t>Full reinstatement clause — no fixed $/sqm payment-in-lieu rate specified; obtain make-good quote closer to expiry (30/06/2032).</t>
  </si>
  <si>
    <t>Make-good noted at $200/sqm against the lease summary (BG/incentive notes) — confirm exact clause reference against executed lease.</t>
  </si>
  <si>
    <t>Payment in lieu of $200/sqm + GST (≈$90,340 ex GST based on current NLA).</t>
  </si>
  <si>
    <t>Keeping Company — no specific make-good clause captured in the tenancy schedule extract; confirm scope against executed lease.</t>
  </si>
  <si>
    <t>Elekta — no specific make-good clause captured in the tenancy schedule extract; confirm scope against executed lease.</t>
  </si>
  <si>
    <t>Clause 6.7 — return suite to landlord in open-plan layout; recarpet worn areas, make good all damage, repaint walls (min. 2 coats), remove signage. Clause 6.8 — payment in lieu available at $200/sqm.</t>
  </si>
  <si>
    <t>Payment in lieu of $200/sqm + GST (≈$96,820 ex GST based on current NLA).</t>
  </si>
  <si>
    <t>Additional space under the same lease as Suite 0701 (001445) — same make-good terms (Clause 6.7/6.8) apply to this suite.</t>
  </si>
  <si>
    <t>Payment in lieu of $200/sqm + GST (≈$73,100 ex GST based on current NLA — same lease as 0701).</t>
  </si>
  <si>
    <t>Clause 6.7 — full make-good back to open-plan layout (base build reinstatement).</t>
  </si>
  <si>
    <t>Full reinstatement clause — no fixed $/sqm payment-in-lieu rate specified; obtain make-good quote closer to expiry (30/06/2028).</t>
  </si>
  <si>
    <t>0802</t>
  </si>
  <si>
    <t>30/06/2028</t>
  </si>
  <si>
    <t>Ancillary suite (0 sqm) under the same lease as Suite 0801 (001442) — same make-good obligation (Clause 6.7, full open-plan reinstatement) applies.</t>
  </si>
  <si>
    <t>Can Too Foundation — no specific make-good clause captured in the tenancy schedule extract; confirm scope against executed lease.</t>
  </si>
  <si>
    <t>Clause 6.7 — return suite in open-plan layout, recarpet, make good all damage, repaint. Clause 6.8 — payment in lieu available at $175 + GST.</t>
  </si>
  <si>
    <t>Payment in lieu of $175/sqm + GST (≈$79,328 ex GST based on current NLA).</t>
  </si>
  <si>
    <t>Smile Partners Australia — new lease (01/11/25); no specific make-good clause captured in the tenancy schedule extract; confirm scope against executed lease.</t>
  </si>
  <si>
    <t>N/A</t>
  </si>
  <si>
    <t>Vacant suite — no current lease or make-good obligation.</t>
  </si>
  <si>
    <t>Luxasia — new lease commenced 01/10/2026; make-good clause not yet captured in the tenancy schedule extract; confirm scope against lease.</t>
  </si>
  <si>
    <t>Haskoning Australia — new lease commencing 01/10/2026; make-good clause not yet captured in the tenancy schedule extract; confirm scope once lease is finalised.</t>
  </si>
  <si>
    <t>Hulsbosch Design — no specific make-good clause captured in the tenancy schedule extract; confirm scope against executed lease.</t>
  </si>
  <si>
    <t>Aei Insurance Group — no specific make-good clause captured in the tenancy schedule extract; confirm scope against executed lease.</t>
  </si>
  <si>
    <t xml:space="preserve">  KEY  |  Amber cells = user input required   |   Status automatically set from expiry date</t>
  </si>
  <si>
    <t>LIGHT_RED (expired/overdue)</t>
  </si>
  <si>
    <t>LT_ORANGE (&lt;6 mths)</t>
  </si>
  <si>
    <t>LT_AMBER (&lt;12 mths)</t>
  </si>
  <si>
    <t>Blue/White (&gt;12 mths)</t>
  </si>
  <si>
    <t>1 ELIZABETH PLAZA, NORTH SYDNEY  —  BUILDING STACK PLAN  |  As at 30/09/2026</t>
  </si>
  <si>
    <t>Blocks proportional to NLA  |  Colour = lease expiry year  |  Scale ≈ 360 sqm per column</t>
  </si>
  <si>
    <t>NLA
(sqm)</t>
  </si>
  <si>
    <t>◄───────────────────────────────────  BUILDING STACK PLAN  ───────────────────────────────────►</t>
  </si>
  <si>
    <t>Level 12</t>
  </si>
  <si>
    <t>Level 11</t>
  </si>
  <si>
    <t>Level 10</t>
  </si>
  <si>
    <t>438 sqm</t>
  </si>
  <si>
    <t>349 sqm</t>
  </si>
  <si>
    <t>⬤ AVAILABLE NOW</t>
  </si>
  <si>
    <t>Level 9</t>
  </si>
  <si>
    <t>Level 8</t>
  </si>
  <si>
    <t>Level 7</t>
  </si>
  <si>
    <t>Level 6</t>
  </si>
  <si>
    <t>Level 5</t>
  </si>
  <si>
    <t>Level 4</t>
  </si>
  <si>
    <t>Level 3</t>
  </si>
  <si>
    <t>Roof</t>
  </si>
  <si>
    <t>Pipe Networks Pty Ltd (Vocus)</t>
  </si>
  <si>
    <t>ROOF — Roof</t>
  </si>
  <si>
    <t>Face $— | Net $2,500 pa</t>
  </si>
  <si>
    <t>Outg $— | Rev: —</t>
  </si>
  <si>
    <t>Exp: Aug-27 (1.3 yrs)</t>
  </si>
  <si>
    <t>1.3 yrs remaining</t>
  </si>
  <si>
    <t xml:space="preserve">  LEGEND — Expiry Year Colour Code</t>
  </si>
  <si>
    <t>Expiring 2026 ⚠</t>
  </si>
  <si>
    <t>Vacant</t>
  </si>
  <si>
    <t xml:space="preserve">  PORTFOLIO SUMMARY  |  As at 30/09/2026  |  Total NLA: 8,940.9 sqm  |  Occupied: 8,153.9 sqm (91.2%)  |  Vacant: 787.0 sqm (8.8%)  |  Gross Income PA: ~$8.0M</t>
  </si>
  <si>
    <t>1 ELIZABETH PLAZA  —  LEASING ACTIVITY LOG  |  Since June 2024</t>
  </si>
  <si>
    <t>Date</t>
  </si>
  <si>
    <t>Type</t>
  </si>
  <si>
    <t>Review</t>
  </si>
  <si>
    <t>Commencement</t>
  </si>
  <si>
    <t>Expiry</t>
  </si>
  <si>
    <t>Term</t>
  </si>
  <si>
    <t>Incentive %</t>
  </si>
  <si>
    <t>Fitout ($)</t>
  </si>
  <si>
    <t>Abatement ($)</t>
  </si>
  <si>
    <t>TR Fee ($)</t>
  </si>
  <si>
    <t>New Lease</t>
  </si>
  <si>
    <t>5 Years</t>
  </si>
  <si>
    <t>Suite 12.01. BG: 6 mths.</t>
  </si>
  <si>
    <t>4.1 Years</t>
  </si>
  <si>
    <t xml:space="preserve">Suite 9.02. </t>
  </si>
  <si>
    <t>7 Years</t>
  </si>
  <si>
    <t>Suite 6.04. $2,576 psm abatement over 7 yr term. BG $210,969.</t>
  </si>
  <si>
    <t>5.4 Years</t>
  </si>
  <si>
    <t>Suite 8.03. BG: $74,934.</t>
  </si>
  <si>
    <t>4.4 Years</t>
  </si>
  <si>
    <t>Suite 6.02. 50% incentive as abatement. BG $291,050.</t>
  </si>
  <si>
    <t>6 Years</t>
  </si>
  <si>
    <t>Suite 12.02. Formerly Austbrokers. 10 car spaces. BG $440,704.</t>
  </si>
  <si>
    <t>Suite 5.04. Incentive as fitout + abatement. BG equiv $199k incl GST.</t>
  </si>
  <si>
    <t>Renewal</t>
  </si>
  <si>
    <t>Suite 5.03 (MediRecords). Continuation. BG $135,234.</t>
  </si>
  <si>
    <t>Caladas Constructions</t>
  </si>
  <si>
    <t>PROSPECT — New lease commencing 01/07/26. Prepaid rent held.</t>
  </si>
  <si>
    <t xml:space="preserve">PROSPECT — New lease commencing 01/10/26. </t>
  </si>
  <si>
    <t>LEASING ACTIVITY SUMMARY</t>
  </si>
  <si>
    <t>WALE by NLA (Current)</t>
  </si>
  <si>
    <t>Occupancy (Current)</t>
  </si>
  <si>
    <t>WALE by NLA (May 2025)</t>
  </si>
  <si>
    <t>3.34 years</t>
  </si>
  <si>
    <t>Occupancy (May 2025)</t>
  </si>
  <si>
    <t>76.9%</t>
  </si>
  <si>
    <t>r</t>
  </si>
  <si>
    <t>WALE by NLA (May 2024)</t>
  </si>
  <si>
    <t>3.20 years</t>
  </si>
  <si>
    <t>Occupancy (May 2024)</t>
  </si>
  <si>
    <t>68.1%</t>
  </si>
  <si>
    <t>Total NLA Leased (Since Jun 24)</t>
  </si>
  <si>
    <t>1 ELIZABETH PLAZA  —  SPEC FITOUT &amp; LANDLORD WORKS REGISTER  |  As at 30/04/2026</t>
  </si>
  <si>
    <t>Track approved and completed fitout works, spec fitouts and landlord contributions. All costs ex-GST unless noted.</t>
  </si>
  <si>
    <t xml:space="preserve">  SPEC FITOUT SUMMARY</t>
  </si>
  <si>
    <t xml:space="preserve">  Total Approved Budget</t>
  </si>
  <si>
    <t xml:space="preserve">  Total Spent</t>
  </si>
  <si>
    <t xml:space="preserve">  Avg Cost PSM</t>
  </si>
  <si>
    <t xml:space="preserve">  Suites In Progress</t>
  </si>
  <si>
    <t xml:space="preserve">  FITOUT DETAILS  —  Per Suite / Project</t>
  </si>
  <si>
    <t>Floor/Suite</t>
  </si>
  <si>
    <t>Description</t>
  </si>
  <si>
    <t>Date Approved</t>
  </si>
  <si>
    <t>Total Budget ($)</t>
  </si>
  <si>
    <t>Cost PSM ($)</t>
  </si>
  <si>
    <t>Fitout Allow ($)</t>
  </si>
  <si>
    <t>Net Cost ($)</t>
  </si>
  <si>
    <t>Contractor</t>
  </si>
  <si>
    <t>Date Complete</t>
  </si>
  <si>
    <t>Landlord fitout contribution / partials</t>
  </si>
  <si>
    <t>Completed</t>
  </si>
  <si>
    <t>2022</t>
  </si>
  <si>
    <t>Fitout cost psm $186.24</t>
  </si>
  <si>
    <t>Spec fitout — Level 10 (10.01)</t>
  </si>
  <si>
    <t>2024</t>
  </si>
  <si>
    <t>Spec fitted: Level 10 (completed 2025)</t>
  </si>
  <si>
    <t>Spec fitout — Level 10 (10.02)</t>
  </si>
  <si>
    <t>Full spec fitout incl MG 10.02. Lift lobby, electrical box etc.</t>
  </si>
  <si>
    <t>Spec fitout — Level 6 (6.01)</t>
  </si>
  <si>
    <t>Fitout completed 2022. Rate: $915 psm</t>
  </si>
  <si>
    <t>Spec fitout — Level 12 (12.01)</t>
  </si>
  <si>
    <t>2023</t>
  </si>
  <si>
    <t>Fitout completed. $988 psm</t>
  </si>
  <si>
    <t>Spec fitout — Level 8 (8.03)</t>
  </si>
  <si>
    <t>2025</t>
  </si>
  <si>
    <t>Minor works $26 psm</t>
  </si>
  <si>
    <t>11.01/11.02</t>
  </si>
  <si>
    <t>Spec fitout — Level 11</t>
  </si>
  <si>
    <t>In Progress</t>
  </si>
  <si>
    <t>Spec fitted Level 11 — to be completed June 2026</t>
  </si>
  <si>
    <t>Refurbishment — Suite 9.02</t>
  </si>
  <si>
    <t>Refurb completed 2025. Rate $186.24 psm (power, blinds, works, vinyl, MG)</t>
  </si>
  <si>
    <t>Fitout — Auctionsplus (5.04)</t>
  </si>
  <si>
    <t>Landlord contribution $672,971 + GST. Tenant's fitout.</t>
  </si>
  <si>
    <t>Fitout — Luxasia (11.01)</t>
  </si>
  <si>
    <t>Landlord contribution $369,812.50 + GST. Plus rent abatement $192,787.50 over term (Yr1-3 $25,705 pa, Yr4-5 $57,836.25 pa) tracked in Input Data tab.</t>
  </si>
  <si>
    <t xml:space="preserve">  COST REFERENCE GUIDE  —  Typical Fitout Costs (ex-GST)</t>
  </si>
  <si>
    <t>Category</t>
  </si>
  <si>
    <t>Low psm</t>
  </si>
  <si>
    <t>Mid psm</t>
  </si>
  <si>
    <t>High psm</t>
  </si>
  <si>
    <t>Partition offices + open plan</t>
  </si>
  <si>
    <t>$350</t>
  </si>
  <si>
    <t>$550</t>
  </si>
  <si>
    <t>$750</t>
  </si>
  <si>
    <t>Demolition, new partitions, doors</t>
  </si>
  <si>
    <t>Carpet / floor coverings</t>
  </si>
  <si>
    <t>$65</t>
  </si>
  <si>
    <t>$90</t>
  </si>
  <si>
    <t>$130</t>
  </si>
  <si>
    <t>Commercial carpet tiles</t>
  </si>
  <si>
    <t>Painting — full repaint</t>
  </si>
  <si>
    <t>$25</t>
  </si>
  <si>
    <t>$40</t>
  </si>
  <si>
    <t>$55</t>
  </si>
  <si>
    <t>Per sqm NLA</t>
  </si>
  <si>
    <t>Lighting upgrade (LED)</t>
  </si>
  <si>
    <t>$70</t>
  </si>
  <si>
    <t>$110</t>
  </si>
  <si>
    <t>Assume if &gt;10 years old</t>
  </si>
  <si>
    <t>Kitchen / joinery</t>
  </si>
  <si>
    <t>$15,000</t>
  </si>
  <si>
    <t>$25,000</t>
  </si>
  <si>
    <t>$40,000</t>
  </si>
  <si>
    <t>Per kitchen</t>
  </si>
  <si>
    <t>Full blank canvas spec</t>
  </si>
  <si>
    <t>$600</t>
  </si>
  <si>
    <t>$900</t>
  </si>
  <si>
    <t>$1,500</t>
  </si>
  <si>
    <t>Complete stripped + fitted</t>
  </si>
  <si>
    <t>Cosmetic refresh only</t>
  </si>
  <si>
    <t>$100</t>
  </si>
  <si>
    <t>$180</t>
  </si>
  <si>
    <t>$260</t>
  </si>
  <si>
    <t>Carpet + paint + lighting only</t>
  </si>
  <si>
    <t>1 ELIZABETH PLAZA  —  LEASING FEES REGISTER  |  As at 30/09/2026</t>
  </si>
  <si>
    <t>Leasing fees based on NLA. 3-5yr: $15/sqm (single agency), $20/sqm (split). 5yr+: $20/sqm (single), $25/sqm (split). Car space fees negotiated separately.</t>
  </si>
  <si>
    <t xml:space="preserve">  BUILDING VACANCY STATUS  |  As at 30/09/2026</t>
  </si>
  <si>
    <t xml:space="preserve">  VACANCY</t>
  </si>
  <si>
    <t>8.8%</t>
  </si>
  <si>
    <t xml:space="preserve">  OCCUPANCY</t>
  </si>
  <si>
    <t>91.2%</t>
  </si>
  <si>
    <t xml:space="preserve">  TOTAL NLA</t>
  </si>
  <si>
    <t>8,940.9 sqm</t>
  </si>
  <si>
    <t xml:space="preserve">  VACANT NLA</t>
  </si>
  <si>
    <t>787.0 sqm</t>
  </si>
  <si>
    <t xml:space="preserve">  LEASING FEES  —  By Suite (Vacant)</t>
  </si>
  <si>
    <t>3-5yr
(Single)</t>
  </si>
  <si>
    <t>5yr+
(Single)</t>
  </si>
  <si>
    <t>3-5yr
(Split)</t>
  </si>
  <si>
    <t>5yr+
(Split)</t>
  </si>
  <si>
    <t>Fitout
Spent ($)</t>
  </si>
  <si>
    <t>Asking
PSM ($)</t>
  </si>
  <si>
    <t>Incentive
%</t>
  </si>
  <si>
    <t>Car Spaces</t>
  </si>
  <si>
    <t>Comments</t>
  </si>
  <si>
    <t>Level 10 spec fitted</t>
  </si>
  <si>
    <t>Spec fitout complete. Full level 10</t>
  </si>
  <si>
    <t>TOTALS</t>
  </si>
  <si>
    <t xml:space="preserve">  AGENT INCENTIVE PROGRAMME  |  Current Conditions</t>
  </si>
  <si>
    <t>Condition: Executed lease + complying BG by required date. Introduction must be made on or after specified date. Not applicable to TRs.
3-5 year leases: $3,000 incentive (gift card)  |  5+ year leases: $6,000 incentive (gift card)
1 tandem car space offered with Levys only. Incentives between $15k-$30k.</t>
  </si>
  <si>
    <t>1 ELIZABETH PLAZA  —  RENTAL ANALYSIS  |  Deal Analyser Template</t>
  </si>
  <si>
    <t>Enter deal terms in the yellow input cells. All outputs calculate automatically. Use one copy per deal being analysed.</t>
  </si>
  <si>
    <t xml:space="preserve">  BUILDING &amp; SUITE OVERVIEW</t>
  </si>
  <si>
    <t xml:space="preserve">	Building Net Lettable Area</t>
  </si>
  <si>
    <t>sqm</t>
  </si>
  <si>
    <t xml:space="preserve">	Suite Proportional Share</t>
  </si>
  <si>
    <t>%</t>
  </si>
  <si>
    <t xml:space="preserve">  LEASE TERMS  —  Input Fields (Yellow)</t>
  </si>
  <si>
    <t xml:space="preserve">	Area</t>
  </si>
  <si>
    <t xml:space="preserve">	Lease Term Years</t>
  </si>
  <si>
    <t>#</t>
  </si>
  <si>
    <t xml:space="preserve">	Gross Rent (Face)</t>
  </si>
  <si>
    <t>$ / sqm</t>
  </si>
  <si>
    <t xml:space="preserve">	Gross Rent</t>
  </si>
  <si>
    <t>$ p.a.</t>
  </si>
  <si>
    <t xml:space="preserve">	Lease Value (Face)</t>
  </si>
  <si>
    <t>$</t>
  </si>
  <si>
    <t xml:space="preserve">  INCENTIVE TERMS</t>
  </si>
  <si>
    <t xml:space="preserve">	Rental Abatement %</t>
  </si>
  <si>
    <t xml:space="preserve">	Rental Abatement Value</t>
  </si>
  <si>
    <t xml:space="preserve">	Annual Abatement</t>
  </si>
  <si>
    <t xml:space="preserve">	Monthly Abatement</t>
  </si>
  <si>
    <t xml:space="preserve">	Rent Free (Months)</t>
  </si>
  <si>
    <t xml:space="preserve">	Rent Free Value</t>
  </si>
  <si>
    <t xml:space="preserve">	Landlord Contribution</t>
  </si>
  <si>
    <t xml:space="preserve">  OTHER COSTS &amp; INCOME</t>
  </si>
  <si>
    <t xml:space="preserve">	Rent Reviews</t>
  </si>
  <si>
    <t xml:space="preserve">	Cleaning</t>
  </si>
  <si>
    <t xml:space="preserve">	Total Cleaning PA</t>
  </si>
  <si>
    <t xml:space="preserve">	Tandem Car Spaces</t>
  </si>
  <si>
    <t xml:space="preserve">	Cost per Tandem Space</t>
  </si>
  <si>
    <t>$ / space</t>
  </si>
  <si>
    <t xml:space="preserve">	Total Carparking</t>
  </si>
  <si>
    <t xml:space="preserve">  ANNUAL CASH FLOW  (Years 1-5)</t>
  </si>
  <si>
    <t>Item</t>
  </si>
  <si>
    <t>Year 1</t>
  </si>
  <si>
    <t>Year 2</t>
  </si>
  <si>
    <t>Year 3</t>
  </si>
  <si>
    <t>Year 4</t>
  </si>
  <si>
    <t>Rental Income</t>
  </si>
  <si>
    <t>Cleaning</t>
  </si>
  <si>
    <t>Carparking</t>
  </si>
  <si>
    <t>Incentive (Abatement)</t>
  </si>
  <si>
    <t>NET TOTAL</t>
  </si>
  <si>
    <t xml:space="preserve">  BANK GUARANTEE</t>
  </si>
  <si>
    <t xml:space="preserve">	BG Months</t>
  </si>
  <si>
    <t xml:space="preserve">	Rent</t>
  </si>
  <si>
    <t xml:space="preserve">	Parking</t>
  </si>
  <si>
    <t xml:space="preserve">	Total BG (Ex GST)</t>
  </si>
  <si>
    <t xml:space="preserve">	GST</t>
  </si>
  <si>
    <t xml:space="preserve">	Total BG (Inc GST)</t>
  </si>
  <si>
    <t xml:space="preserve">  EFFECTIVE RENT ANALYSIS</t>
  </si>
  <si>
    <t xml:space="preserve">	Rent Year 1</t>
  </si>
  <si>
    <t xml:space="preserve">	Cleaning Year 1</t>
  </si>
  <si>
    <t xml:space="preserve">	Carparking Year 1</t>
  </si>
  <si>
    <t xml:space="preserve">	Abatement Year 1</t>
  </si>
  <si>
    <t xml:space="preserve">	Effective Rent Year 1</t>
  </si>
  <si>
    <t xml:space="preserve">	Eff. Rent Year 1 PSQM</t>
  </si>
  <si>
    <t xml:space="preserve">	Eff. Rent Monthly Year 1</t>
  </si>
  <si>
    <t xml:space="preserve">  TOTAL INCENTIVE SUMMARY</t>
  </si>
  <si>
    <t xml:space="preserve">	Total Abatement Value</t>
  </si>
  <si>
    <t xml:space="preserve">	Total Rent Free Value</t>
  </si>
  <si>
    <t xml:space="preserve">	TOTAL INCENTIVES</t>
  </si>
  <si>
    <t xml:space="preserve">	Total Incentive PSQM</t>
  </si>
  <si>
    <t xml:space="preserve">	Incentive % of Lease Value</t>
  </si>
  <si>
    <t xml:space="preserve">  LEGEND:  Yellow cells = user input  |  White/Blue cells = formula outputs  |  Green cells = key results  |  Do not edit non-yellow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</si>
</sst>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4" formatCode="_-&quot;$&quot;* #,##0.00_-;\-&quot;$&quot;* #,##0.00_-;_-&quot;$&quot;* &quot;-&quot;??_-;_-@_-"/>
    <numFmt numFmtId="164" formatCode="d/mm/yyyy"/>
    <numFmt numFmtId="165" formatCode="yyyy\-mm\-dd\ h:mm:ss"/>
    <numFmt numFmtId="166" formatCode="0.00&quot; yrs (WALE)&quot;"/>
    <numFmt numFmtId="167" formatCode="#,##0.0"/>
    <numFmt numFmtId="168" formatCode="0.0"/>
    <numFmt numFmtId="169" formatCode="\$#,##0"/>
    <numFmt numFmtId="170" formatCode="0.0%"/>
    <numFmt numFmtId="171" formatCode="\$#,##0.00"/>
    <numFmt numFmtId="172" formatCode="#,##0.0&quot; sqm&quot;"/>
    <numFmt numFmtId="173" formatCode="&quot;($&quot;#,##0\)"/>
    <numFmt numFmtId="174" formatCode="0.00&quot; yrs&quot;"/>
    <numFmt numFmtId="175" formatCode="0&quot; days&quot;"/>
    <numFmt numFmtId="176" formatCode="0.000%"/>
    <numFmt numFmtId="177" formatCode="0.00\x"/>
    <numFmt numFmtId="178" formatCode="\$#,##0&quot; (wtd avg passing)&quot;"/>
    <numFmt numFmtId="179" formatCode="\$#,##0&quot; (wtd avg market)&quot;"/>
    <numFmt numFmtId="180" formatCode="\$#,##0&quot; psm (avg)&quot;"/>
    <numFmt numFmtId="181" formatCode="0.00&quot; yrs (WALE NLA)&quot;"/>
    <numFmt numFmtId="182" formatCode="_-\$* #,##0.00_-;&quot;-$&quot;* #,##0.00_-;_-\$* \-??_-;_-@_-"/>
    <numFmt numFmtId="183" formatCode="\$#,##0;[Red]&quot;-$&quot;#,##0"/>
  </numFmts>
  <fonts count="34" x14ac:knownFonts="1">
    <font>
      <sz val="11"/>
      <color theme="1"/>
      <name val="Calibri"/>
      <family val="2"/>
      <charset val="1"/>
    </font>
    <font>
      <sz val="10"/>
      <name val="Arial"/>
    </font>
    <font>
      <sz val="14"/>
      <color rgb="FF6B5E52"/>
      <name val="Georgia"/>
      <family val="1"/>
      <charset val="1"/>
    </font>
    <font>
      <b/>
      <sz val="32"/>
      <color rgb="FF2C2925"/>
      <name val="Georgia"/>
      <family val="1"/>
      <charset val="1"/>
    </font>
    <font>
      <i/>
      <sz val="16"/>
      <color rgb="FF6B5E52"/>
      <name val="Georgia"/>
      <family val="1"/>
      <charset val="1"/>
    </font>
    <font>
      <sz val="11"/>
      <color rgb="FF6B5E52"/>
      <name val="Georgia"/>
      <family val="1"/>
      <charset val="1"/>
    </font>
    <font>
      <b/>
      <sz val="14"/>
      <color rgb="FFB5A494"/>
      <name val="Georgia"/>
      <family val="1"/>
      <charset val="1"/>
    </font>
    <font>
      <b/>
      <sz val="13"/>
      <color rgb="FFF5F0EA"/>
      <name val="Georgia"/>
      <family val="1"/>
      <charset val="1"/>
    </font>
    <font>
      <i/>
      <sz val="9"/>
      <color rgb="FF6B5E52"/>
      <name val="Georgia"/>
      <family val="1"/>
      <charset val="1"/>
    </font>
    <font>
      <sz val="11"/>
      <color rgb="FF2C2925"/>
      <name val="Georgia"/>
      <family val="1"/>
      <charset val="1"/>
    </font>
    <font>
      <b/>
      <sz val="10"/>
      <color rgb="FFF5F0EA"/>
      <name val="Georgia"/>
      <family val="1"/>
      <charset val="1"/>
    </font>
    <font>
      <b/>
      <sz val="10"/>
      <color rgb="FF2C2925"/>
      <name val="Georgia"/>
      <family val="1"/>
      <charset val="1"/>
    </font>
    <font>
      <sz val="10"/>
      <color rgb="FF2C2925"/>
      <name val="Georgia"/>
      <family val="1"/>
      <charset val="1"/>
    </font>
    <font>
      <sz val="9"/>
      <color rgb="FF2C2925"/>
      <name val="Georgia"/>
      <family val="1"/>
      <charset val="1"/>
    </font>
    <font>
      <b/>
      <sz val="8"/>
      <color rgb="FFF5F0EA"/>
      <name val="Georgia"/>
      <family val="1"/>
      <charset val="1"/>
    </font>
    <font>
      <b/>
      <sz val="9"/>
      <color rgb="FF2C2925"/>
      <name val="Georgia"/>
      <family val="1"/>
      <charset val="1"/>
    </font>
    <font>
      <sz val="7"/>
      <color rgb="FF2C2925"/>
      <name val="Georgia"/>
      <family val="1"/>
      <charset val="1"/>
    </font>
    <font>
      <b/>
      <sz val="15"/>
      <color rgb="FFF5F0EA"/>
      <name val="Georgia"/>
      <family val="1"/>
      <charset val="1"/>
    </font>
    <font>
      <i/>
      <sz val="10"/>
      <color rgb="FFF5F0EA"/>
      <name val="Georgia"/>
      <family val="1"/>
      <charset val="1"/>
    </font>
    <font>
      <b/>
      <sz val="9"/>
      <color rgb="FFF5F0EA"/>
      <name val="Georgia"/>
      <family val="1"/>
      <charset val="1"/>
    </font>
    <font>
      <sz val="11"/>
      <color rgb="FFF5F0EA"/>
      <name val="Georgia"/>
      <family val="1"/>
      <charset val="1"/>
    </font>
    <font>
      <b/>
      <sz val="12"/>
      <color rgb="FFF5F0EA"/>
      <name val="Georgia"/>
      <family val="1"/>
      <charset val="1"/>
    </font>
    <font>
      <b/>
      <sz val="11"/>
      <color rgb="FF2C2925"/>
      <name val="Georgia"/>
      <family val="1"/>
      <charset val="1"/>
    </font>
    <font>
      <sz val="9"/>
      <color rgb="FF6B5E52"/>
      <name val="Georgia"/>
      <family val="1"/>
      <charset val="1"/>
    </font>
    <font>
      <sz val="9"/>
      <color rgb="FF8A6E45"/>
      <name val="Georgia"/>
      <family val="1"/>
      <charset val="1"/>
    </font>
    <font>
      <b/>
      <sz val="11"/>
      <color rgb="FFF5F0EA"/>
      <name val="Georgia"/>
      <family val="1"/>
      <charset val="1"/>
    </font>
    <font>
      <i/>
      <sz val="8"/>
      <color rgb="FF2C2925"/>
      <name val="Georgia"/>
      <family val="1"/>
      <charset val="1"/>
    </font>
    <font>
      <i/>
      <sz val="9"/>
      <color rgb="FF2C2925"/>
      <name val="Georgia"/>
      <family val="1"/>
      <charset val="1"/>
    </font>
    <font>
      <b/>
      <sz val="12"/>
      <color rgb="FF2C2925"/>
      <name val="Georgia"/>
      <family val="1"/>
      <charset val="1"/>
    </font>
    <font>
      <sz val="8"/>
      <color rgb="FF6B5E52"/>
      <name val="Georgia"/>
      <family val="1"/>
      <charset val="1"/>
    </font>
    <font>
      <b/>
      <sz val="14"/>
      <color rgb="FFF5F0EA"/>
      <name val="Georgia"/>
      <family val="1"/>
      <charset val="1"/>
    </font>
    <font>
      <sz val="8"/>
      <color rgb="FFF5F0EA"/>
      <name val="Georgia"/>
      <family val="1"/>
      <charset val="1"/>
    </font>
    <font>
      <b/>
      <sz val="8"/>
      <color rgb="FF6B5E52"/>
      <name val="Georgia"/>
      <family val="1"/>
      <charset val="1"/>
    </font>
    <font>
      <i/>
      <sz val="8"/>
      <color rgb="FF6B5E52"/>
      <name val="Georgia"/>
      <family val="1"/>
      <charset val="1"/>
    </font>
  </fonts>
  <fills count="18">
    <fill>
      <patternFill patternType="none"/>
    </fill>
    <fill>
      <patternFill patternType="gray125"/>
    </fill>
    <fill>
      <patternFill patternType="solid">
        <fgColor rgb="FFF5F0EA"/>
        <bgColor rgb="FFEDE7DE"/>
      </patternFill>
    </fill>
    <fill>
      <patternFill patternType="solid">
        <fgColor rgb="FF2C2925"/>
        <bgColor rgb="FF333300"/>
      </patternFill>
    </fill>
    <fill>
      <patternFill patternType="solid">
        <fgColor rgb="FFDCD9D2"/>
        <bgColor rgb="FFDCD5C9"/>
      </patternFill>
    </fill>
    <fill>
      <patternFill patternType="solid">
        <fgColor rgb="FFEBDFC4"/>
        <bgColor rgb="FFDDE2D0"/>
      </patternFill>
    </fill>
    <fill>
      <patternFill patternType="solid">
        <fgColor rgb="FFEDE7DE"/>
        <bgColor rgb="FFF5F0EA"/>
      </patternFill>
    </fill>
    <fill>
      <patternFill patternType="solid">
        <fgColor rgb="FFDDE2D0"/>
        <bgColor rgb="FFDCD9D2"/>
      </patternFill>
    </fill>
    <fill>
      <patternFill patternType="solid">
        <fgColor rgb="FFE3D2CC"/>
        <bgColor rgb="FFDCD5C9"/>
      </patternFill>
    </fill>
    <fill>
      <patternFill patternType="solid">
        <fgColor rgb="FF5B6E7A"/>
        <bgColor rgb="FF4F7A6E"/>
      </patternFill>
    </fill>
    <fill>
      <patternFill patternType="solid">
        <fgColor rgb="FF5B6650"/>
        <bgColor rgb="FF6B5E52"/>
      </patternFill>
    </fill>
    <fill>
      <patternFill patternType="solid">
        <fgColor rgb="FF7A4F47"/>
        <bgColor rgb="FF6B5E52"/>
      </patternFill>
    </fill>
    <fill>
      <patternFill patternType="solid">
        <fgColor rgb="FF8A6E45"/>
        <bgColor rgb="FF6B5E52"/>
      </patternFill>
    </fill>
    <fill>
      <patternFill patternType="solid">
        <fgColor rgb="FF6B5E52"/>
        <bgColor rgb="FF5B6650"/>
      </patternFill>
    </fill>
    <fill>
      <patternFill patternType="solid">
        <fgColor rgb="FF6B5670"/>
        <bgColor rgb="FF6B5E52"/>
      </patternFill>
    </fill>
    <fill>
      <patternFill patternType="solid">
        <fgColor rgb="FFDCD5C9"/>
        <bgColor rgb="FFDCD9D2"/>
      </patternFill>
    </fill>
    <fill>
      <patternFill patternType="solid">
        <fgColor rgb="FF4F7A6E"/>
        <bgColor rgb="FF5B6E7A"/>
      </patternFill>
    </fill>
    <fill>
      <patternFill patternType="solid">
        <fgColor rgb="FF9C9486"/>
        <bgColor rgb="FFB5A494"/>
      </patternFill>
    </fill>
  </fills>
  <borders count="3">
    <border>
      <left/>
      <right/>
      <top/>
      <bottom/>
      <diagonal/>
    </border>
    <border>
      <left/>
      <right/>
      <top/>
      <bottom style="thin">
        <color rgb="FF6B5E52"/>
      </bottom>
      <diagonal/>
    </border>
    <border>
      <left/>
      <right/>
      <top/>
      <bottom style="thin">
        <color rgb="FFB5A494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345">
    <xf numFmtId="0" fontId="0" fillId="0" borderId="0" xfId="0"/>
    <xf numFmtId="0" fontId="4" fillId="2" borderId="0" xfId="0" applyFont="1" applyFill="1"/>
    <xf numFmtId="0" fontId="3" fillId="2" borderId="0" xfId="0" applyFont="1" applyFill="1" applyAlignment="1">
      <alignment horizontal="left" vertical="center" shrinkToFit="1"/>
    </xf>
    <xf numFmtId="0" fontId="13" fillId="6" borderId="2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164" fontId="12" fillId="5" borderId="2" xfId="0" applyNumberFormat="1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/>
    <xf numFmtId="0" fontId="6" fillId="2" borderId="0" xfId="0" applyFont="1" applyFill="1"/>
    <xf numFmtId="0" fontId="9" fillId="0" borderId="0" xfId="0" applyFont="1"/>
    <xf numFmtId="0" fontId="11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164" fontId="13" fillId="5" borderId="2" xfId="0" applyNumberFormat="1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left" vertical="center"/>
    </xf>
    <xf numFmtId="165" fontId="9" fillId="4" borderId="0" xfId="0" applyNumberFormat="1" applyFont="1" applyFill="1"/>
    <xf numFmtId="0" fontId="9" fillId="4" borderId="0" xfId="0" applyFont="1" applyFill="1"/>
    <xf numFmtId="10" fontId="9" fillId="4" borderId="0" xfId="0" applyNumberFormat="1" applyFont="1" applyFill="1"/>
    <xf numFmtId="166" fontId="9" fillId="4" borderId="0" xfId="0" applyNumberFormat="1" applyFont="1" applyFill="1"/>
    <xf numFmtId="0" fontId="9" fillId="2" borderId="0" xfId="0" applyFont="1" applyFill="1"/>
    <xf numFmtId="0" fontId="11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left" vertical="center"/>
    </xf>
    <xf numFmtId="167" fontId="13" fillId="4" borderId="2" xfId="0" applyNumberFormat="1" applyFont="1" applyFill="1" applyBorder="1" applyAlignment="1">
      <alignment horizontal="center" vertical="center"/>
    </xf>
    <xf numFmtId="164" fontId="13" fillId="4" borderId="2" xfId="0" applyNumberFormat="1" applyFont="1" applyFill="1" applyBorder="1" applyAlignment="1">
      <alignment horizontal="center" vertical="center"/>
    </xf>
    <xf numFmtId="168" fontId="13" fillId="4" borderId="2" xfId="0" applyNumberFormat="1" applyFont="1" applyFill="1" applyBorder="1" applyAlignment="1">
      <alignment horizontal="center" vertical="center"/>
    </xf>
    <xf numFmtId="169" fontId="13" fillId="4" borderId="2" xfId="0" applyNumberFormat="1" applyFont="1" applyFill="1" applyBorder="1" applyAlignment="1">
      <alignment horizontal="center" vertical="center"/>
    </xf>
    <xf numFmtId="2" fontId="13" fillId="4" borderId="2" xfId="0" applyNumberFormat="1" applyFont="1" applyFill="1" applyBorder="1" applyAlignment="1">
      <alignment horizontal="center" vertical="center"/>
    </xf>
    <xf numFmtId="170" fontId="13" fillId="4" borderId="2" xfId="0" applyNumberFormat="1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164" fontId="12" fillId="6" borderId="2" xfId="0" applyNumberFormat="1" applyFont="1" applyFill="1" applyBorder="1" applyAlignment="1">
      <alignment horizontal="center" vertical="center"/>
    </xf>
    <xf numFmtId="171" fontId="16" fillId="4" borderId="2" xfId="0" applyNumberFormat="1" applyFont="1" applyFill="1" applyBorder="1" applyAlignment="1">
      <alignment horizontal="center" vertical="center"/>
    </xf>
    <xf numFmtId="0" fontId="16" fillId="4" borderId="2" xfId="0" applyFont="1" applyFill="1" applyBorder="1"/>
    <xf numFmtId="0" fontId="13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center"/>
    </xf>
    <xf numFmtId="167" fontId="13" fillId="2" borderId="2" xfId="0" applyNumberFormat="1" applyFont="1" applyFill="1" applyBorder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8" fontId="13" fillId="2" borderId="2" xfId="0" applyNumberFormat="1" applyFont="1" applyFill="1" applyBorder="1" applyAlignment="1">
      <alignment horizontal="center" vertical="center"/>
    </xf>
    <xf numFmtId="169" fontId="13" fillId="2" borderId="2" xfId="0" applyNumberFormat="1" applyFont="1" applyFill="1" applyBorder="1" applyAlignment="1">
      <alignment horizontal="center" vertical="center"/>
    </xf>
    <xf numFmtId="2" fontId="13" fillId="2" borderId="2" xfId="0" applyNumberFormat="1" applyFont="1" applyFill="1" applyBorder="1" applyAlignment="1">
      <alignment horizontal="center" vertical="center"/>
    </xf>
    <xf numFmtId="170" fontId="13" fillId="2" borderId="2" xfId="0" applyNumberFormat="1" applyFont="1" applyFill="1" applyBorder="1" applyAlignment="1">
      <alignment horizontal="center" vertical="center"/>
    </xf>
    <xf numFmtId="164" fontId="12" fillId="2" borderId="2" xfId="0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left" vertical="center"/>
    </xf>
    <xf numFmtId="167" fontId="13" fillId="5" borderId="2" xfId="0" applyNumberFormat="1" applyFont="1" applyFill="1" applyBorder="1" applyAlignment="1">
      <alignment horizontal="center" vertical="center"/>
    </xf>
    <xf numFmtId="168" fontId="13" fillId="5" borderId="2" xfId="0" applyNumberFormat="1" applyFont="1" applyFill="1" applyBorder="1" applyAlignment="1">
      <alignment horizontal="center" vertical="center"/>
    </xf>
    <xf numFmtId="169" fontId="13" fillId="5" borderId="2" xfId="0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left" vertical="center"/>
    </xf>
    <xf numFmtId="2" fontId="13" fillId="5" borderId="2" xfId="0" applyNumberFormat="1" applyFont="1" applyFill="1" applyBorder="1" applyAlignment="1">
      <alignment horizontal="center" vertical="center"/>
    </xf>
    <xf numFmtId="170" fontId="13" fillId="5" borderId="2" xfId="0" applyNumberFormat="1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167" fontId="13" fillId="8" borderId="2" xfId="0" applyNumberFormat="1" applyFont="1" applyFill="1" applyBorder="1" applyAlignment="1">
      <alignment horizontal="center" vertical="center"/>
    </xf>
    <xf numFmtId="169" fontId="13" fillId="8" borderId="2" xfId="0" applyNumberFormat="1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2" fontId="13" fillId="8" borderId="2" xfId="0" applyNumberFormat="1" applyFont="1" applyFill="1" applyBorder="1" applyAlignment="1">
      <alignment horizontal="center" vertical="center"/>
    </xf>
    <xf numFmtId="170" fontId="13" fillId="8" borderId="2" xfId="0" applyNumberFormat="1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164" fontId="13" fillId="8" borderId="0" xfId="0" applyNumberFormat="1" applyFont="1" applyFill="1" applyAlignment="1">
      <alignment horizontal="center" vertical="center"/>
    </xf>
    <xf numFmtId="164" fontId="12" fillId="6" borderId="0" xfId="0" applyNumberFormat="1" applyFont="1" applyFill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14" fontId="12" fillId="2" borderId="2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67" fontId="10" fillId="3" borderId="1" xfId="0" applyNumberFormat="1" applyFont="1" applyFill="1" applyBorder="1" applyAlignment="1">
      <alignment horizontal="center" vertical="center"/>
    </xf>
    <xf numFmtId="169" fontId="10" fillId="3" borderId="1" xfId="0" applyNumberFormat="1" applyFont="1" applyFill="1" applyBorder="1" applyAlignment="1">
      <alignment horizontal="center" vertical="center"/>
    </xf>
    <xf numFmtId="166" fontId="10" fillId="3" borderId="1" xfId="0" applyNumberFormat="1" applyFont="1" applyFill="1" applyBorder="1" applyAlignment="1">
      <alignment horizontal="center" vertical="center"/>
    </xf>
    <xf numFmtId="0" fontId="15" fillId="4" borderId="2" xfId="0" applyFont="1" applyFill="1" applyBorder="1"/>
    <xf numFmtId="172" fontId="11" fillId="4" borderId="2" xfId="0" applyNumberFormat="1" applyFont="1" applyFill="1" applyBorder="1" applyAlignment="1">
      <alignment horizontal="center" vertical="center"/>
    </xf>
    <xf numFmtId="10" fontId="11" fillId="4" borderId="2" xfId="0" applyNumberFormat="1" applyFont="1" applyFill="1" applyBorder="1" applyAlignment="1">
      <alignment horizontal="center" vertical="center"/>
    </xf>
    <xf numFmtId="10" fontId="0" fillId="0" borderId="0" xfId="0" applyNumberFormat="1"/>
    <xf numFmtId="0" fontId="20" fillId="3" borderId="1" xfId="0" applyFont="1" applyFill="1" applyBorder="1"/>
    <xf numFmtId="0" fontId="9" fillId="8" borderId="0" xfId="0" applyFont="1" applyFill="1"/>
    <xf numFmtId="0" fontId="9" fillId="5" borderId="0" xfId="0" applyFont="1" applyFill="1"/>
    <xf numFmtId="174" fontId="22" fillId="4" borderId="2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174" fontId="22" fillId="6" borderId="2" xfId="0" applyNumberFormat="1" applyFont="1" applyFill="1" applyBorder="1" applyAlignment="1">
      <alignment horizontal="center" vertical="center"/>
    </xf>
    <xf numFmtId="170" fontId="12" fillId="8" borderId="2" xfId="0" applyNumberFormat="1" applyFont="1" applyFill="1" applyBorder="1" applyAlignment="1">
      <alignment horizontal="center" vertical="center"/>
    </xf>
    <xf numFmtId="167" fontId="12" fillId="8" borderId="2" xfId="0" applyNumberFormat="1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170" fontId="12" fillId="5" borderId="2" xfId="0" applyNumberFormat="1" applyFont="1" applyFill="1" applyBorder="1" applyAlignment="1">
      <alignment horizontal="center" vertical="center"/>
    </xf>
    <xf numFmtId="167" fontId="12" fillId="5" borderId="2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169" fontId="12" fillId="7" borderId="2" xfId="0" applyNumberFormat="1" applyFont="1" applyFill="1" applyBorder="1" applyAlignment="1">
      <alignment horizontal="center" vertical="center"/>
    </xf>
    <xf numFmtId="170" fontId="12" fillId="7" borderId="2" xfId="0" applyNumberFormat="1" applyFont="1" applyFill="1" applyBorder="1" applyAlignment="1">
      <alignment horizontal="center" vertical="center"/>
    </xf>
    <xf numFmtId="167" fontId="12" fillId="7" borderId="2" xfId="0" applyNumberFormat="1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170" fontId="12" fillId="4" borderId="2" xfId="0" applyNumberFormat="1" applyFont="1" applyFill="1" applyBorder="1" applyAlignment="1">
      <alignment horizontal="center" vertical="center"/>
    </xf>
    <xf numFmtId="167" fontId="12" fillId="4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170" fontId="10" fillId="3" borderId="1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/>
    </xf>
    <xf numFmtId="167" fontId="13" fillId="7" borderId="2" xfId="0" applyNumberFormat="1" applyFont="1" applyFill="1" applyBorder="1" applyAlignment="1">
      <alignment horizontal="center" vertical="center"/>
    </xf>
    <xf numFmtId="169" fontId="13" fillId="7" borderId="2" xfId="0" applyNumberFormat="1" applyFont="1" applyFill="1" applyBorder="1" applyAlignment="1">
      <alignment horizontal="center" vertical="center"/>
    </xf>
    <xf numFmtId="170" fontId="13" fillId="7" borderId="2" xfId="0" applyNumberFormat="1" applyFont="1" applyFill="1" applyBorder="1" applyAlignment="1">
      <alignment horizontal="center" vertical="center"/>
    </xf>
    <xf numFmtId="175" fontId="13" fillId="5" borderId="2" xfId="0" applyNumberFormat="1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164" fontId="13" fillId="6" borderId="2" xfId="0" applyNumberFormat="1" applyFont="1" applyFill="1" applyBorder="1" applyAlignment="1">
      <alignment horizontal="center" vertical="center"/>
    </xf>
    <xf numFmtId="175" fontId="13" fillId="6" borderId="2" xfId="0" applyNumberFormat="1" applyFont="1" applyFill="1" applyBorder="1" applyAlignment="1">
      <alignment horizontal="center" vertical="center"/>
    </xf>
    <xf numFmtId="175" fontId="13" fillId="4" borderId="2" xfId="0" applyNumberFormat="1" applyFont="1" applyFill="1" applyBorder="1" applyAlignment="1">
      <alignment horizontal="center" vertical="center"/>
    </xf>
    <xf numFmtId="164" fontId="13" fillId="8" borderId="2" xfId="0" applyNumberFormat="1" applyFont="1" applyFill="1" applyBorder="1" applyAlignment="1">
      <alignment horizontal="center" vertical="center"/>
    </xf>
    <xf numFmtId="175" fontId="13" fillId="8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/>
    <xf numFmtId="165" fontId="9" fillId="2" borderId="2" xfId="0" applyNumberFormat="1" applyFont="1" applyFill="1" applyBorder="1"/>
    <xf numFmtId="0" fontId="9" fillId="6" borderId="0" xfId="0" applyFont="1" applyFill="1"/>
    <xf numFmtId="0" fontId="19" fillId="3" borderId="1" xfId="0" applyFont="1" applyFill="1" applyBorder="1" applyAlignment="1">
      <alignment horizontal="center" vertical="center" wrapText="1"/>
    </xf>
    <xf numFmtId="172" fontId="10" fillId="3" borderId="1" xfId="0" applyNumberFormat="1" applyFont="1" applyFill="1" applyBorder="1" applyAlignment="1">
      <alignment horizontal="center" vertical="center"/>
    </xf>
    <xf numFmtId="169" fontId="11" fillId="7" borderId="2" xfId="0" applyNumberFormat="1" applyFont="1" applyFill="1" applyBorder="1" applyAlignment="1">
      <alignment horizontal="center" vertical="center"/>
    </xf>
    <xf numFmtId="170" fontId="11" fillId="4" borderId="2" xfId="0" applyNumberFormat="1" applyFont="1" applyFill="1" applyBorder="1" applyAlignment="1">
      <alignment horizontal="center" vertical="center"/>
    </xf>
    <xf numFmtId="164" fontId="12" fillId="7" borderId="2" xfId="0" applyNumberFormat="1" applyFont="1" applyFill="1" applyBorder="1" applyAlignment="1">
      <alignment horizontal="center" vertical="center"/>
    </xf>
    <xf numFmtId="10" fontId="12" fillId="7" borderId="2" xfId="0" applyNumberFormat="1" applyFont="1" applyFill="1" applyBorder="1" applyAlignment="1">
      <alignment horizontal="center" vertical="center"/>
    </xf>
    <xf numFmtId="169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10" fontId="12" fillId="2" borderId="0" xfId="0" applyNumberFormat="1" applyFont="1" applyFill="1" applyAlignment="1">
      <alignment horizontal="center" vertical="center"/>
    </xf>
    <xf numFmtId="10" fontId="12" fillId="6" borderId="0" xfId="0" applyNumberFormat="1" applyFont="1" applyFill="1" applyAlignment="1">
      <alignment horizontal="center" vertical="center"/>
    </xf>
    <xf numFmtId="169" fontId="12" fillId="6" borderId="0" xfId="0" applyNumberFormat="1" applyFont="1" applyFill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176" fontId="12" fillId="6" borderId="0" xfId="0" applyNumberFormat="1" applyFont="1" applyFill="1" applyAlignment="1">
      <alignment horizontal="center" vertical="center"/>
    </xf>
    <xf numFmtId="0" fontId="15" fillId="6" borderId="2" xfId="0" applyFont="1" applyFill="1" applyBorder="1" applyAlignment="1">
      <alignment horizontal="left" vertical="center"/>
    </xf>
    <xf numFmtId="176" fontId="12" fillId="2" borderId="0" xfId="0" applyNumberFormat="1" applyFont="1" applyFill="1" applyAlignment="1">
      <alignment horizontal="center" vertical="center"/>
    </xf>
    <xf numFmtId="170" fontId="12" fillId="6" borderId="0" xfId="0" applyNumberFormat="1" applyFont="1" applyFill="1" applyAlignment="1">
      <alignment horizontal="center" vertical="center"/>
    </xf>
    <xf numFmtId="177" fontId="12" fillId="2" borderId="0" xfId="0" applyNumberFormat="1" applyFont="1" applyFill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67" fontId="9" fillId="4" borderId="2" xfId="0" applyNumberFormat="1" applyFont="1" applyFill="1" applyBorder="1" applyAlignment="1">
      <alignment horizontal="center" vertical="center"/>
    </xf>
    <xf numFmtId="169" fontId="9" fillId="4" borderId="2" xfId="0" applyNumberFormat="1" applyFont="1" applyFill="1" applyBorder="1" applyAlignment="1">
      <alignment horizontal="center" vertical="center"/>
    </xf>
    <xf numFmtId="169" fontId="15" fillId="2" borderId="2" xfId="0" applyNumberFormat="1" applyFont="1" applyFill="1" applyBorder="1" applyAlignment="1">
      <alignment horizontal="center" vertical="center"/>
    </xf>
    <xf numFmtId="170" fontId="9" fillId="4" borderId="2" xfId="0" applyNumberFormat="1" applyFont="1" applyFill="1" applyBorder="1" applyAlignment="1">
      <alignment horizontal="center" vertical="center"/>
    </xf>
    <xf numFmtId="9" fontId="13" fillId="2" borderId="2" xfId="0" applyNumberFormat="1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9" fontId="9" fillId="6" borderId="2" xfId="0" applyNumberFormat="1" applyFont="1" applyFill="1" applyBorder="1" applyAlignment="1">
      <alignment horizontal="center" vertical="center"/>
    </xf>
    <xf numFmtId="169" fontId="15" fillId="6" borderId="2" xfId="0" applyNumberFormat="1" applyFont="1" applyFill="1" applyBorder="1" applyAlignment="1">
      <alignment horizontal="center" vertical="center"/>
    </xf>
    <xf numFmtId="170" fontId="9" fillId="6" borderId="2" xfId="0" applyNumberFormat="1" applyFont="1" applyFill="1" applyBorder="1" applyAlignment="1">
      <alignment horizontal="center" vertical="center"/>
    </xf>
    <xf numFmtId="9" fontId="13" fillId="6" borderId="2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167" fontId="9" fillId="2" borderId="2" xfId="0" applyNumberFormat="1" applyFont="1" applyFill="1" applyBorder="1" applyAlignment="1">
      <alignment horizontal="center" vertical="center"/>
    </xf>
    <xf numFmtId="169" fontId="9" fillId="2" borderId="2" xfId="0" applyNumberFormat="1" applyFont="1" applyFill="1" applyBorder="1" applyAlignment="1">
      <alignment horizontal="center" vertical="center"/>
    </xf>
    <xf numFmtId="170" fontId="9" fillId="2" borderId="2" xfId="0" applyNumberFormat="1" applyFont="1" applyFill="1" applyBorder="1" applyAlignment="1">
      <alignment horizontal="center" vertical="center"/>
    </xf>
    <xf numFmtId="178" fontId="19" fillId="3" borderId="1" xfId="0" applyNumberFormat="1" applyFont="1" applyFill="1" applyBorder="1" applyAlignment="1">
      <alignment horizontal="center" vertical="center"/>
    </xf>
    <xf numFmtId="179" fontId="19" fillId="3" borderId="1" xfId="0" applyNumberFormat="1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left" vertical="center"/>
    </xf>
    <xf numFmtId="164" fontId="13" fillId="7" borderId="2" xfId="0" applyNumberFormat="1" applyFont="1" applyFill="1" applyBorder="1" applyAlignment="1">
      <alignment horizontal="center" vertical="center"/>
    </xf>
    <xf numFmtId="168" fontId="13" fillId="7" borderId="2" xfId="0" applyNumberFormat="1" applyFont="1" applyFill="1" applyBorder="1" applyAlignment="1">
      <alignment horizontal="center" vertical="center"/>
    </xf>
    <xf numFmtId="2" fontId="13" fillId="7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/>
    <xf numFmtId="167" fontId="9" fillId="6" borderId="2" xfId="0" applyNumberFormat="1" applyFont="1" applyFill="1" applyBorder="1"/>
    <xf numFmtId="165" fontId="9" fillId="6" borderId="2" xfId="0" applyNumberFormat="1" applyFont="1" applyFill="1" applyBorder="1"/>
    <xf numFmtId="168" fontId="9" fillId="6" borderId="2" xfId="0" applyNumberFormat="1" applyFont="1" applyFill="1" applyBorder="1"/>
    <xf numFmtId="2" fontId="9" fillId="6" borderId="2" xfId="0" applyNumberFormat="1" applyFont="1" applyFill="1" applyBorder="1"/>
    <xf numFmtId="169" fontId="9" fillId="6" borderId="2" xfId="0" applyNumberFormat="1" applyFont="1" applyFill="1" applyBorder="1"/>
    <xf numFmtId="0" fontId="10" fillId="11" borderId="1" xfId="0" applyFont="1" applyFill="1" applyBorder="1" applyAlignment="1">
      <alignment horizontal="left" vertical="center"/>
    </xf>
    <xf numFmtId="167" fontId="9" fillId="0" borderId="0" xfId="0" applyNumberFormat="1" applyFont="1"/>
    <xf numFmtId="164" fontId="9" fillId="0" borderId="0" xfId="0" applyNumberFormat="1" applyFont="1"/>
    <xf numFmtId="2" fontId="9" fillId="0" borderId="0" xfId="0" applyNumberFormat="1" applyFont="1"/>
    <xf numFmtId="169" fontId="9" fillId="0" borderId="0" xfId="0" applyNumberFormat="1" applyFont="1"/>
    <xf numFmtId="164" fontId="9" fillId="8" borderId="0" xfId="0" applyNumberFormat="1" applyFont="1" applyFill="1"/>
    <xf numFmtId="2" fontId="9" fillId="8" borderId="0" xfId="0" applyNumberFormat="1" applyFont="1" applyFill="1"/>
    <xf numFmtId="169" fontId="9" fillId="8" borderId="0" xfId="0" applyNumberFormat="1" applyFont="1" applyFill="1"/>
    <xf numFmtId="168" fontId="9" fillId="0" borderId="0" xfId="0" applyNumberFormat="1" applyFont="1"/>
    <xf numFmtId="180" fontId="10" fillId="3" borderId="1" xfId="0" applyNumberFormat="1" applyFont="1" applyFill="1" applyBorder="1" applyAlignment="1">
      <alignment horizontal="center" vertical="center"/>
    </xf>
    <xf numFmtId="170" fontId="9" fillId="6" borderId="2" xfId="0" applyNumberFormat="1" applyFont="1" applyFill="1" applyBorder="1"/>
    <xf numFmtId="0" fontId="9" fillId="8" borderId="2" xfId="0" applyFont="1" applyFill="1" applyBorder="1"/>
    <xf numFmtId="0" fontId="13" fillId="0" borderId="2" xfId="0" applyFont="1" applyBorder="1" applyAlignment="1">
      <alignment horizontal="center" vertical="center"/>
    </xf>
    <xf numFmtId="0" fontId="0" fillId="0" borderId="2" xfId="0" applyBorder="1"/>
    <xf numFmtId="167" fontId="13" fillId="0" borderId="2" xfId="0" applyNumberFormat="1" applyFont="1" applyBorder="1" applyAlignment="1">
      <alignment horizontal="center" vertical="center"/>
    </xf>
    <xf numFmtId="170" fontId="9" fillId="0" borderId="0" xfId="0" applyNumberFormat="1" applyFont="1"/>
    <xf numFmtId="0" fontId="9" fillId="0" borderId="2" xfId="0" applyFont="1" applyBorder="1"/>
    <xf numFmtId="181" fontId="10" fillId="3" borderId="1" xfId="0" applyNumberFormat="1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left" vertical="center"/>
    </xf>
    <xf numFmtId="164" fontId="13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/>
    </xf>
    <xf numFmtId="169" fontId="13" fillId="5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top" wrapText="1"/>
    </xf>
    <xf numFmtId="164" fontId="13" fillId="4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 wrapText="1"/>
    </xf>
    <xf numFmtId="0" fontId="0" fillId="8" borderId="0" xfId="0" applyFill="1"/>
    <xf numFmtId="0" fontId="0" fillId="5" borderId="0" xfId="0" applyFill="1"/>
    <xf numFmtId="0" fontId="0" fillId="4" borderId="0" xfId="0" applyFill="1"/>
    <xf numFmtId="10" fontId="13" fillId="4" borderId="2" xfId="0" applyNumberFormat="1" applyFont="1" applyFill="1" applyBorder="1" applyAlignment="1">
      <alignment horizontal="center" vertical="center"/>
    </xf>
    <xf numFmtId="9" fontId="13" fillId="4" borderId="2" xfId="0" applyNumberFormat="1" applyFont="1" applyFill="1" applyBorder="1" applyAlignment="1">
      <alignment horizontal="center" vertical="center"/>
    </xf>
    <xf numFmtId="10" fontId="13" fillId="2" borderId="2" xfId="0" applyNumberFormat="1" applyFont="1" applyFill="1" applyBorder="1" applyAlignment="1">
      <alignment horizontal="center" vertical="center"/>
    </xf>
    <xf numFmtId="182" fontId="13" fillId="4" borderId="2" xfId="0" applyNumberFormat="1" applyFont="1" applyFill="1" applyBorder="1" applyAlignment="1">
      <alignment horizontal="center" vertical="center"/>
    </xf>
    <xf numFmtId="183" fontId="13" fillId="4" borderId="2" xfId="0" applyNumberFormat="1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167" fontId="13" fillId="4" borderId="0" xfId="0" applyNumberFormat="1" applyFont="1" applyFill="1" applyAlignment="1">
      <alignment horizontal="center" vertical="center"/>
    </xf>
    <xf numFmtId="169" fontId="13" fillId="4" borderId="0" xfId="0" applyNumberFormat="1" applyFont="1" applyFill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182" fontId="9" fillId="0" borderId="0" xfId="0" applyNumberFormat="1" applyFont="1"/>
    <xf numFmtId="0" fontId="13" fillId="6" borderId="2" xfId="0" applyFont="1" applyFill="1" applyBorder="1" applyAlignment="1">
      <alignment horizontal="center" vertical="center"/>
    </xf>
    <xf numFmtId="167" fontId="13" fillId="6" borderId="2" xfId="0" applyNumberFormat="1" applyFont="1" applyFill="1" applyBorder="1" applyAlignment="1">
      <alignment horizontal="center" vertical="center"/>
    </xf>
    <xf numFmtId="169" fontId="13" fillId="6" borderId="2" xfId="0" applyNumberFormat="1" applyFont="1" applyFill="1" applyBorder="1" applyAlignment="1">
      <alignment horizontal="center" vertical="center"/>
    </xf>
    <xf numFmtId="165" fontId="9" fillId="6" borderId="0" xfId="0" applyNumberFormat="1" applyFont="1" applyFill="1"/>
    <xf numFmtId="0" fontId="19" fillId="3" borderId="1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167" fontId="11" fillId="4" borderId="2" xfId="0" applyNumberFormat="1" applyFont="1" applyFill="1" applyBorder="1" applyAlignment="1">
      <alignment horizontal="right" vertical="center"/>
    </xf>
    <xf numFmtId="0" fontId="23" fillId="2" borderId="2" xfId="0" applyFont="1" applyFill="1" applyBorder="1" applyAlignment="1">
      <alignment horizontal="center" vertical="center"/>
    </xf>
    <xf numFmtId="10" fontId="11" fillId="5" borderId="2" xfId="0" applyNumberFormat="1" applyFont="1" applyFill="1" applyBorder="1" applyAlignment="1">
      <alignment horizontal="right" vertical="center"/>
    </xf>
    <xf numFmtId="167" fontId="12" fillId="5" borderId="2" xfId="0" applyNumberFormat="1" applyFont="1" applyFill="1" applyBorder="1" applyAlignment="1">
      <alignment horizontal="right" vertical="center"/>
    </xf>
    <xf numFmtId="1" fontId="12" fillId="5" borderId="2" xfId="0" applyNumberFormat="1" applyFont="1" applyFill="1" applyBorder="1" applyAlignment="1">
      <alignment horizontal="right" vertical="center"/>
    </xf>
    <xf numFmtId="169" fontId="12" fillId="5" borderId="2" xfId="0" applyNumberFormat="1" applyFont="1" applyFill="1" applyBorder="1" applyAlignment="1">
      <alignment horizontal="right" vertical="center"/>
    </xf>
    <xf numFmtId="169" fontId="12" fillId="2" borderId="2" xfId="0" applyNumberFormat="1" applyFont="1" applyFill="1" applyBorder="1" applyAlignment="1">
      <alignment horizontal="right" vertical="center"/>
    </xf>
    <xf numFmtId="169" fontId="12" fillId="4" borderId="2" xfId="0" applyNumberFormat="1" applyFont="1" applyFill="1" applyBorder="1" applyAlignment="1">
      <alignment horizontal="right" vertical="center"/>
    </xf>
    <xf numFmtId="9" fontId="12" fillId="5" borderId="2" xfId="0" applyNumberFormat="1" applyFont="1" applyFill="1" applyBorder="1" applyAlignment="1">
      <alignment horizontal="right" vertical="center"/>
    </xf>
    <xf numFmtId="0" fontId="23" fillId="6" borderId="2" xfId="0" applyFont="1" applyFill="1" applyBorder="1" applyAlignment="1">
      <alignment horizontal="center" vertical="center"/>
    </xf>
    <xf numFmtId="169" fontId="12" fillId="6" borderId="2" xfId="0" applyNumberFormat="1" applyFont="1" applyFill="1" applyBorder="1" applyAlignment="1">
      <alignment horizontal="right" vertical="center"/>
    </xf>
    <xf numFmtId="170" fontId="12" fillId="5" borderId="2" xfId="0" applyNumberFormat="1" applyFont="1" applyFill="1" applyBorder="1" applyAlignment="1">
      <alignment horizontal="right" vertical="center"/>
    </xf>
    <xf numFmtId="0" fontId="12" fillId="6" borderId="2" xfId="0" applyFont="1" applyFill="1" applyBorder="1" applyAlignment="1">
      <alignment horizontal="left" vertical="center"/>
    </xf>
    <xf numFmtId="169" fontId="10" fillId="3" borderId="1" xfId="0" applyNumberFormat="1" applyFont="1" applyFill="1" applyBorder="1" applyAlignment="1">
      <alignment horizontal="right" vertical="center"/>
    </xf>
    <xf numFmtId="169" fontId="11" fillId="7" borderId="2" xfId="0" applyNumberFormat="1" applyFont="1" applyFill="1" applyBorder="1" applyAlignment="1">
      <alignment horizontal="right" vertical="center"/>
    </xf>
    <xf numFmtId="170" fontId="11" fillId="7" borderId="2" xfId="0" applyNumberFormat="1" applyFont="1" applyFill="1" applyBorder="1" applyAlignment="1">
      <alignment horizontal="right" vertical="center"/>
    </xf>
    <xf numFmtId="0" fontId="5" fillId="2" borderId="0" xfId="0" applyFont="1" applyFill="1"/>
    <xf numFmtId="0" fontId="10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172" fontId="7" fillId="9" borderId="1" xfId="0" applyNumberFormat="1" applyFont="1" applyFill="1" applyBorder="1" applyAlignment="1">
      <alignment horizontal="center" vertical="center"/>
    </xf>
    <xf numFmtId="172" fontId="7" fillId="10" borderId="1" xfId="0" applyNumberFormat="1" applyFont="1" applyFill="1" applyBorder="1" applyAlignment="1">
      <alignment horizontal="center" vertical="center"/>
    </xf>
    <xf numFmtId="172" fontId="7" fillId="11" borderId="1" xfId="0" applyNumberFormat="1" applyFont="1" applyFill="1" applyBorder="1" applyAlignment="1">
      <alignment horizontal="center" vertical="center"/>
    </xf>
    <xf numFmtId="10" fontId="7" fillId="10" borderId="1" xfId="0" applyNumberFormat="1" applyFont="1" applyFill="1" applyBorder="1" applyAlignment="1">
      <alignment horizontal="center" vertical="center"/>
    </xf>
    <xf numFmtId="10" fontId="7" fillId="12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20" fillId="3" borderId="1" xfId="0" applyFont="1" applyFill="1" applyBorder="1"/>
    <xf numFmtId="0" fontId="9" fillId="7" borderId="0" xfId="0" applyFont="1" applyFill="1"/>
    <xf numFmtId="0" fontId="9" fillId="8" borderId="0" xfId="0" applyFont="1" applyFill="1"/>
    <xf numFmtId="0" fontId="9" fillId="5" borderId="0" xfId="0" applyFont="1" applyFill="1"/>
    <xf numFmtId="0" fontId="9" fillId="4" borderId="0" xfId="0" applyFont="1" applyFill="1"/>
    <xf numFmtId="169" fontId="21" fillId="13" borderId="1" xfId="0" applyNumberFormat="1" applyFont="1" applyFill="1" applyBorder="1" applyAlignment="1">
      <alignment horizontal="center" vertical="center"/>
    </xf>
    <xf numFmtId="169" fontId="21" fillId="9" borderId="1" xfId="0" applyNumberFormat="1" applyFont="1" applyFill="1" applyBorder="1" applyAlignment="1">
      <alignment horizontal="center" vertical="center"/>
    </xf>
    <xf numFmtId="173" fontId="21" fillId="11" borderId="1" xfId="0" applyNumberFormat="1" applyFont="1" applyFill="1" applyBorder="1" applyAlignment="1">
      <alignment horizontal="center" vertical="center"/>
    </xf>
    <xf numFmtId="174" fontId="21" fillId="13" borderId="1" xfId="0" applyNumberFormat="1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23" fillId="6" borderId="2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 vertical="center"/>
    </xf>
    <xf numFmtId="169" fontId="12" fillId="8" borderId="2" xfId="0" applyNumberFormat="1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center" vertical="center"/>
    </xf>
    <xf numFmtId="169" fontId="12" fillId="5" borderId="2" xfId="0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left" vertical="center" wrapText="1"/>
    </xf>
    <xf numFmtId="169" fontId="12" fillId="7" borderId="2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 wrapText="1"/>
    </xf>
    <xf numFmtId="169" fontId="12" fillId="4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/>
    </xf>
    <xf numFmtId="169" fontId="10" fillId="3" borderId="1" xfId="0" applyNumberFormat="1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left" vertical="center"/>
    </xf>
    <xf numFmtId="0" fontId="13" fillId="7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 wrapText="1"/>
    </xf>
    <xf numFmtId="167" fontId="12" fillId="4" borderId="2" xfId="0" applyNumberFormat="1" applyFont="1" applyFill="1" applyBorder="1" applyAlignment="1">
      <alignment horizontal="center" vertical="center"/>
    </xf>
    <xf numFmtId="170" fontId="12" fillId="4" borderId="0" xfId="0" applyNumberFormat="1" applyFont="1" applyFill="1" applyAlignment="1">
      <alignment horizontal="center" vertical="center"/>
    </xf>
    <xf numFmtId="172" fontId="10" fillId="3" borderId="1" xfId="0" applyNumberFormat="1" applyFont="1" applyFill="1" applyBorder="1" applyAlignment="1">
      <alignment horizontal="center" vertical="center"/>
    </xf>
    <xf numFmtId="170" fontId="10" fillId="3" borderId="1" xfId="0" applyNumberFormat="1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left" vertical="center"/>
    </xf>
    <xf numFmtId="0" fontId="15" fillId="4" borderId="2" xfId="0" applyFont="1" applyFill="1" applyBorder="1" applyAlignment="1">
      <alignment horizontal="left" vertical="center"/>
    </xf>
    <xf numFmtId="169" fontId="11" fillId="4" borderId="2" xfId="0" applyNumberFormat="1" applyFont="1" applyFill="1" applyBorder="1" applyAlignment="1">
      <alignment horizontal="center" vertical="center"/>
    </xf>
    <xf numFmtId="170" fontId="11" fillId="4" borderId="2" xfId="0" applyNumberFormat="1" applyFont="1" applyFill="1" applyBorder="1" applyAlignment="1">
      <alignment horizontal="center" vertical="center"/>
    </xf>
    <xf numFmtId="164" fontId="12" fillId="4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10" fontId="12" fillId="4" borderId="2" xfId="0" applyNumberFormat="1" applyFont="1" applyFill="1" applyBorder="1" applyAlignment="1">
      <alignment horizontal="center" vertical="center"/>
    </xf>
    <xf numFmtId="10" fontId="11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left" vertical="center"/>
    </xf>
    <xf numFmtId="0" fontId="27" fillId="4" borderId="2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left" vertical="center"/>
    </xf>
    <xf numFmtId="0" fontId="19" fillId="3" borderId="1" xfId="0" applyFont="1" applyFill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center" vertical="center"/>
    </xf>
    <xf numFmtId="169" fontId="12" fillId="2" borderId="0" xfId="0" applyNumberFormat="1" applyFont="1" applyFill="1" applyAlignment="1">
      <alignment horizontal="center" vertical="center"/>
    </xf>
    <xf numFmtId="164" fontId="12" fillId="6" borderId="0" xfId="0" applyNumberFormat="1" applyFont="1" applyFill="1" applyAlignment="1">
      <alignment horizontal="center" vertical="center"/>
    </xf>
    <xf numFmtId="176" fontId="12" fillId="2" borderId="0" xfId="0" applyNumberFormat="1" applyFont="1" applyFill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177" fontId="12" fillId="2" borderId="0" xfId="0" applyNumberFormat="1" applyFont="1" applyFill="1" applyAlignment="1">
      <alignment horizontal="center" vertical="center"/>
    </xf>
    <xf numFmtId="0" fontId="27" fillId="4" borderId="2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28" fillId="5" borderId="0" xfId="0" applyFont="1" applyFill="1" applyAlignment="1">
      <alignment horizontal="center" vertical="center"/>
    </xf>
    <xf numFmtId="169" fontId="28" fillId="5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left" vertical="top"/>
    </xf>
    <xf numFmtId="0" fontId="29" fillId="6" borderId="0" xfId="0" applyFont="1" applyFill="1" applyAlignment="1">
      <alignment horizontal="left" vertical="center"/>
    </xf>
    <xf numFmtId="0" fontId="30" fillId="3" borderId="1" xfId="0" applyFont="1" applyFill="1" applyBorder="1" applyAlignment="1">
      <alignment horizontal="center" vertical="center"/>
    </xf>
    <xf numFmtId="0" fontId="9" fillId="2" borderId="0" xfId="0" applyFont="1" applyFill="1"/>
    <xf numFmtId="0" fontId="10" fillId="3" borderId="0" xfId="0" applyFont="1" applyFill="1" applyAlignment="1">
      <alignment horizontal="center" vertical="center" wrapText="1"/>
    </xf>
    <xf numFmtId="167" fontId="11" fillId="4" borderId="0" xfId="0" applyNumberFormat="1" applyFont="1" applyFill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/>
    </xf>
    <xf numFmtId="0" fontId="31" fillId="14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 wrapText="1"/>
    </xf>
    <xf numFmtId="0" fontId="31" fillId="14" borderId="1" xfId="0" applyFont="1" applyFill="1" applyBorder="1" applyAlignment="1">
      <alignment horizontal="center" vertical="center" wrapText="1"/>
    </xf>
    <xf numFmtId="0" fontId="32" fillId="15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center" vertical="center"/>
    </xf>
    <xf numFmtId="0" fontId="31" fillId="16" borderId="1" xfId="0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 wrapText="1"/>
    </xf>
    <xf numFmtId="0" fontId="31" fillId="16" borderId="1" xfId="0" applyFont="1" applyFill="1" applyBorder="1" applyAlignment="1">
      <alignment horizontal="center" vertical="center" wrapText="1"/>
    </xf>
    <xf numFmtId="0" fontId="33" fillId="15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center"/>
    </xf>
    <xf numFmtId="0" fontId="28" fillId="5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  <xf numFmtId="44" fontId="1" fillId="0" borderId="0" xfId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5F0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B6650"/>
      <rgbColor rgb="FF800080"/>
      <rgbColor rgb="FF008080"/>
      <rgbColor rgb="FFDCD5C9"/>
      <rgbColor rgb="FF8A6E45"/>
      <rgbColor rgb="FF9999FF"/>
      <rgbColor rgb="FF7A4F47"/>
      <rgbColor rgb="FFEDE7DE"/>
      <rgbColor rgb="FFE3D2CC"/>
      <rgbColor rgb="FF660066"/>
      <rgbColor rgb="FFFF8080"/>
      <rgbColor rgb="FF0066CC"/>
      <rgbColor rgb="FFDCD9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2D0"/>
      <rgbColor rgb="FFFFFF99"/>
      <rgbColor rgb="FF99CCFF"/>
      <rgbColor rgb="FFFF99CC"/>
      <rgbColor rgb="FFB5A494"/>
      <rgbColor rgb="FFEBDFC4"/>
      <rgbColor rgb="FF3366FF"/>
      <rgbColor rgb="FF33CCCC"/>
      <rgbColor rgb="FF99CC00"/>
      <rgbColor rgb="FFFFCC00"/>
      <rgbColor rgb="FFFF9900"/>
      <rgbColor rgb="FFFF6600"/>
      <rgbColor rgb="FF5B6E7A"/>
      <rgbColor rgb="FF9C9486"/>
      <rgbColor rgb="FF003366"/>
      <rgbColor rgb="FF4F7A6E"/>
      <rgbColor rgb="FF003300"/>
      <rgbColor rgb="FF333300"/>
      <rgbColor rgb="FF6B5E52"/>
      <rgbColor rgb="FF6B5670"/>
      <rgbColor rgb="FF333399"/>
      <rgbColor rgb="FF2C292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showGridLines="0" zoomScaleNormal="100" workbookViewId="0"/>
  </sheetViews>
  <sheetFormatPr defaultColWidth="8.6328125" defaultRowHeight="14.5" x14ac:dyDescent="0.35"/>
  <cols>
    <col min="1" max="1" width="4" customWidth="1"/>
    <col min="2" max="8" width="14" customWidth="1"/>
    <col min="9" max="9" width="4" customWidth="1"/>
  </cols>
  <sheetData>
    <row r="1" spans="1:9" ht="14.25" customHeight="1" x14ac:dyDescent="0.35">
      <c r="A1" s="15"/>
      <c r="B1" s="15"/>
      <c r="C1" s="15"/>
      <c r="D1" s="15"/>
      <c r="E1" s="15"/>
      <c r="F1" s="15"/>
      <c r="G1" s="15"/>
      <c r="H1" s="15"/>
      <c r="I1" s="15"/>
    </row>
    <row r="2" spans="1:9" ht="14.25" customHeight="1" x14ac:dyDescent="0.35">
      <c r="A2" s="15"/>
      <c r="B2" s="15"/>
      <c r="C2" s="15"/>
      <c r="D2" s="15"/>
      <c r="E2" s="15"/>
      <c r="F2" s="15"/>
      <c r="G2" s="15"/>
      <c r="H2" s="15"/>
      <c r="I2" s="15"/>
    </row>
    <row r="3" spans="1:9" ht="17.25" customHeight="1" x14ac:dyDescent="0.35">
      <c r="A3" s="15"/>
      <c r="B3" s="16" t="s">
        <v>0</v>
      </c>
      <c r="C3" s="15"/>
      <c r="D3" s="15"/>
      <c r="E3" s="15"/>
      <c r="F3" s="15"/>
      <c r="G3" s="15"/>
      <c r="H3" s="15"/>
      <c r="I3" s="15"/>
    </row>
    <row r="4" spans="1:9" ht="14.25" customHeight="1" x14ac:dyDescent="0.35">
      <c r="A4" s="15"/>
      <c r="B4" s="15"/>
      <c r="C4" s="15"/>
      <c r="D4" s="15"/>
      <c r="E4" s="15"/>
      <c r="F4" s="15"/>
      <c r="G4" s="15"/>
      <c r="H4" s="15"/>
      <c r="I4" s="15"/>
    </row>
    <row r="5" spans="1:9" ht="14.25" customHeight="1" x14ac:dyDescent="0.35">
      <c r="A5" s="15"/>
      <c r="B5" s="15"/>
      <c r="C5" s="15"/>
      <c r="D5" s="15"/>
      <c r="E5" s="15"/>
      <c r="F5" s="15"/>
      <c r="G5" s="15"/>
      <c r="H5" s="15"/>
      <c r="I5" s="15"/>
    </row>
    <row r="6" spans="1:9" ht="14.25" customHeight="1" x14ac:dyDescent="0.35">
      <c r="A6" s="15"/>
      <c r="B6" s="15"/>
      <c r="C6" s="15"/>
      <c r="D6" s="15"/>
      <c r="E6" s="15"/>
      <c r="F6" s="15"/>
      <c r="G6" s="15"/>
      <c r="H6" s="15"/>
      <c r="I6" s="15"/>
    </row>
    <row r="7" spans="1:9" ht="14.25" customHeight="1" x14ac:dyDescent="0.35">
      <c r="A7" s="15"/>
      <c r="B7" s="15"/>
      <c r="C7" s="15"/>
      <c r="D7" s="15"/>
      <c r="E7" s="15"/>
      <c r="F7" s="15"/>
      <c r="G7" s="15"/>
      <c r="H7" s="15"/>
      <c r="I7" s="15"/>
    </row>
    <row r="8" spans="1:9" ht="14.25" customHeight="1" x14ac:dyDescent="0.35">
      <c r="A8" s="15"/>
      <c r="B8" s="15"/>
      <c r="C8" s="15"/>
      <c r="D8" s="15"/>
      <c r="E8" s="15"/>
      <c r="F8" s="15"/>
      <c r="G8" s="15"/>
      <c r="H8" s="15"/>
      <c r="I8" s="15"/>
    </row>
    <row r="9" spans="1:9" ht="14.25" customHeight="1" x14ac:dyDescent="0.35">
      <c r="A9" s="15"/>
      <c r="B9" s="2" t="s">
        <v>1</v>
      </c>
      <c r="C9" s="2"/>
      <c r="D9" s="2"/>
      <c r="E9" s="2"/>
      <c r="F9" s="2"/>
      <c r="G9" s="2"/>
      <c r="H9" s="2"/>
      <c r="I9" s="15"/>
    </row>
    <row r="10" spans="1:9" ht="14.25" customHeight="1" x14ac:dyDescent="0.35">
      <c r="A10" s="15"/>
      <c r="B10" s="2"/>
      <c r="C10" s="2"/>
      <c r="D10" s="2"/>
      <c r="E10" s="2"/>
      <c r="F10" s="2"/>
      <c r="G10" s="2"/>
      <c r="H10" s="2"/>
      <c r="I10" s="15"/>
    </row>
    <row r="11" spans="1:9" ht="14.25" customHeight="1" x14ac:dyDescent="0.35">
      <c r="A11" s="15"/>
      <c r="B11" s="2"/>
      <c r="C11" s="2"/>
      <c r="D11" s="2"/>
      <c r="E11" s="2"/>
      <c r="F11" s="2"/>
      <c r="G11" s="2"/>
      <c r="H11" s="2"/>
      <c r="I11" s="15"/>
    </row>
    <row r="12" spans="1:9" ht="14.25" customHeight="1" x14ac:dyDescent="0.35">
      <c r="A12" s="15"/>
      <c r="B12" s="2"/>
      <c r="C12" s="2"/>
      <c r="D12" s="2"/>
      <c r="E12" s="2"/>
      <c r="F12" s="2"/>
      <c r="G12" s="2"/>
      <c r="H12" s="2"/>
      <c r="I12" s="15"/>
    </row>
    <row r="13" spans="1:9" ht="14.25" customHeight="1" x14ac:dyDescent="0.35">
      <c r="A13" s="15"/>
      <c r="B13" s="2"/>
      <c r="C13" s="2"/>
      <c r="D13" s="2"/>
      <c r="E13" s="2"/>
      <c r="F13" s="2"/>
      <c r="G13" s="2"/>
      <c r="H13" s="2"/>
      <c r="I13" s="15"/>
    </row>
    <row r="14" spans="1:9" ht="14.25" customHeight="1" x14ac:dyDescent="0.35">
      <c r="A14" s="15"/>
      <c r="B14" s="2"/>
      <c r="C14" s="2"/>
      <c r="D14" s="2"/>
      <c r="E14" s="2"/>
      <c r="F14" s="2"/>
      <c r="G14" s="2"/>
      <c r="H14" s="2"/>
      <c r="I14" s="15"/>
    </row>
    <row r="15" spans="1:9" ht="14.25" customHeight="1" x14ac:dyDescent="0.35">
      <c r="A15" s="15"/>
      <c r="B15" s="15"/>
      <c r="C15" s="15"/>
      <c r="D15" s="15"/>
      <c r="E15" s="15"/>
      <c r="F15" s="15"/>
      <c r="G15" s="15"/>
      <c r="H15" s="15"/>
      <c r="I15" s="15"/>
    </row>
    <row r="16" spans="1:9" ht="19.5" customHeight="1" x14ac:dyDescent="0.4">
      <c r="A16" s="15"/>
      <c r="B16" s="1" t="s">
        <v>2</v>
      </c>
      <c r="C16" s="1"/>
      <c r="D16" s="1"/>
      <c r="E16" s="1"/>
      <c r="F16" s="1"/>
      <c r="G16" s="1"/>
      <c r="H16" s="1"/>
      <c r="I16" s="15"/>
    </row>
    <row r="17" spans="1:9" ht="14.25" customHeight="1" x14ac:dyDescent="0.35">
      <c r="A17" s="15"/>
      <c r="B17" s="15"/>
      <c r="C17" s="15"/>
      <c r="D17" s="15"/>
      <c r="E17" s="15"/>
      <c r="F17" s="15"/>
      <c r="G17" s="15"/>
      <c r="H17" s="15"/>
      <c r="I17" s="15"/>
    </row>
    <row r="18" spans="1:9" ht="14.25" customHeight="1" x14ac:dyDescent="0.35">
      <c r="A18" s="15"/>
      <c r="B18" s="232" t="s">
        <v>3</v>
      </c>
      <c r="C18" s="232"/>
      <c r="D18" s="232"/>
      <c r="E18" s="232"/>
      <c r="F18" s="232"/>
      <c r="G18" s="232"/>
      <c r="H18" s="232"/>
      <c r="I18" s="15"/>
    </row>
    <row r="19" spans="1:9" ht="14.25" customHeight="1" x14ac:dyDescent="0.35">
      <c r="A19" s="15"/>
      <c r="B19" s="15"/>
      <c r="C19" s="15"/>
      <c r="D19" s="15"/>
      <c r="E19" s="15"/>
      <c r="F19" s="15"/>
      <c r="G19" s="15"/>
      <c r="H19" s="15"/>
      <c r="I19" s="15"/>
    </row>
    <row r="20" spans="1:9" ht="14.25" customHeight="1" x14ac:dyDescent="0.35">
      <c r="A20" s="15"/>
      <c r="B20" s="15"/>
      <c r="C20" s="15"/>
      <c r="D20" s="15"/>
      <c r="E20" s="15"/>
      <c r="F20" s="15"/>
      <c r="G20" s="15"/>
      <c r="H20" s="15"/>
      <c r="I20" s="15"/>
    </row>
    <row r="21" spans="1:9" ht="14.25" customHeight="1" x14ac:dyDescent="0.35">
      <c r="A21" s="15"/>
      <c r="B21" s="15"/>
      <c r="C21" s="15"/>
      <c r="D21" s="15"/>
      <c r="E21" s="15"/>
      <c r="F21" s="15"/>
      <c r="G21" s="15"/>
      <c r="H21" s="15"/>
      <c r="I21" s="15"/>
    </row>
    <row r="22" spans="1:9" ht="14.25" customHeight="1" x14ac:dyDescent="0.35">
      <c r="A22" s="15"/>
      <c r="B22" s="15"/>
      <c r="C22" s="15"/>
      <c r="D22" s="15"/>
      <c r="E22" s="15"/>
      <c r="F22" s="15"/>
      <c r="G22" s="15"/>
      <c r="H22" s="15"/>
      <c r="I22" s="15"/>
    </row>
    <row r="23" spans="1:9" ht="14.25" customHeight="1" x14ac:dyDescent="0.35">
      <c r="A23" s="15"/>
      <c r="B23" s="15"/>
      <c r="C23" s="15"/>
      <c r="D23" s="15"/>
      <c r="E23" s="15"/>
      <c r="F23" s="15"/>
      <c r="G23" s="15"/>
      <c r="H23" s="15"/>
      <c r="I23" s="15"/>
    </row>
    <row r="24" spans="1:9" ht="14.25" customHeight="1" x14ac:dyDescent="0.35">
      <c r="A24" s="15"/>
      <c r="B24" s="15"/>
      <c r="C24" s="15"/>
      <c r="D24" s="15"/>
      <c r="E24" s="15"/>
      <c r="F24" s="15"/>
      <c r="G24" s="15"/>
      <c r="H24" s="15"/>
      <c r="I24" s="15"/>
    </row>
    <row r="25" spans="1:9" ht="14.25" customHeight="1" x14ac:dyDescent="0.35">
      <c r="A25" s="15"/>
      <c r="B25" s="15"/>
      <c r="C25" s="15"/>
      <c r="D25" s="15"/>
      <c r="E25" s="15"/>
      <c r="F25" s="15"/>
      <c r="G25" s="15"/>
      <c r="H25" s="15"/>
      <c r="I25" s="15"/>
    </row>
    <row r="26" spans="1:9" ht="14.25" customHeight="1" x14ac:dyDescent="0.35">
      <c r="A26" s="15"/>
      <c r="B26" s="15"/>
      <c r="C26" s="15"/>
      <c r="D26" s="15"/>
      <c r="E26" s="15"/>
      <c r="F26" s="15"/>
      <c r="G26" s="15"/>
      <c r="H26" s="15"/>
      <c r="I26" s="15"/>
    </row>
    <row r="27" spans="1:9" ht="17.25" customHeight="1" x14ac:dyDescent="0.35">
      <c r="A27" s="15"/>
      <c r="B27" s="17" t="s">
        <v>4</v>
      </c>
      <c r="C27" s="232" t="s">
        <v>5</v>
      </c>
      <c r="D27" s="232"/>
      <c r="E27" s="232"/>
      <c r="F27" s="232"/>
      <c r="G27" s="232"/>
      <c r="H27" s="232"/>
      <c r="I27" s="15"/>
    </row>
    <row r="28" spans="1:9" ht="14.25" customHeight="1" x14ac:dyDescent="0.35">
      <c r="A28" s="15"/>
      <c r="B28" s="15"/>
      <c r="C28" s="15"/>
      <c r="D28" s="15"/>
      <c r="E28" s="15"/>
      <c r="F28" s="15"/>
      <c r="G28" s="15"/>
      <c r="H28" s="15"/>
      <c r="I28" s="15"/>
    </row>
    <row r="29" spans="1:9" ht="14.25" customHeight="1" x14ac:dyDescent="0.35">
      <c r="A29" s="15"/>
      <c r="B29" s="15"/>
      <c r="C29" s="15"/>
      <c r="D29" s="15"/>
      <c r="E29" s="15"/>
      <c r="F29" s="15"/>
      <c r="G29" s="15"/>
      <c r="H29" s="15"/>
      <c r="I29" s="15"/>
    </row>
    <row r="30" spans="1:9" ht="14.25" customHeight="1" x14ac:dyDescent="0.35">
      <c r="A30" s="15"/>
      <c r="B30" s="15"/>
      <c r="C30" s="15"/>
      <c r="D30" s="15"/>
      <c r="E30" s="15"/>
      <c r="F30" s="15"/>
      <c r="G30" s="15"/>
      <c r="H30" s="15"/>
      <c r="I30" s="15"/>
    </row>
  </sheetData>
  <mergeCells count="4">
    <mergeCell ref="B9:H14"/>
    <mergeCell ref="B16:H16"/>
    <mergeCell ref="B18:H18"/>
    <mergeCell ref="C27:H27"/>
  </mergeCells>
  <pageMargins left="0.75" right="0.75" top="1" bottom="1" header="0.5" footer="0.5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showGridLines="0" tabSelected="1" zoomScaleNormal="100" workbookViewId="0">
      <selection activeCell="D21" sqref="D21"/>
    </sheetView>
  </sheetViews>
  <sheetFormatPr defaultColWidth="8.6328125" defaultRowHeight="14.5" x14ac:dyDescent="0.35"/>
  <cols>
    <col min="1" max="1" width="1.453125" customWidth="1"/>
    <col min="2" max="2" width="16" customWidth="1"/>
    <col min="3" max="4" width="20" customWidth="1"/>
    <col min="5" max="6" width="14" customWidth="1"/>
    <col min="7" max="7" width="50" customWidth="1"/>
    <col min="8" max="8" width="1.453125" customWidth="1"/>
  </cols>
  <sheetData>
    <row r="1" spans="1:8" ht="30" customHeight="1" x14ac:dyDescent="0.35">
      <c r="A1" s="14" t="s">
        <v>6</v>
      </c>
      <c r="B1" s="14"/>
      <c r="C1" s="14"/>
      <c r="D1" s="14"/>
      <c r="E1" s="14"/>
      <c r="F1" s="14"/>
      <c r="G1" s="14"/>
      <c r="H1" s="14"/>
    </row>
    <row r="2" spans="1:8" ht="15.75" customHeight="1" x14ac:dyDescent="0.35">
      <c r="A2" s="13" t="s">
        <v>7</v>
      </c>
      <c r="B2" s="13"/>
      <c r="C2" s="13"/>
      <c r="D2" s="13"/>
      <c r="E2" s="13"/>
      <c r="F2" s="13"/>
      <c r="G2" s="13"/>
      <c r="H2" s="13"/>
    </row>
    <row r="3" spans="1:8" ht="7.5" customHeight="1" x14ac:dyDescent="0.35">
      <c r="A3" s="18"/>
      <c r="B3" s="18"/>
      <c r="C3" s="18"/>
      <c r="D3" s="18"/>
      <c r="E3" s="18"/>
      <c r="F3" s="18"/>
      <c r="G3" s="18"/>
      <c r="H3" s="18"/>
    </row>
    <row r="4" spans="1:8" ht="19.5" customHeight="1" x14ac:dyDescent="0.35">
      <c r="A4" s="18"/>
      <c r="B4" s="12" t="s">
        <v>8</v>
      </c>
      <c r="C4" s="12"/>
      <c r="D4" s="12"/>
      <c r="E4" s="12"/>
      <c r="F4" s="12"/>
      <c r="G4" s="12"/>
      <c r="H4" s="18"/>
    </row>
    <row r="5" spans="1:8" ht="18" customHeight="1" x14ac:dyDescent="0.35">
      <c r="A5" s="18"/>
      <c r="B5" s="11" t="s">
        <v>9</v>
      </c>
      <c r="C5" s="11"/>
      <c r="D5" s="10" t="s">
        <v>10</v>
      </c>
      <c r="E5" s="10"/>
      <c r="F5" s="10"/>
      <c r="G5" s="10"/>
      <c r="H5" s="18"/>
    </row>
    <row r="6" spans="1:8" ht="18" customHeight="1" x14ac:dyDescent="0.35">
      <c r="A6" s="18"/>
      <c r="B6" s="9" t="s">
        <v>11</v>
      </c>
      <c r="C6" s="9"/>
      <c r="D6" s="8">
        <v>46295</v>
      </c>
      <c r="E6" s="8"/>
      <c r="F6" s="8"/>
      <c r="G6" s="8"/>
      <c r="H6" s="18"/>
    </row>
    <row r="7" spans="1:8" ht="18" customHeight="1" x14ac:dyDescent="0.35">
      <c r="A7" s="18"/>
      <c r="B7" s="11" t="s">
        <v>12</v>
      </c>
      <c r="C7" s="11"/>
      <c r="D7" s="10">
        <v>8940.9</v>
      </c>
      <c r="E7" s="10"/>
      <c r="F7" s="10"/>
      <c r="G7" s="10"/>
      <c r="H7" s="18"/>
    </row>
    <row r="8" spans="1:8" ht="18" customHeight="1" x14ac:dyDescent="0.35">
      <c r="A8" s="18"/>
      <c r="B8" s="9" t="s">
        <v>13</v>
      </c>
      <c r="C8" s="9"/>
      <c r="D8" s="7">
        <f>'Input Data'!B53</f>
        <v>0</v>
      </c>
      <c r="E8" s="7"/>
      <c r="F8" s="7"/>
      <c r="G8" s="7"/>
      <c r="H8" s="18"/>
    </row>
    <row r="9" spans="1:8" ht="18" customHeight="1" x14ac:dyDescent="0.35">
      <c r="A9" s="18"/>
      <c r="B9" s="11" t="s">
        <v>14</v>
      </c>
      <c r="C9" s="11"/>
      <c r="D9" s="10">
        <f>'Input Data'!B54</f>
        <v>0</v>
      </c>
      <c r="E9" s="10"/>
      <c r="F9" s="10"/>
      <c r="G9" s="10"/>
      <c r="H9" s="18"/>
    </row>
    <row r="10" spans="1:8" ht="18" customHeight="1" x14ac:dyDescent="0.35">
      <c r="A10" s="18"/>
      <c r="B10" s="9" t="s">
        <v>15</v>
      </c>
      <c r="C10" s="9"/>
      <c r="D10" s="7">
        <f>'Input Data'!V53</f>
        <v>0</v>
      </c>
      <c r="E10" s="7"/>
      <c r="F10" s="7"/>
      <c r="G10" s="7"/>
      <c r="H10" s="18"/>
    </row>
    <row r="11" spans="1:8" ht="18" customHeight="1" x14ac:dyDescent="0.35">
      <c r="A11" s="18"/>
      <c r="B11" s="11" t="s">
        <v>16</v>
      </c>
      <c r="C11" s="11"/>
      <c r="D11" s="10">
        <f>'Input Data'!K53</f>
        <v>0</v>
      </c>
      <c r="E11" s="10"/>
      <c r="F11" s="10"/>
      <c r="G11" s="10"/>
      <c r="H11" s="18"/>
    </row>
    <row r="12" spans="1:8" ht="18" customHeight="1" x14ac:dyDescent="0.35">
      <c r="A12" s="18"/>
      <c r="B12" s="9" t="s">
        <v>17</v>
      </c>
      <c r="C12" s="9"/>
      <c r="D12" s="7" t="s">
        <v>18</v>
      </c>
      <c r="E12" s="7"/>
      <c r="F12" s="7"/>
      <c r="G12" s="7"/>
      <c r="H12" s="18"/>
    </row>
    <row r="13" spans="1:8" ht="18" customHeight="1" x14ac:dyDescent="0.35">
      <c r="A13" s="18"/>
      <c r="B13" s="11" t="s">
        <v>19</v>
      </c>
      <c r="C13" s="11"/>
      <c r="D13" s="10" t="s">
        <v>20</v>
      </c>
      <c r="E13" s="10"/>
      <c r="F13" s="10"/>
      <c r="G13" s="10"/>
      <c r="H13" s="18"/>
    </row>
    <row r="14" spans="1:8" ht="18" customHeight="1" x14ac:dyDescent="0.35">
      <c r="A14" s="18"/>
      <c r="B14" s="9" t="s">
        <v>21</v>
      </c>
      <c r="C14" s="9"/>
      <c r="D14" s="6"/>
      <c r="E14" s="6"/>
      <c r="F14" s="6"/>
      <c r="G14" s="6"/>
      <c r="H14" s="18"/>
    </row>
    <row r="15" spans="1:8" ht="18" customHeight="1" x14ac:dyDescent="0.35">
      <c r="A15" s="18"/>
      <c r="B15" s="11" t="s">
        <v>22</v>
      </c>
      <c r="C15" s="11"/>
      <c r="D15" s="6"/>
      <c r="E15" s="6"/>
      <c r="F15" s="6"/>
      <c r="G15" s="6"/>
      <c r="H15" s="18"/>
    </row>
    <row r="16" spans="1:8" ht="18" customHeight="1" x14ac:dyDescent="0.35">
      <c r="A16" s="18"/>
      <c r="B16" s="9" t="s">
        <v>23</v>
      </c>
      <c r="C16" s="9"/>
      <c r="D16" s="5"/>
      <c r="E16" s="5"/>
      <c r="F16" s="5"/>
      <c r="G16" s="5"/>
      <c r="H16" s="18"/>
    </row>
    <row r="17" spans="1:8" ht="7.5" customHeight="1" x14ac:dyDescent="0.35">
      <c r="A17" s="18"/>
      <c r="B17" s="18"/>
      <c r="C17" s="18"/>
      <c r="D17" s="18"/>
      <c r="E17" s="18"/>
      <c r="F17" s="18"/>
      <c r="G17" s="18"/>
      <c r="H17" s="18"/>
    </row>
    <row r="18" spans="1:8" ht="19.5" customHeight="1" x14ac:dyDescent="0.35">
      <c r="A18" s="18"/>
      <c r="B18" s="12" t="s">
        <v>24</v>
      </c>
      <c r="C18" s="12"/>
      <c r="D18" s="12"/>
      <c r="E18" s="12"/>
      <c r="F18" s="12"/>
      <c r="G18" s="12"/>
      <c r="H18" s="18"/>
    </row>
    <row r="19" spans="1:8" ht="24" customHeight="1" x14ac:dyDescent="0.35">
      <c r="A19" s="18"/>
      <c r="B19" s="23" t="s">
        <v>25</v>
      </c>
      <c r="C19" s="23" t="s">
        <v>26</v>
      </c>
      <c r="D19" s="23" t="s">
        <v>27</v>
      </c>
      <c r="E19" s="23" t="s">
        <v>28</v>
      </c>
      <c r="F19" s="23" t="s">
        <v>29</v>
      </c>
      <c r="G19" s="23" t="s">
        <v>30</v>
      </c>
      <c r="H19" s="18"/>
    </row>
    <row r="20" spans="1:8" ht="18" customHeight="1" x14ac:dyDescent="0.35">
      <c r="A20" s="18"/>
      <c r="B20" s="24">
        <v>46142</v>
      </c>
      <c r="C20" s="25"/>
      <c r="D20" s="26" t="s">
        <v>31</v>
      </c>
      <c r="E20" s="26" t="s">
        <v>32</v>
      </c>
      <c r="F20" s="26" t="s">
        <v>33</v>
      </c>
      <c r="G20" s="27" t="s">
        <v>34</v>
      </c>
      <c r="H20" s="18"/>
    </row>
    <row r="21" spans="1:8" ht="18" customHeight="1" x14ac:dyDescent="0.35">
      <c r="A21" s="18"/>
      <c r="B21" s="28">
        <v>46296</v>
      </c>
      <c r="C21" s="29" t="s">
        <v>35</v>
      </c>
      <c r="D21" s="29" t="s">
        <v>36</v>
      </c>
      <c r="E21" s="30">
        <f>'Input Data'!K26</f>
        <v>0.91197754141081988</v>
      </c>
      <c r="F21" s="31">
        <f ca="1">'Input Data'!V25</f>
        <v>5.9575633127994525</v>
      </c>
      <c r="G21" s="29" t="s">
        <v>37</v>
      </c>
      <c r="H21" s="18"/>
    </row>
    <row r="22" spans="1:8" ht="18" customHeight="1" x14ac:dyDescent="0.35">
      <c r="A22" s="18"/>
      <c r="B22" s="32"/>
      <c r="C22" s="32"/>
      <c r="D22" s="32"/>
      <c r="E22" s="32"/>
      <c r="F22" s="32"/>
      <c r="G22" s="32"/>
      <c r="H22" s="18"/>
    </row>
    <row r="23" spans="1:8" ht="18" customHeight="1" x14ac:dyDescent="0.35">
      <c r="A23" s="18"/>
      <c r="B23" s="29"/>
      <c r="C23" s="29"/>
      <c r="D23" s="29"/>
      <c r="E23" s="29"/>
      <c r="F23" s="29"/>
      <c r="G23" s="29"/>
      <c r="H23" s="18"/>
    </row>
    <row r="24" spans="1:8" ht="18" customHeight="1" x14ac:dyDescent="0.35">
      <c r="A24" s="18"/>
      <c r="B24" s="32"/>
      <c r="C24" s="32"/>
      <c r="D24" s="32"/>
      <c r="E24" s="32"/>
      <c r="F24" s="32"/>
      <c r="G24" s="32"/>
      <c r="H24" s="18"/>
    </row>
    <row r="25" spans="1:8" ht="18" customHeight="1" x14ac:dyDescent="0.35">
      <c r="A25" s="18"/>
      <c r="B25" s="29"/>
      <c r="C25" s="29"/>
      <c r="D25" s="29"/>
      <c r="E25" s="29"/>
      <c r="F25" s="29"/>
      <c r="G25" s="29"/>
      <c r="H25" s="18"/>
    </row>
    <row r="26" spans="1:8" ht="18" customHeight="1" x14ac:dyDescent="0.35">
      <c r="A26" s="18"/>
      <c r="B26" s="32"/>
      <c r="C26" s="32"/>
      <c r="D26" s="32"/>
      <c r="E26" s="32"/>
      <c r="F26" s="32"/>
      <c r="G26" s="32"/>
      <c r="H26" s="18"/>
    </row>
    <row r="27" spans="1:8" ht="18" customHeight="1" x14ac:dyDescent="0.35">
      <c r="A27" s="18"/>
      <c r="B27" s="29"/>
      <c r="C27" s="29"/>
      <c r="D27" s="29"/>
      <c r="E27" s="29"/>
      <c r="F27" s="29"/>
      <c r="G27" s="29"/>
      <c r="H27" s="18"/>
    </row>
    <row r="28" spans="1:8" ht="18" customHeight="1" x14ac:dyDescent="0.35">
      <c r="A28" s="18"/>
      <c r="B28" s="32"/>
      <c r="C28" s="32"/>
      <c r="D28" s="32"/>
      <c r="E28" s="32"/>
      <c r="F28" s="32"/>
      <c r="G28" s="32"/>
      <c r="H28" s="18"/>
    </row>
    <row r="29" spans="1:8" ht="18" customHeight="1" x14ac:dyDescent="0.35">
      <c r="A29" s="18"/>
      <c r="B29" s="29"/>
      <c r="C29" s="29"/>
      <c r="D29" s="29"/>
      <c r="E29" s="29"/>
      <c r="F29" s="29"/>
      <c r="G29" s="29"/>
      <c r="H29" s="18"/>
    </row>
    <row r="30" spans="1:8" ht="18" customHeight="1" x14ac:dyDescent="0.35">
      <c r="A30" s="18"/>
      <c r="B30" s="32"/>
      <c r="C30" s="32"/>
      <c r="D30" s="32"/>
      <c r="E30" s="32"/>
      <c r="F30" s="32"/>
      <c r="G30" s="32"/>
      <c r="H30" s="18"/>
    </row>
    <row r="31" spans="1:8" ht="18" customHeight="1" x14ac:dyDescent="0.35">
      <c r="A31" s="18"/>
      <c r="B31" s="29"/>
      <c r="C31" s="29"/>
      <c r="D31" s="29"/>
      <c r="E31" s="29"/>
      <c r="F31" s="29"/>
      <c r="G31" s="29"/>
      <c r="H31" s="18"/>
    </row>
    <row r="32" spans="1:8" ht="18" customHeight="1" x14ac:dyDescent="0.35">
      <c r="A32" s="18"/>
      <c r="B32" s="32"/>
      <c r="C32" s="32"/>
      <c r="D32" s="32"/>
      <c r="E32" s="32"/>
      <c r="F32" s="32"/>
      <c r="G32" s="32"/>
      <c r="H32" s="18"/>
    </row>
    <row r="33" spans="1:8" ht="18" customHeight="1" x14ac:dyDescent="0.35">
      <c r="A33" s="18"/>
      <c r="B33" s="29"/>
      <c r="C33" s="29"/>
      <c r="D33" s="29"/>
      <c r="E33" s="29"/>
      <c r="F33" s="29"/>
      <c r="G33" s="29"/>
      <c r="H33" s="18"/>
    </row>
    <row r="34" spans="1:8" ht="18" customHeight="1" x14ac:dyDescent="0.35">
      <c r="A34" s="18"/>
      <c r="B34" s="32"/>
      <c r="C34" s="32"/>
      <c r="D34" s="32"/>
      <c r="E34" s="32"/>
      <c r="F34" s="32"/>
      <c r="G34" s="32"/>
      <c r="H34" s="18"/>
    </row>
    <row r="35" spans="1:8" ht="18" customHeight="1" x14ac:dyDescent="0.35">
      <c r="A35" s="18"/>
      <c r="B35" s="29"/>
      <c r="C35" s="29"/>
      <c r="D35" s="29"/>
      <c r="E35" s="29"/>
      <c r="F35" s="29"/>
      <c r="G35" s="29"/>
      <c r="H35" s="18"/>
    </row>
    <row r="36" spans="1:8" ht="18" customHeight="1" x14ac:dyDescent="0.35">
      <c r="A36" s="18"/>
      <c r="B36" s="32"/>
      <c r="C36" s="32"/>
      <c r="D36" s="32"/>
      <c r="E36" s="32"/>
      <c r="F36" s="32"/>
      <c r="G36" s="32"/>
      <c r="H36" s="18"/>
    </row>
    <row r="37" spans="1:8" ht="18" customHeight="1" x14ac:dyDescent="0.35">
      <c r="A37" s="18"/>
      <c r="B37" s="29"/>
      <c r="C37" s="29"/>
      <c r="D37" s="29"/>
      <c r="E37" s="29"/>
      <c r="F37" s="29"/>
      <c r="G37" s="29"/>
      <c r="H37" s="18"/>
    </row>
    <row r="38" spans="1:8" ht="7.5" customHeight="1" x14ac:dyDescent="0.35">
      <c r="A38" s="18"/>
      <c r="B38" s="18"/>
      <c r="C38" s="18"/>
      <c r="D38" s="18"/>
      <c r="E38" s="18"/>
      <c r="F38" s="18"/>
      <c r="G38" s="18"/>
      <c r="H38" s="18"/>
    </row>
    <row r="39" spans="1:8" ht="19.5" customHeight="1" x14ac:dyDescent="0.35">
      <c r="A39" s="18"/>
      <c r="B39" s="12" t="s">
        <v>38</v>
      </c>
      <c r="C39" s="12"/>
      <c r="D39" s="12"/>
      <c r="E39" s="12"/>
      <c r="F39" s="12"/>
      <c r="G39" s="12"/>
      <c r="H39" s="18"/>
    </row>
    <row r="40" spans="1:8" ht="18" customHeight="1" x14ac:dyDescent="0.35">
      <c r="A40" s="18"/>
      <c r="B40" s="33" t="s">
        <v>39</v>
      </c>
      <c r="C40" s="4" t="s">
        <v>40</v>
      </c>
      <c r="D40" s="4"/>
      <c r="E40" s="4"/>
      <c r="F40" s="4"/>
      <c r="G40" s="4"/>
      <c r="H40" s="18"/>
    </row>
    <row r="41" spans="1:8" ht="18" customHeight="1" x14ac:dyDescent="0.35">
      <c r="A41" s="18"/>
      <c r="B41" s="35" t="s">
        <v>41</v>
      </c>
      <c r="C41" s="3" t="s">
        <v>42</v>
      </c>
      <c r="D41" s="3"/>
      <c r="E41" s="3"/>
      <c r="F41" s="3"/>
      <c r="G41" s="3"/>
      <c r="H41" s="18"/>
    </row>
    <row r="42" spans="1:8" ht="18" customHeight="1" x14ac:dyDescent="0.35">
      <c r="A42" s="18"/>
      <c r="B42" s="33" t="s">
        <v>43</v>
      </c>
      <c r="C42" s="4" t="s">
        <v>44</v>
      </c>
      <c r="D42" s="4"/>
      <c r="E42" s="4"/>
      <c r="F42" s="4"/>
      <c r="G42" s="4"/>
      <c r="H42" s="18"/>
    </row>
    <row r="43" spans="1:8" ht="18" customHeight="1" x14ac:dyDescent="0.35">
      <c r="A43" s="18"/>
      <c r="B43" s="35" t="s">
        <v>45</v>
      </c>
      <c r="C43" s="3" t="s">
        <v>46</v>
      </c>
      <c r="D43" s="3"/>
      <c r="E43" s="3"/>
      <c r="F43" s="3"/>
      <c r="G43" s="3"/>
      <c r="H43" s="18"/>
    </row>
    <row r="44" spans="1:8" ht="18" customHeight="1" x14ac:dyDescent="0.35">
      <c r="A44" s="18"/>
      <c r="B44" s="33" t="s">
        <v>47</v>
      </c>
      <c r="C44" s="4" t="s">
        <v>48</v>
      </c>
      <c r="D44" s="4"/>
      <c r="E44" s="4"/>
      <c r="F44" s="4"/>
      <c r="G44" s="4"/>
      <c r="H44" s="18"/>
    </row>
    <row r="45" spans="1:8" ht="18" customHeight="1" x14ac:dyDescent="0.35">
      <c r="A45" s="18"/>
      <c r="B45" s="35" t="s">
        <v>49</v>
      </c>
      <c r="C45" s="3" t="s">
        <v>50</v>
      </c>
      <c r="D45" s="3"/>
      <c r="E45" s="3"/>
      <c r="F45" s="3"/>
      <c r="G45" s="3"/>
      <c r="H45" s="18"/>
    </row>
    <row r="46" spans="1:8" ht="18" customHeight="1" x14ac:dyDescent="0.35">
      <c r="A46" s="18"/>
      <c r="B46" s="33" t="s">
        <v>51</v>
      </c>
      <c r="C46" s="4" t="s">
        <v>52</v>
      </c>
      <c r="D46" s="4"/>
      <c r="E46" s="4"/>
      <c r="F46" s="4"/>
      <c r="G46" s="4"/>
      <c r="H46" s="18"/>
    </row>
    <row r="47" spans="1:8" ht="18" customHeight="1" x14ac:dyDescent="0.35">
      <c r="A47" s="18"/>
      <c r="B47" s="35" t="s">
        <v>53</v>
      </c>
      <c r="C47" s="3" t="s">
        <v>54</v>
      </c>
      <c r="D47" s="3"/>
      <c r="E47" s="3"/>
      <c r="F47" s="3"/>
      <c r="G47" s="3"/>
      <c r="H47" s="18"/>
    </row>
    <row r="48" spans="1:8" ht="18" customHeight="1" x14ac:dyDescent="0.35">
      <c r="A48" s="18"/>
      <c r="B48" s="33" t="s">
        <v>55</v>
      </c>
      <c r="C48" s="4" t="s">
        <v>56</v>
      </c>
      <c r="D48" s="4"/>
      <c r="E48" s="4"/>
      <c r="F48" s="4"/>
      <c r="G48" s="4"/>
      <c r="H48" s="18"/>
    </row>
    <row r="49" spans="1:8" ht="18" customHeight="1" x14ac:dyDescent="0.35">
      <c r="A49" s="18"/>
      <c r="B49" s="35" t="s">
        <v>57</v>
      </c>
      <c r="C49" s="3" t="s">
        <v>58</v>
      </c>
      <c r="D49" s="3"/>
      <c r="E49" s="3"/>
      <c r="F49" s="3"/>
      <c r="G49" s="3"/>
      <c r="H49" s="18"/>
    </row>
  </sheetData>
  <mergeCells count="39">
    <mergeCell ref="C49:G49"/>
    <mergeCell ref="C44:G44"/>
    <mergeCell ref="C45:G45"/>
    <mergeCell ref="C46:G46"/>
    <mergeCell ref="C47:G47"/>
    <mergeCell ref="C48:G48"/>
    <mergeCell ref="B39:G39"/>
    <mergeCell ref="C40:G40"/>
    <mergeCell ref="C41:G41"/>
    <mergeCell ref="C42:G42"/>
    <mergeCell ref="C43:G43"/>
    <mergeCell ref="B15:C15"/>
    <mergeCell ref="D15:G15"/>
    <mergeCell ref="B16:C16"/>
    <mergeCell ref="D16:G16"/>
    <mergeCell ref="B18:G18"/>
    <mergeCell ref="B12:C12"/>
    <mergeCell ref="D12:G12"/>
    <mergeCell ref="B13:C13"/>
    <mergeCell ref="D13:G13"/>
    <mergeCell ref="B14:C14"/>
    <mergeCell ref="D14:G14"/>
    <mergeCell ref="B9:C9"/>
    <mergeCell ref="D9:G9"/>
    <mergeCell ref="B10:C10"/>
    <mergeCell ref="D10:G10"/>
    <mergeCell ref="B11:C11"/>
    <mergeCell ref="D11:G11"/>
    <mergeCell ref="B6:C6"/>
    <mergeCell ref="D6:G6"/>
    <mergeCell ref="B7:C7"/>
    <mergeCell ref="D7:G7"/>
    <mergeCell ref="B8:C8"/>
    <mergeCell ref="D8:G8"/>
    <mergeCell ref="A1:H1"/>
    <mergeCell ref="A2:H2"/>
    <mergeCell ref="B4:G4"/>
    <mergeCell ref="B5:C5"/>
    <mergeCell ref="D5:G5"/>
  </mergeCells>
  <pageMargins left="0.75" right="0.75" top="1" bottom="1" header="0.5" footer="0.5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8"/>
  <sheetViews>
    <sheetView showGridLines="0" topLeftCell="B1" zoomScaleNormal="100" workbookViewId="0">
      <pane ySplit="2" topLeftCell="A3" activePane="bottomLeft" state="frozen"/>
      <selection pane="bottomLeft" activeCell="F25" sqref="F25"/>
    </sheetView>
  </sheetViews>
  <sheetFormatPr defaultColWidth="8.6328125" defaultRowHeight="14.5" x14ac:dyDescent="0.35"/>
  <cols>
    <col min="1" max="1" width="9" customWidth="1"/>
    <col min="2" max="2" width="7" customWidth="1"/>
    <col min="3" max="3" width="8" customWidth="1"/>
    <col min="4" max="4" width="28" customWidth="1"/>
    <col min="5" max="5" width="26" customWidth="1"/>
    <col min="6" max="6" width="10" customWidth="1"/>
    <col min="7" max="7" width="20" customWidth="1"/>
    <col min="8" max="8" width="16.36328125" customWidth="1"/>
    <col min="9" max="9" width="12.81640625" customWidth="1"/>
    <col min="10" max="10" width="11" customWidth="1"/>
    <col min="11" max="11" width="15" customWidth="1"/>
    <col min="12" max="12" width="14" customWidth="1"/>
    <col min="13" max="14" width="13" customWidth="1"/>
    <col min="15" max="16" width="16" customWidth="1"/>
    <col min="17" max="17" width="15" customWidth="1"/>
    <col min="18" max="18" width="9" customWidth="1"/>
    <col min="19" max="20" width="14" customWidth="1"/>
    <col min="21" max="21" width="11" customWidth="1"/>
    <col min="22" max="22" width="10" customWidth="1"/>
    <col min="23" max="25" width="12" customWidth="1"/>
    <col min="26" max="26" width="10" customWidth="1"/>
    <col min="27" max="27" width="15" customWidth="1"/>
    <col min="28" max="28" width="30" customWidth="1"/>
    <col min="29" max="29" width="9" customWidth="1"/>
    <col min="30" max="30" width="20.26953125" customWidth="1"/>
    <col min="31" max="31" width="9" customWidth="1"/>
    <col min="32" max="32" width="8.984375E-2" customWidth="1"/>
  </cols>
  <sheetData>
    <row r="1" spans="1:32" ht="27.75" customHeight="1" x14ac:dyDescent="0.35">
      <c r="A1" s="14" t="s">
        <v>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8"/>
      <c r="AD1" s="18"/>
      <c r="AE1" s="18"/>
      <c r="AF1" s="18"/>
    </row>
    <row r="2" spans="1:32" ht="31.5" customHeight="1" x14ac:dyDescent="0.35">
      <c r="A2" s="23" t="s">
        <v>60</v>
      </c>
      <c r="B2" s="23" t="s">
        <v>61</v>
      </c>
      <c r="C2" s="23" t="s">
        <v>62</v>
      </c>
      <c r="D2" s="23" t="s">
        <v>63</v>
      </c>
      <c r="E2" s="23" t="s">
        <v>64</v>
      </c>
      <c r="F2" s="23" t="s">
        <v>65</v>
      </c>
      <c r="G2" s="23" t="s">
        <v>66</v>
      </c>
      <c r="H2" s="23" t="s">
        <v>67</v>
      </c>
      <c r="I2" s="23" t="s">
        <v>68</v>
      </c>
      <c r="J2" s="23" t="s">
        <v>69</v>
      </c>
      <c r="K2" s="23" t="s">
        <v>70</v>
      </c>
      <c r="L2" s="23" t="s">
        <v>71</v>
      </c>
      <c r="M2" s="23" t="s">
        <v>72</v>
      </c>
      <c r="N2" s="23" t="s">
        <v>73</v>
      </c>
      <c r="O2" s="23" t="s">
        <v>74</v>
      </c>
      <c r="P2" s="23" t="s">
        <v>75</v>
      </c>
      <c r="Q2" s="23" t="s">
        <v>76</v>
      </c>
      <c r="R2" s="23" t="s">
        <v>77</v>
      </c>
      <c r="S2" s="23" t="s">
        <v>78</v>
      </c>
      <c r="T2" s="23" t="s">
        <v>79</v>
      </c>
      <c r="U2" s="23" t="s">
        <v>80</v>
      </c>
      <c r="V2" s="23" t="s">
        <v>81</v>
      </c>
      <c r="W2" s="23" t="s">
        <v>82</v>
      </c>
      <c r="X2" s="23" t="s">
        <v>83</v>
      </c>
      <c r="Y2" s="23" t="s">
        <v>84</v>
      </c>
      <c r="Z2" s="23" t="s">
        <v>85</v>
      </c>
      <c r="AA2" s="23" t="s">
        <v>86</v>
      </c>
      <c r="AB2" s="23" t="s">
        <v>87</v>
      </c>
      <c r="AC2" s="37" t="s">
        <v>88</v>
      </c>
      <c r="AD2" s="37" t="s">
        <v>89</v>
      </c>
      <c r="AE2" s="37" t="s">
        <v>90</v>
      </c>
      <c r="AF2" s="37" t="s">
        <v>91</v>
      </c>
    </row>
    <row r="3" spans="1:32" ht="15.75" customHeight="1" x14ac:dyDescent="0.35">
      <c r="A3" s="26" t="s">
        <v>92</v>
      </c>
      <c r="B3" s="26" t="s">
        <v>93</v>
      </c>
      <c r="C3" s="26" t="s">
        <v>94</v>
      </c>
      <c r="D3" s="38" t="s">
        <v>95</v>
      </c>
      <c r="E3" s="38" t="s">
        <v>96</v>
      </c>
      <c r="F3" s="39">
        <v>107.7</v>
      </c>
      <c r="G3" s="40">
        <v>44013</v>
      </c>
      <c r="H3" s="40">
        <v>47118</v>
      </c>
      <c r="I3" s="41">
        <v>8.5</v>
      </c>
      <c r="J3" s="42">
        <v>1395.94</v>
      </c>
      <c r="K3" s="42">
        <f t="shared" ref="K3:K24" si="0">IF(J3&gt;0,J3*F3,0)</f>
        <v>150342.73800000001</v>
      </c>
      <c r="L3" s="42">
        <v>0</v>
      </c>
      <c r="M3" s="42">
        <v>9156</v>
      </c>
      <c r="N3" s="42">
        <v>0</v>
      </c>
      <c r="O3" s="42">
        <v>9032.64</v>
      </c>
      <c r="P3" s="42">
        <v>3030</v>
      </c>
      <c r="Q3" s="42">
        <f t="shared" ref="Q3:Q24" si="1">K3+L3+M3+N3+O3+P3</f>
        <v>171561.37800000003</v>
      </c>
      <c r="R3" s="26">
        <v>1</v>
      </c>
      <c r="S3" s="27" t="s">
        <v>97</v>
      </c>
      <c r="T3" s="40">
        <v>46569</v>
      </c>
      <c r="U3" s="27" t="s">
        <v>98</v>
      </c>
      <c r="V3" s="43">
        <f t="shared" ref="V3:V24" ca="1" si="2">IFERROR(MAX((H3-TODAY())/365.25,0),0)</f>
        <v>2.2094455852156059</v>
      </c>
      <c r="W3" s="39">
        <f t="shared" ref="W3:W24" ca="1" si="3">F3*V3</f>
        <v>237.95728952772075</v>
      </c>
      <c r="X3" s="42">
        <v>950</v>
      </c>
      <c r="Y3" s="42">
        <f t="shared" ref="Y3:Y24" si="4">IF(J3&gt;0,J3-X3,0)</f>
        <v>445.94000000000005</v>
      </c>
      <c r="Z3" s="44">
        <f t="shared" ref="Z3:Z24" si="5">IFERROR(IF(J3&gt;0,(J3-X3)/X3,0),0)</f>
        <v>0.46941052631578956</v>
      </c>
      <c r="AA3" s="42" t="s">
        <v>99</v>
      </c>
      <c r="AB3" s="27" t="s">
        <v>100</v>
      </c>
      <c r="AC3" s="45" t="str">
        <f t="shared" ref="AC3:AC24" ca="1" si="6">IF(AD3="","VACANT",IF(AD3&lt;TODAY(),"EXPIRED","ACTIVE"))</f>
        <v>ACTIVE</v>
      </c>
      <c r="AD3" s="46">
        <v>47118</v>
      </c>
      <c r="AE3" s="47">
        <v>1395.94</v>
      </c>
      <c r="AF3" s="48" t="s">
        <v>101</v>
      </c>
    </row>
    <row r="4" spans="1:32" ht="15.75" customHeight="1" x14ac:dyDescent="0.35">
      <c r="A4" s="49" t="s">
        <v>102</v>
      </c>
      <c r="B4" s="49" t="s">
        <v>93</v>
      </c>
      <c r="C4" s="49" t="s">
        <v>103</v>
      </c>
      <c r="D4" s="50" t="s">
        <v>104</v>
      </c>
      <c r="E4" s="50" t="s">
        <v>104</v>
      </c>
      <c r="F4" s="51">
        <v>795.5</v>
      </c>
      <c r="G4" s="52">
        <v>44378</v>
      </c>
      <c r="H4" s="52">
        <v>48029</v>
      </c>
      <c r="I4" s="53">
        <v>10</v>
      </c>
      <c r="J4" s="54">
        <v>855.7</v>
      </c>
      <c r="K4" s="54">
        <f t="shared" si="0"/>
        <v>680709.35000000009</v>
      </c>
      <c r="L4" s="54">
        <v>0</v>
      </c>
      <c r="M4" s="54">
        <v>0</v>
      </c>
      <c r="N4" s="54">
        <v>0</v>
      </c>
      <c r="O4" s="54">
        <v>0</v>
      </c>
      <c r="P4" s="54">
        <v>0</v>
      </c>
      <c r="Q4" s="54">
        <f t="shared" si="1"/>
        <v>680709.35000000009</v>
      </c>
      <c r="R4" s="49">
        <v>0</v>
      </c>
      <c r="S4" s="34" t="s">
        <v>97</v>
      </c>
      <c r="T4" s="52">
        <v>46204</v>
      </c>
      <c r="U4" s="34" t="s">
        <v>105</v>
      </c>
      <c r="V4" s="55">
        <f t="shared" ca="1" si="2"/>
        <v>4.7036276522929503</v>
      </c>
      <c r="W4" s="51">
        <f t="shared" ca="1" si="3"/>
        <v>3741.735797399042</v>
      </c>
      <c r="X4" s="54">
        <v>870</v>
      </c>
      <c r="Y4" s="54">
        <f t="shared" si="4"/>
        <v>-14.299999999999955</v>
      </c>
      <c r="Z4" s="56">
        <f t="shared" si="5"/>
        <v>-1.6436781609195351E-2</v>
      </c>
      <c r="AA4" s="54" t="s">
        <v>106</v>
      </c>
      <c r="AB4" s="34" t="s">
        <v>107</v>
      </c>
      <c r="AC4" s="45" t="str">
        <f t="shared" ca="1" si="6"/>
        <v>ACTIVE</v>
      </c>
      <c r="AD4" s="57">
        <v>48029</v>
      </c>
      <c r="AE4" s="47">
        <v>855.7</v>
      </c>
      <c r="AF4" s="48" t="s">
        <v>108</v>
      </c>
    </row>
    <row r="5" spans="1:32" ht="15.75" customHeight="1" x14ac:dyDescent="0.35">
      <c r="A5" s="26" t="s">
        <v>109</v>
      </c>
      <c r="B5" s="26" t="s">
        <v>110</v>
      </c>
      <c r="C5" s="26" t="s">
        <v>111</v>
      </c>
      <c r="D5" s="38" t="s">
        <v>104</v>
      </c>
      <c r="E5" s="38" t="s">
        <v>104</v>
      </c>
      <c r="F5" s="39">
        <v>1047</v>
      </c>
      <c r="G5" s="40">
        <v>44378</v>
      </c>
      <c r="H5" s="40">
        <v>48029</v>
      </c>
      <c r="I5" s="41">
        <v>10</v>
      </c>
      <c r="J5" s="42">
        <v>855.7</v>
      </c>
      <c r="K5" s="42">
        <f t="shared" si="0"/>
        <v>895917.9</v>
      </c>
      <c r="L5" s="42">
        <v>0</v>
      </c>
      <c r="M5" s="42">
        <v>0</v>
      </c>
      <c r="N5" s="42">
        <v>0</v>
      </c>
      <c r="O5" s="42">
        <v>10160.4</v>
      </c>
      <c r="P5" s="42">
        <v>0</v>
      </c>
      <c r="Q5" s="42">
        <f t="shared" si="1"/>
        <v>906078.3</v>
      </c>
      <c r="R5" s="26">
        <v>1</v>
      </c>
      <c r="S5" s="27" t="s">
        <v>97</v>
      </c>
      <c r="T5" s="40">
        <v>46204</v>
      </c>
      <c r="U5" s="27" t="s">
        <v>105</v>
      </c>
      <c r="V5" s="43">
        <f t="shared" ca="1" si="2"/>
        <v>4.7036276522929503</v>
      </c>
      <c r="W5" s="39">
        <f t="shared" ca="1" si="3"/>
        <v>4924.698151950719</v>
      </c>
      <c r="X5" s="42">
        <v>870</v>
      </c>
      <c r="Y5" s="42">
        <f t="shared" si="4"/>
        <v>-14.299999999999955</v>
      </c>
      <c r="Z5" s="44">
        <f t="shared" si="5"/>
        <v>-1.6436781609195351E-2</v>
      </c>
      <c r="AA5" s="42" t="s">
        <v>106</v>
      </c>
      <c r="AB5" s="27" t="s">
        <v>112</v>
      </c>
      <c r="AC5" s="45" t="str">
        <f t="shared" ca="1" si="6"/>
        <v>ACTIVE</v>
      </c>
      <c r="AD5" s="46">
        <v>48029</v>
      </c>
      <c r="AE5" s="47">
        <v>855.7</v>
      </c>
      <c r="AF5" s="48" t="s">
        <v>113</v>
      </c>
    </row>
    <row r="6" spans="1:32" ht="15.75" customHeight="1" x14ac:dyDescent="0.35">
      <c r="A6" s="49" t="s">
        <v>114</v>
      </c>
      <c r="B6" s="49" t="s">
        <v>115</v>
      </c>
      <c r="C6" s="49" t="s">
        <v>116</v>
      </c>
      <c r="D6" s="50" t="s">
        <v>104</v>
      </c>
      <c r="E6" s="50" t="s">
        <v>117</v>
      </c>
      <c r="F6" s="51">
        <v>437.1</v>
      </c>
      <c r="G6" s="52">
        <v>44378</v>
      </c>
      <c r="H6" s="52">
        <v>48029</v>
      </c>
      <c r="I6" s="53">
        <v>10</v>
      </c>
      <c r="J6" s="54">
        <v>855.7</v>
      </c>
      <c r="K6" s="54">
        <f t="shared" si="0"/>
        <v>374026.47000000003</v>
      </c>
      <c r="L6" s="54">
        <v>0</v>
      </c>
      <c r="M6" s="54">
        <v>0</v>
      </c>
      <c r="N6" s="54">
        <v>0</v>
      </c>
      <c r="O6" s="54">
        <v>0</v>
      </c>
      <c r="P6" s="54">
        <v>3030</v>
      </c>
      <c r="Q6" s="54">
        <f t="shared" si="1"/>
        <v>377056.47000000003</v>
      </c>
      <c r="R6" s="49">
        <v>0</v>
      </c>
      <c r="S6" s="34" t="s">
        <v>97</v>
      </c>
      <c r="T6" s="52">
        <v>46204</v>
      </c>
      <c r="U6" s="34" t="s">
        <v>105</v>
      </c>
      <c r="V6" s="55">
        <f t="shared" ca="1" si="2"/>
        <v>4.7036276522929503</v>
      </c>
      <c r="W6" s="51">
        <f t="shared" ca="1" si="3"/>
        <v>2055.9556468172486</v>
      </c>
      <c r="X6" s="54">
        <v>870</v>
      </c>
      <c r="Y6" s="54">
        <f t="shared" si="4"/>
        <v>-14.299999999999955</v>
      </c>
      <c r="Z6" s="56">
        <f t="shared" si="5"/>
        <v>-1.6436781609195351E-2</v>
      </c>
      <c r="AA6" s="54" t="s">
        <v>106</v>
      </c>
      <c r="AB6" s="34" t="s">
        <v>118</v>
      </c>
      <c r="AC6" s="45" t="str">
        <f t="shared" ca="1" si="6"/>
        <v>ACTIVE</v>
      </c>
      <c r="AD6" s="57">
        <v>48029</v>
      </c>
      <c r="AE6" s="47">
        <v>855.7</v>
      </c>
      <c r="AF6" s="48" t="s">
        <v>119</v>
      </c>
    </row>
    <row r="7" spans="1:32" ht="15.75" customHeight="1" x14ac:dyDescent="0.35">
      <c r="A7" s="26" t="s">
        <v>120</v>
      </c>
      <c r="B7" s="26" t="s">
        <v>115</v>
      </c>
      <c r="C7" s="26" t="s">
        <v>121</v>
      </c>
      <c r="D7" s="38" t="s">
        <v>122</v>
      </c>
      <c r="E7" s="38" t="s">
        <v>123</v>
      </c>
      <c r="F7" s="39">
        <v>229.8</v>
      </c>
      <c r="G7" s="40">
        <v>45474</v>
      </c>
      <c r="H7" s="40">
        <v>47299</v>
      </c>
      <c r="I7" s="41">
        <v>5</v>
      </c>
      <c r="J7" s="42">
        <v>985.53</v>
      </c>
      <c r="K7" s="42">
        <f t="shared" si="0"/>
        <v>226474.79399999999</v>
      </c>
      <c r="L7" s="42">
        <v>-46511.519999999997</v>
      </c>
      <c r="M7" s="42">
        <v>10521.96</v>
      </c>
      <c r="N7" s="42">
        <v>3805.44</v>
      </c>
      <c r="O7" s="42">
        <v>7712.76</v>
      </c>
      <c r="P7" s="42">
        <v>3030</v>
      </c>
      <c r="Q7" s="42">
        <f t="shared" si="1"/>
        <v>205033.43400000001</v>
      </c>
      <c r="R7" s="26">
        <v>1</v>
      </c>
      <c r="S7" s="27" t="s">
        <v>124</v>
      </c>
      <c r="T7" s="40">
        <v>46569</v>
      </c>
      <c r="U7" s="27" t="s">
        <v>125</v>
      </c>
      <c r="V7" s="43">
        <f t="shared" ca="1" si="2"/>
        <v>2.7049965776865159</v>
      </c>
      <c r="W7" s="39">
        <f t="shared" ca="1" si="3"/>
        <v>621.60821355236135</v>
      </c>
      <c r="X7" s="42">
        <v>950</v>
      </c>
      <c r="Y7" s="42">
        <f t="shared" si="4"/>
        <v>35.529999999999973</v>
      </c>
      <c r="Z7" s="44">
        <f t="shared" si="5"/>
        <v>3.7399999999999968E-2</v>
      </c>
      <c r="AA7" s="42" t="s">
        <v>126</v>
      </c>
      <c r="AB7" s="27" t="s">
        <v>127</v>
      </c>
      <c r="AC7" s="45" t="str">
        <f t="shared" ca="1" si="6"/>
        <v>ACTIVE</v>
      </c>
      <c r="AD7" s="46">
        <v>47299</v>
      </c>
      <c r="AE7" s="47">
        <v>985.53</v>
      </c>
      <c r="AF7" s="48" t="s">
        <v>128</v>
      </c>
    </row>
    <row r="8" spans="1:32" ht="15.75" customHeight="1" x14ac:dyDescent="0.35">
      <c r="A8" s="49" t="s">
        <v>129</v>
      </c>
      <c r="B8" s="49" t="s">
        <v>115</v>
      </c>
      <c r="C8" s="49" t="s">
        <v>130</v>
      </c>
      <c r="D8" s="50" t="s">
        <v>131</v>
      </c>
      <c r="E8" s="50" t="s">
        <v>131</v>
      </c>
      <c r="F8" s="51">
        <v>413.5</v>
      </c>
      <c r="G8" s="52">
        <v>45352</v>
      </c>
      <c r="H8" s="52">
        <v>47177</v>
      </c>
      <c r="I8" s="53">
        <v>5</v>
      </c>
      <c r="J8" s="54">
        <v>1005.89</v>
      </c>
      <c r="K8" s="54">
        <f t="shared" si="0"/>
        <v>415935.51500000001</v>
      </c>
      <c r="L8" s="54">
        <v>-104594.82</v>
      </c>
      <c r="M8" s="54">
        <v>40068.6</v>
      </c>
      <c r="N8" s="54">
        <v>6847.56</v>
      </c>
      <c r="O8" s="54">
        <v>5381.04</v>
      </c>
      <c r="P8" s="54">
        <v>3030</v>
      </c>
      <c r="Q8" s="54">
        <f t="shared" si="1"/>
        <v>366667.89499999996</v>
      </c>
      <c r="R8" s="49">
        <v>1</v>
      </c>
      <c r="S8" s="34" t="s">
        <v>97</v>
      </c>
      <c r="T8" s="52">
        <v>46447</v>
      </c>
      <c r="U8" s="34" t="s">
        <v>125</v>
      </c>
      <c r="V8" s="55">
        <f t="shared" ca="1" si="2"/>
        <v>2.3709787816563996</v>
      </c>
      <c r="W8" s="51">
        <f t="shared" ca="1" si="3"/>
        <v>980.3997262149212</v>
      </c>
      <c r="X8" s="54">
        <v>990</v>
      </c>
      <c r="Y8" s="54">
        <f t="shared" si="4"/>
        <v>15.889999999999986</v>
      </c>
      <c r="Z8" s="56">
        <f t="shared" si="5"/>
        <v>1.6050505050505037E-2</v>
      </c>
      <c r="AA8" s="54" t="s">
        <v>132</v>
      </c>
      <c r="AB8" s="34" t="s">
        <v>133</v>
      </c>
      <c r="AC8" s="45" t="str">
        <f t="shared" ca="1" si="6"/>
        <v>ACTIVE</v>
      </c>
      <c r="AD8" s="57">
        <v>47177</v>
      </c>
      <c r="AE8" s="47">
        <v>1005.89</v>
      </c>
      <c r="AF8" s="48" t="s">
        <v>134</v>
      </c>
    </row>
    <row r="9" spans="1:32" ht="15.75" customHeight="1" x14ac:dyDescent="0.35">
      <c r="A9" s="26" t="s">
        <v>135</v>
      </c>
      <c r="B9" s="26" t="s">
        <v>136</v>
      </c>
      <c r="C9" s="26" t="s">
        <v>137</v>
      </c>
      <c r="D9" s="38" t="s">
        <v>138</v>
      </c>
      <c r="E9" s="38" t="s">
        <v>139</v>
      </c>
      <c r="F9" s="39">
        <v>451.7</v>
      </c>
      <c r="G9" s="40">
        <v>45762</v>
      </c>
      <c r="H9" s="40">
        <v>47375</v>
      </c>
      <c r="I9" s="41">
        <v>4.4000000000000004</v>
      </c>
      <c r="J9" s="42">
        <v>954.5</v>
      </c>
      <c r="K9" s="42">
        <f t="shared" si="0"/>
        <v>431147.64999999997</v>
      </c>
      <c r="L9" s="42">
        <v>-211720.82</v>
      </c>
      <c r="M9" s="42">
        <v>45907.32</v>
      </c>
      <c r="N9" s="42">
        <v>7480.2</v>
      </c>
      <c r="O9" s="42">
        <v>7416</v>
      </c>
      <c r="P9" s="42">
        <v>3030</v>
      </c>
      <c r="Q9" s="42">
        <f t="shared" si="1"/>
        <v>283260.34999999998</v>
      </c>
      <c r="R9" s="26">
        <v>1</v>
      </c>
      <c r="S9" s="27" t="s">
        <v>140</v>
      </c>
      <c r="T9" s="40">
        <v>46492</v>
      </c>
      <c r="U9" s="27" t="s">
        <v>125</v>
      </c>
      <c r="V9" s="43">
        <f t="shared" ca="1" si="2"/>
        <v>2.9130732375085557</v>
      </c>
      <c r="W9" s="39">
        <f t="shared" ca="1" si="3"/>
        <v>1315.8351813826146</v>
      </c>
      <c r="X9" s="42">
        <v>955</v>
      </c>
      <c r="Y9" s="42">
        <f t="shared" si="4"/>
        <v>-0.5</v>
      </c>
      <c r="Z9" s="44">
        <f t="shared" si="5"/>
        <v>-5.2356020942408382E-4</v>
      </c>
      <c r="AA9" s="42" t="s">
        <v>141</v>
      </c>
      <c r="AB9" s="27" t="s">
        <v>142</v>
      </c>
      <c r="AC9" s="45" t="str">
        <f t="shared" ca="1" si="6"/>
        <v>ACTIVE</v>
      </c>
      <c r="AD9" s="46">
        <v>47375</v>
      </c>
      <c r="AE9" s="47">
        <v>954.5</v>
      </c>
      <c r="AF9" s="48" t="s">
        <v>143</v>
      </c>
    </row>
    <row r="10" spans="1:32" ht="15.75" customHeight="1" x14ac:dyDescent="0.35">
      <c r="A10" s="58" t="s">
        <v>144</v>
      </c>
      <c r="B10" s="58" t="s">
        <v>136</v>
      </c>
      <c r="C10" s="58" t="s">
        <v>145</v>
      </c>
      <c r="D10" s="59" t="s">
        <v>146</v>
      </c>
      <c r="E10" s="59" t="s">
        <v>146</v>
      </c>
      <c r="F10" s="60">
        <v>189.4</v>
      </c>
      <c r="G10" s="24">
        <v>44713</v>
      </c>
      <c r="H10" s="24">
        <v>46538</v>
      </c>
      <c r="I10" s="61">
        <v>5</v>
      </c>
      <c r="J10" s="62">
        <v>1055.72</v>
      </c>
      <c r="K10" s="62">
        <f t="shared" si="0"/>
        <v>199953.36800000002</v>
      </c>
      <c r="L10" s="62">
        <v>-23525.37</v>
      </c>
      <c r="M10" s="62">
        <v>19249.32</v>
      </c>
      <c r="N10" s="62">
        <v>3136.44</v>
      </c>
      <c r="O10" s="62">
        <v>14183.28</v>
      </c>
      <c r="P10" s="62">
        <v>6060</v>
      </c>
      <c r="Q10" s="62">
        <f t="shared" si="1"/>
        <v>219057.03800000003</v>
      </c>
      <c r="R10" s="58">
        <v>2</v>
      </c>
      <c r="S10" s="63" t="s">
        <v>124</v>
      </c>
      <c r="T10" s="24">
        <v>46539</v>
      </c>
      <c r="U10" s="63" t="s">
        <v>125</v>
      </c>
      <c r="V10" s="64">
        <f t="shared" ca="1" si="2"/>
        <v>0.62149212867898695</v>
      </c>
      <c r="W10" s="60">
        <f t="shared" ca="1" si="3"/>
        <v>117.71060917180013</v>
      </c>
      <c r="X10" s="62">
        <v>990</v>
      </c>
      <c r="Y10" s="62">
        <f t="shared" si="4"/>
        <v>65.720000000000027</v>
      </c>
      <c r="Z10" s="65">
        <f t="shared" si="5"/>
        <v>6.6383838383838406E-2</v>
      </c>
      <c r="AA10" s="62" t="s">
        <v>147</v>
      </c>
      <c r="AB10" s="63" t="s">
        <v>148</v>
      </c>
      <c r="AC10" s="45" t="str">
        <f t="shared" ca="1" si="6"/>
        <v>ACTIVE</v>
      </c>
      <c r="AD10" s="57">
        <v>46538</v>
      </c>
      <c r="AE10" s="47">
        <v>1055.72</v>
      </c>
      <c r="AF10" s="48" t="s">
        <v>149</v>
      </c>
    </row>
    <row r="11" spans="1:32" ht="15.75" customHeight="1" x14ac:dyDescent="0.35">
      <c r="A11" s="26" t="s">
        <v>150</v>
      </c>
      <c r="B11" s="26" t="s">
        <v>136</v>
      </c>
      <c r="C11" s="26" t="s">
        <v>151</v>
      </c>
      <c r="D11" s="38" t="s">
        <v>152</v>
      </c>
      <c r="E11" s="38" t="s">
        <v>152</v>
      </c>
      <c r="F11" s="39">
        <v>267.89999999999998</v>
      </c>
      <c r="G11" s="40">
        <v>45870</v>
      </c>
      <c r="H11" s="40">
        <v>48426</v>
      </c>
      <c r="I11" s="41">
        <v>7</v>
      </c>
      <c r="J11" s="42">
        <v>954.5</v>
      </c>
      <c r="K11" s="42">
        <f t="shared" si="0"/>
        <v>255710.55</v>
      </c>
      <c r="L11" s="42">
        <v>-98587.199999999997</v>
      </c>
      <c r="M11" s="42">
        <v>6957</v>
      </c>
      <c r="N11" s="42">
        <v>4436.3999999999996</v>
      </c>
      <c r="O11" s="42">
        <v>3030</v>
      </c>
      <c r="P11" s="42">
        <v>0</v>
      </c>
      <c r="Q11" s="42">
        <f t="shared" si="1"/>
        <v>171546.74999999997</v>
      </c>
      <c r="R11" s="26">
        <v>1</v>
      </c>
      <c r="S11" s="27" t="s">
        <v>153</v>
      </c>
      <c r="T11" s="40">
        <v>46600</v>
      </c>
      <c r="U11" s="27" t="s">
        <v>125</v>
      </c>
      <c r="V11" s="43">
        <f t="shared" ca="1" si="2"/>
        <v>5.7905544147843946</v>
      </c>
      <c r="W11" s="39">
        <f t="shared" ca="1" si="3"/>
        <v>1551.2895277207392</v>
      </c>
      <c r="X11" s="42">
        <v>955</v>
      </c>
      <c r="Y11" s="42">
        <f t="shared" si="4"/>
        <v>-0.5</v>
      </c>
      <c r="Z11" s="44">
        <f t="shared" si="5"/>
        <v>-5.2356020942408382E-4</v>
      </c>
      <c r="AA11" s="42" t="s">
        <v>154</v>
      </c>
      <c r="AB11" s="27" t="s">
        <v>155</v>
      </c>
      <c r="AC11" s="45" t="str">
        <f t="shared" ca="1" si="6"/>
        <v>ACTIVE</v>
      </c>
      <c r="AD11" s="46">
        <v>48426</v>
      </c>
      <c r="AE11" s="47">
        <v>954.5</v>
      </c>
      <c r="AF11" s="48" t="s">
        <v>156</v>
      </c>
    </row>
    <row r="12" spans="1:32" ht="15.75" customHeight="1" x14ac:dyDescent="0.35">
      <c r="A12" s="49" t="s">
        <v>157</v>
      </c>
      <c r="B12" s="49" t="s">
        <v>158</v>
      </c>
      <c r="C12" s="49" t="s">
        <v>159</v>
      </c>
      <c r="D12" s="50" t="s">
        <v>138</v>
      </c>
      <c r="E12" s="50" t="s">
        <v>139</v>
      </c>
      <c r="F12" s="51">
        <v>484.1</v>
      </c>
      <c r="G12" s="52">
        <v>45184</v>
      </c>
      <c r="H12" s="52">
        <v>47375</v>
      </c>
      <c r="I12" s="53">
        <v>6</v>
      </c>
      <c r="J12" s="54">
        <v>1911.44</v>
      </c>
      <c r="K12" s="54">
        <f t="shared" si="0"/>
        <v>925328.10400000005</v>
      </c>
      <c r="L12" s="54">
        <v>-319000.32000000001</v>
      </c>
      <c r="M12" s="54">
        <v>49200.480000000003</v>
      </c>
      <c r="N12" s="54">
        <v>14069.4</v>
      </c>
      <c r="O12" s="54">
        <v>18074.64</v>
      </c>
      <c r="P12" s="54">
        <v>6060</v>
      </c>
      <c r="Q12" s="54">
        <f t="shared" si="1"/>
        <v>693732.304</v>
      </c>
      <c r="R12" s="49">
        <v>2</v>
      </c>
      <c r="S12" s="34" t="s">
        <v>140</v>
      </c>
      <c r="T12" s="52">
        <v>46645</v>
      </c>
      <c r="U12" s="34" t="s">
        <v>125</v>
      </c>
      <c r="V12" s="55">
        <f t="shared" ca="1" si="2"/>
        <v>2.9130732375085557</v>
      </c>
      <c r="W12" s="51">
        <f t="shared" ca="1" si="3"/>
        <v>1410.218754277892</v>
      </c>
      <c r="X12" s="54">
        <v>1020</v>
      </c>
      <c r="Y12" s="54">
        <f t="shared" si="4"/>
        <v>891.44</v>
      </c>
      <c r="Z12" s="56">
        <f t="shared" si="5"/>
        <v>0.87396078431372559</v>
      </c>
      <c r="AA12" s="54" t="s">
        <v>160</v>
      </c>
      <c r="AB12" s="34" t="s">
        <v>161</v>
      </c>
      <c r="AC12" s="45" t="str">
        <f t="shared" ca="1" si="6"/>
        <v>ACTIVE</v>
      </c>
      <c r="AD12" s="57">
        <v>47375</v>
      </c>
      <c r="AE12" s="47">
        <v>1911.44</v>
      </c>
      <c r="AF12" s="48" t="s">
        <v>162</v>
      </c>
    </row>
    <row r="13" spans="1:32" ht="15.75" customHeight="1" x14ac:dyDescent="0.35">
      <c r="A13" s="26" t="s">
        <v>163</v>
      </c>
      <c r="B13" s="26" t="s">
        <v>158</v>
      </c>
      <c r="C13" s="26" t="s">
        <v>164</v>
      </c>
      <c r="D13" s="38" t="s">
        <v>138</v>
      </c>
      <c r="E13" s="38" t="s">
        <v>165</v>
      </c>
      <c r="F13" s="39">
        <v>365.5</v>
      </c>
      <c r="G13" s="40">
        <v>45184</v>
      </c>
      <c r="H13" s="40">
        <v>47375</v>
      </c>
      <c r="I13" s="41">
        <v>6</v>
      </c>
      <c r="J13" s="42">
        <v>0</v>
      </c>
      <c r="K13" s="42">
        <f t="shared" si="0"/>
        <v>0</v>
      </c>
      <c r="L13" s="42">
        <v>0</v>
      </c>
      <c r="M13" s="42">
        <v>37146.720000000001</v>
      </c>
      <c r="N13" s="42">
        <v>0</v>
      </c>
      <c r="O13" s="42">
        <v>0</v>
      </c>
      <c r="P13" s="42">
        <v>0</v>
      </c>
      <c r="Q13" s="42">
        <f t="shared" si="1"/>
        <v>37146.720000000001</v>
      </c>
      <c r="R13" s="26">
        <v>0</v>
      </c>
      <c r="S13" s="27" t="s">
        <v>140</v>
      </c>
      <c r="T13" s="40">
        <v>46645</v>
      </c>
      <c r="U13" s="27" t="s">
        <v>125</v>
      </c>
      <c r="V13" s="43">
        <f t="shared" ca="1" si="2"/>
        <v>2.9130732375085557</v>
      </c>
      <c r="W13" s="39">
        <f t="shared" ca="1" si="3"/>
        <v>1064.7282683093772</v>
      </c>
      <c r="X13" s="42">
        <v>1020</v>
      </c>
      <c r="Y13" s="42">
        <f t="shared" si="4"/>
        <v>0</v>
      </c>
      <c r="Z13" s="44">
        <f t="shared" si="5"/>
        <v>0</v>
      </c>
      <c r="AA13" s="42" t="s">
        <v>166</v>
      </c>
      <c r="AB13" s="27" t="s">
        <v>167</v>
      </c>
      <c r="AC13" s="45" t="str">
        <f t="shared" ca="1" si="6"/>
        <v>ACTIVE</v>
      </c>
      <c r="AD13" s="46">
        <v>47375</v>
      </c>
      <c r="AE13" s="47">
        <v>0</v>
      </c>
      <c r="AF13" s="48" t="s">
        <v>168</v>
      </c>
    </row>
    <row r="14" spans="1:32" ht="15.75" customHeight="1" x14ac:dyDescent="0.35">
      <c r="A14" s="49" t="s">
        <v>169</v>
      </c>
      <c r="B14" s="49" t="s">
        <v>170</v>
      </c>
      <c r="C14" s="49" t="s">
        <v>171</v>
      </c>
      <c r="D14" s="50" t="s">
        <v>172</v>
      </c>
      <c r="E14" s="50" t="s">
        <v>172</v>
      </c>
      <c r="F14" s="51">
        <v>686.7</v>
      </c>
      <c r="G14" s="52">
        <v>43282</v>
      </c>
      <c r="H14" s="52">
        <v>46934</v>
      </c>
      <c r="I14" s="53">
        <v>10</v>
      </c>
      <c r="J14" s="54">
        <v>1029.25</v>
      </c>
      <c r="K14" s="54">
        <f t="shared" si="0"/>
        <v>706785.97500000009</v>
      </c>
      <c r="L14" s="54">
        <v>-219915.72</v>
      </c>
      <c r="M14" s="54">
        <v>78859.8</v>
      </c>
      <c r="N14" s="54">
        <v>11371.8</v>
      </c>
      <c r="O14" s="54">
        <v>0</v>
      </c>
      <c r="P14" s="54">
        <v>0</v>
      </c>
      <c r="Q14" s="54">
        <f t="shared" si="1"/>
        <v>577101.85500000021</v>
      </c>
      <c r="R14" s="49">
        <v>0</v>
      </c>
      <c r="S14" s="34" t="s">
        <v>97</v>
      </c>
      <c r="T14" s="52">
        <v>46569</v>
      </c>
      <c r="U14" s="34" t="s">
        <v>125</v>
      </c>
      <c r="V14" s="55">
        <f t="shared" ca="1" si="2"/>
        <v>1.7056810403832992</v>
      </c>
      <c r="W14" s="51">
        <f t="shared" ca="1" si="3"/>
        <v>1171.2911704312116</v>
      </c>
      <c r="X14" s="54">
        <v>990</v>
      </c>
      <c r="Y14" s="54">
        <f t="shared" si="4"/>
        <v>39.25</v>
      </c>
      <c r="Z14" s="56">
        <f t="shared" si="5"/>
        <v>3.9646464646464645E-2</v>
      </c>
      <c r="AA14" s="54" t="s">
        <v>173</v>
      </c>
      <c r="AB14" s="34" t="s">
        <v>174</v>
      </c>
      <c r="AC14" s="45" t="str">
        <f t="shared" ca="1" si="6"/>
        <v>ACTIVE</v>
      </c>
      <c r="AD14" s="57">
        <v>46934</v>
      </c>
      <c r="AE14" s="47">
        <v>1029.25</v>
      </c>
      <c r="AF14" s="48" t="s">
        <v>175</v>
      </c>
    </row>
    <row r="15" spans="1:32" ht="15.75" customHeight="1" x14ac:dyDescent="0.35">
      <c r="A15" s="26" t="s">
        <v>176</v>
      </c>
      <c r="B15" s="26" t="s">
        <v>170</v>
      </c>
      <c r="C15" s="26" t="s">
        <v>177</v>
      </c>
      <c r="D15" s="38" t="s">
        <v>178</v>
      </c>
      <c r="E15" s="38" t="s">
        <v>178</v>
      </c>
      <c r="F15" s="39">
        <v>116.3</v>
      </c>
      <c r="G15" s="40">
        <v>45809</v>
      </c>
      <c r="H15" s="40">
        <v>47787</v>
      </c>
      <c r="I15" s="41">
        <v>5.4</v>
      </c>
      <c r="J15" s="42">
        <v>1027.1199999999999</v>
      </c>
      <c r="K15" s="42">
        <f t="shared" si="0"/>
        <v>119454.05599999998</v>
      </c>
      <c r="L15" s="42">
        <v>-48357.54</v>
      </c>
      <c r="M15" s="42">
        <v>3020.16</v>
      </c>
      <c r="N15" s="42">
        <v>1925.88</v>
      </c>
      <c r="O15" s="42">
        <v>0</v>
      </c>
      <c r="P15" s="42">
        <v>0</v>
      </c>
      <c r="Q15" s="42">
        <f t="shared" si="1"/>
        <v>76042.555999999982</v>
      </c>
      <c r="R15" s="26">
        <v>0</v>
      </c>
      <c r="S15" s="27" t="s">
        <v>140</v>
      </c>
      <c r="T15" s="40">
        <v>46539</v>
      </c>
      <c r="U15" s="27" t="s">
        <v>125</v>
      </c>
      <c r="V15" s="43">
        <f t="shared" ca="1" si="2"/>
        <v>4.0410677618069819</v>
      </c>
      <c r="W15" s="39">
        <f t="shared" ca="1" si="3"/>
        <v>469.97618069815201</v>
      </c>
      <c r="X15" s="42">
        <v>990</v>
      </c>
      <c r="Y15" s="42">
        <f t="shared" si="4"/>
        <v>37.119999999999891</v>
      </c>
      <c r="Z15" s="44">
        <f t="shared" si="5"/>
        <v>3.7494949494949387E-2</v>
      </c>
      <c r="AA15" s="42" t="s">
        <v>179</v>
      </c>
      <c r="AB15" s="27" t="s">
        <v>180</v>
      </c>
      <c r="AC15" s="45" t="str">
        <f t="shared" ca="1" si="6"/>
        <v>ACTIVE</v>
      </c>
      <c r="AD15" s="46">
        <v>47787</v>
      </c>
      <c r="AE15" s="47">
        <v>1027.1199999999999</v>
      </c>
      <c r="AF15" s="48" t="s">
        <v>181</v>
      </c>
    </row>
    <row r="16" spans="1:32" ht="15.75" customHeight="1" x14ac:dyDescent="0.35">
      <c r="A16" s="49" t="s">
        <v>182</v>
      </c>
      <c r="B16" s="49" t="s">
        <v>183</v>
      </c>
      <c r="C16" s="49" t="s">
        <v>184</v>
      </c>
      <c r="D16" s="50" t="s">
        <v>185</v>
      </c>
      <c r="E16" s="50" t="s">
        <v>185</v>
      </c>
      <c r="F16" s="51">
        <v>453.3</v>
      </c>
      <c r="G16" s="52">
        <v>44746</v>
      </c>
      <c r="H16" s="52">
        <v>46571</v>
      </c>
      <c r="I16" s="53">
        <v>5</v>
      </c>
      <c r="J16" s="54">
        <v>1065.96</v>
      </c>
      <c r="K16" s="54">
        <f t="shared" si="0"/>
        <v>483199.66800000001</v>
      </c>
      <c r="L16" s="54">
        <v>-145962.6</v>
      </c>
      <c r="M16" s="54">
        <v>46069.68</v>
      </c>
      <c r="N16" s="54">
        <v>7506.6</v>
      </c>
      <c r="O16" s="54">
        <v>9941.16</v>
      </c>
      <c r="P16" s="54">
        <v>3030</v>
      </c>
      <c r="Q16" s="54">
        <f t="shared" si="1"/>
        <v>403784.50799999991</v>
      </c>
      <c r="R16" s="49">
        <v>1</v>
      </c>
      <c r="S16" s="34" t="s">
        <v>140</v>
      </c>
      <c r="T16" s="52">
        <v>46572</v>
      </c>
      <c r="U16" s="34" t="s">
        <v>125</v>
      </c>
      <c r="V16" s="55">
        <f t="shared" ca="1" si="2"/>
        <v>0.7118412046543463</v>
      </c>
      <c r="W16" s="51">
        <f t="shared" ca="1" si="3"/>
        <v>322.6776180698152</v>
      </c>
      <c r="X16" s="54">
        <v>1040</v>
      </c>
      <c r="Y16" s="54">
        <f t="shared" si="4"/>
        <v>25.960000000000036</v>
      </c>
      <c r="Z16" s="56">
        <f t="shared" si="5"/>
        <v>2.4961538461538497E-2</v>
      </c>
      <c r="AA16" s="54" t="s">
        <v>186</v>
      </c>
      <c r="AB16" s="34" t="s">
        <v>187</v>
      </c>
      <c r="AC16" s="45" t="str">
        <f t="shared" ca="1" si="6"/>
        <v>ACTIVE</v>
      </c>
      <c r="AD16" s="57">
        <v>46571</v>
      </c>
      <c r="AE16" s="47">
        <v>1065.96</v>
      </c>
      <c r="AF16" s="48" t="s">
        <v>188</v>
      </c>
    </row>
    <row r="17" spans="1:32" ht="15.75" customHeight="1" x14ac:dyDescent="0.35">
      <c r="A17" s="26" t="s">
        <v>189</v>
      </c>
      <c r="B17" s="26" t="s">
        <v>190</v>
      </c>
      <c r="C17" s="26" t="s">
        <v>191</v>
      </c>
      <c r="D17" s="38" t="s">
        <v>192</v>
      </c>
      <c r="E17" s="38" t="s">
        <v>192</v>
      </c>
      <c r="F17" s="39">
        <v>251</v>
      </c>
      <c r="G17" s="40">
        <v>45962</v>
      </c>
      <c r="H17" s="40">
        <v>47787</v>
      </c>
      <c r="I17" s="41">
        <v>5</v>
      </c>
      <c r="J17" s="42">
        <v>985</v>
      </c>
      <c r="K17" s="42">
        <f t="shared" si="0"/>
        <v>247235</v>
      </c>
      <c r="L17" s="42">
        <v>-66750.12</v>
      </c>
      <c r="M17" s="42">
        <v>6518.16</v>
      </c>
      <c r="N17" s="42">
        <v>4156.5600000000004</v>
      </c>
      <c r="O17" s="42">
        <v>0</v>
      </c>
      <c r="P17" s="42">
        <v>0</v>
      </c>
      <c r="Q17" s="42">
        <f t="shared" si="1"/>
        <v>191159.6</v>
      </c>
      <c r="R17" s="26">
        <v>0</v>
      </c>
      <c r="S17" s="27" t="s">
        <v>124</v>
      </c>
      <c r="T17" s="40">
        <v>46327</v>
      </c>
      <c r="U17" s="27" t="s">
        <v>125</v>
      </c>
      <c r="V17" s="43">
        <f t="shared" ca="1" si="2"/>
        <v>4.0410677618069819</v>
      </c>
      <c r="W17" s="39">
        <f t="shared" ca="1" si="3"/>
        <v>1014.3080082135525</v>
      </c>
      <c r="X17" s="42">
        <v>1040</v>
      </c>
      <c r="Y17" s="42">
        <f t="shared" si="4"/>
        <v>-55</v>
      </c>
      <c r="Z17" s="44">
        <f t="shared" si="5"/>
        <v>-5.2884615384615384E-2</v>
      </c>
      <c r="AA17" s="42" t="s">
        <v>166</v>
      </c>
      <c r="AB17" s="27" t="s">
        <v>193</v>
      </c>
      <c r="AC17" s="45" t="str">
        <f t="shared" ca="1" si="6"/>
        <v>ACTIVE</v>
      </c>
      <c r="AD17" s="46">
        <v>47787</v>
      </c>
      <c r="AE17" s="47">
        <v>985</v>
      </c>
      <c r="AF17" s="48" t="s">
        <v>194</v>
      </c>
    </row>
    <row r="18" spans="1:32" ht="15" customHeight="1" x14ac:dyDescent="0.35">
      <c r="A18" s="49" t="s">
        <v>195</v>
      </c>
      <c r="B18" s="49" t="s">
        <v>183</v>
      </c>
      <c r="C18" s="49" t="s">
        <v>196</v>
      </c>
      <c r="D18" s="50" t="s">
        <v>197</v>
      </c>
      <c r="E18" s="50" t="s">
        <v>198</v>
      </c>
      <c r="F18" s="51">
        <v>344.5</v>
      </c>
      <c r="G18" s="52">
        <v>45992</v>
      </c>
      <c r="H18" s="52">
        <v>47483</v>
      </c>
      <c r="I18" s="53">
        <v>4.0999999999999996</v>
      </c>
      <c r="J18" s="54">
        <v>990.29</v>
      </c>
      <c r="K18" s="54">
        <f t="shared" si="0"/>
        <v>341154.90499999997</v>
      </c>
      <c r="L18" s="54">
        <v>-137802.12</v>
      </c>
      <c r="M18" s="54">
        <v>8946.1200000000008</v>
      </c>
      <c r="N18" s="54">
        <v>5704.92</v>
      </c>
      <c r="O18" s="54">
        <v>0</v>
      </c>
      <c r="P18" s="54">
        <v>6060</v>
      </c>
      <c r="Q18" s="54">
        <f t="shared" si="1"/>
        <v>224063.82499999998</v>
      </c>
      <c r="R18" s="49">
        <v>2</v>
      </c>
      <c r="S18" s="34" t="s">
        <v>124</v>
      </c>
      <c r="T18" s="52">
        <v>46357</v>
      </c>
      <c r="U18" s="34" t="s">
        <v>125</v>
      </c>
      <c r="V18" s="55">
        <f t="shared" ca="1" si="2"/>
        <v>3.2087611225188226</v>
      </c>
      <c r="W18" s="51">
        <f t="shared" ca="1" si="3"/>
        <v>1105.4182067077345</v>
      </c>
      <c r="X18" s="54">
        <v>990</v>
      </c>
      <c r="Y18" s="54">
        <f t="shared" si="4"/>
        <v>0.28999999999996362</v>
      </c>
      <c r="Z18" s="56">
        <f t="shared" si="5"/>
        <v>2.929292929292562E-4</v>
      </c>
      <c r="AA18" s="54" t="s">
        <v>166</v>
      </c>
      <c r="AB18" s="34" t="s">
        <v>199</v>
      </c>
      <c r="AC18" s="45" t="str">
        <f t="shared" ca="1" si="6"/>
        <v>ACTIVE</v>
      </c>
      <c r="AD18" s="57">
        <v>47483</v>
      </c>
      <c r="AE18" s="47">
        <v>990.29</v>
      </c>
      <c r="AF18" s="48" t="s">
        <v>197</v>
      </c>
    </row>
    <row r="19" spans="1:32" ht="15.75" customHeight="1" x14ac:dyDescent="0.35">
      <c r="A19" s="26" t="s">
        <v>200</v>
      </c>
      <c r="B19" s="26" t="s">
        <v>190</v>
      </c>
      <c r="C19" s="26" t="s">
        <v>201</v>
      </c>
      <c r="D19" s="38" t="s">
        <v>202</v>
      </c>
      <c r="E19" s="38" t="s">
        <v>202</v>
      </c>
      <c r="F19" s="39">
        <v>536</v>
      </c>
      <c r="G19" s="40">
        <v>45642</v>
      </c>
      <c r="H19" s="40">
        <v>47832</v>
      </c>
      <c r="I19" s="41">
        <v>6</v>
      </c>
      <c r="J19" s="42">
        <v>988</v>
      </c>
      <c r="K19" s="42">
        <f t="shared" si="0"/>
        <v>529568</v>
      </c>
      <c r="L19" s="42">
        <v>-51200.76</v>
      </c>
      <c r="M19" s="42">
        <v>24542.16</v>
      </c>
      <c r="N19" s="42">
        <v>8876.16</v>
      </c>
      <c r="O19" s="42">
        <v>96647.64</v>
      </c>
      <c r="P19" s="42">
        <v>30300</v>
      </c>
      <c r="Q19" s="42">
        <f t="shared" si="1"/>
        <v>638733.19999999995</v>
      </c>
      <c r="R19" s="26">
        <v>10</v>
      </c>
      <c r="S19" s="27" t="s">
        <v>97</v>
      </c>
      <c r="T19" s="40">
        <v>46372</v>
      </c>
      <c r="U19" s="27" t="s">
        <v>125</v>
      </c>
      <c r="V19" s="43">
        <f t="shared" ca="1" si="2"/>
        <v>4.1642710472279258</v>
      </c>
      <c r="W19" s="39">
        <f t="shared" ca="1" si="3"/>
        <v>2232.0492813141682</v>
      </c>
      <c r="X19" s="42">
        <v>1010</v>
      </c>
      <c r="Y19" s="42">
        <f t="shared" si="4"/>
        <v>-22</v>
      </c>
      <c r="Z19" s="44">
        <f t="shared" si="5"/>
        <v>-2.1782178217821781E-2</v>
      </c>
      <c r="AA19" s="42" t="s">
        <v>203</v>
      </c>
      <c r="AB19" s="27" t="s">
        <v>204</v>
      </c>
      <c r="AC19" s="45" t="str">
        <f t="shared" ca="1" si="6"/>
        <v>ACTIVE</v>
      </c>
      <c r="AD19" s="46">
        <v>47832</v>
      </c>
      <c r="AE19" s="47">
        <v>988</v>
      </c>
      <c r="AF19" s="48" t="s">
        <v>205</v>
      </c>
    </row>
    <row r="20" spans="1:32" ht="15.75" customHeight="1" x14ac:dyDescent="0.35">
      <c r="A20" s="66" t="s">
        <v>206</v>
      </c>
      <c r="B20" s="66" t="s">
        <v>136</v>
      </c>
      <c r="C20" s="66" t="s">
        <v>207</v>
      </c>
      <c r="D20" s="67" t="s">
        <v>208</v>
      </c>
      <c r="E20" s="67" t="s">
        <v>208</v>
      </c>
      <c r="F20" s="68">
        <v>186.4</v>
      </c>
      <c r="G20" s="52">
        <v>46204</v>
      </c>
      <c r="H20" s="52">
        <v>48395</v>
      </c>
      <c r="I20" s="66">
        <v>6</v>
      </c>
      <c r="J20" s="66">
        <v>920</v>
      </c>
      <c r="K20" s="69">
        <f t="shared" si="0"/>
        <v>171488</v>
      </c>
      <c r="L20" s="66">
        <v>-512255</v>
      </c>
      <c r="M20" s="70"/>
      <c r="N20" s="70"/>
      <c r="O20" s="70"/>
      <c r="P20" s="70"/>
      <c r="Q20" s="69">
        <f t="shared" si="1"/>
        <v>-340767</v>
      </c>
      <c r="R20" s="70"/>
      <c r="S20" s="70"/>
      <c r="T20" s="70"/>
      <c r="U20" s="70"/>
      <c r="V20" s="71">
        <f t="shared" ca="1" si="2"/>
        <v>5.7056810403832987</v>
      </c>
      <c r="W20" s="68">
        <f t="shared" ca="1" si="3"/>
        <v>1063.538945927447</v>
      </c>
      <c r="X20" s="70"/>
      <c r="Y20" s="69">
        <f t="shared" si="4"/>
        <v>920</v>
      </c>
      <c r="Z20" s="72">
        <f t="shared" si="5"/>
        <v>0</v>
      </c>
      <c r="AA20" s="70"/>
      <c r="AB20" s="66" t="s">
        <v>209</v>
      </c>
      <c r="AC20" s="67" t="str">
        <f t="shared" ca="1" si="6"/>
        <v>ACTIVE</v>
      </c>
      <c r="AD20" s="57">
        <v>48395</v>
      </c>
      <c r="AE20" s="47">
        <v>920</v>
      </c>
      <c r="AF20" s="48" t="s">
        <v>210</v>
      </c>
    </row>
    <row r="21" spans="1:32" ht="15.75" customHeight="1" x14ac:dyDescent="0.35">
      <c r="A21" s="66" t="s">
        <v>211</v>
      </c>
      <c r="B21" s="66" t="s">
        <v>212</v>
      </c>
      <c r="C21" s="66" t="s">
        <v>213</v>
      </c>
      <c r="D21" s="67" t="s">
        <v>214</v>
      </c>
      <c r="E21" s="73"/>
      <c r="F21" s="68">
        <v>438</v>
      </c>
      <c r="G21" s="74"/>
      <c r="H21" s="74"/>
      <c r="I21" s="70"/>
      <c r="J21" s="70"/>
      <c r="K21" s="69">
        <f t="shared" si="0"/>
        <v>0</v>
      </c>
      <c r="L21" s="70"/>
      <c r="M21" s="70"/>
      <c r="N21" s="70"/>
      <c r="O21" s="70"/>
      <c r="P21" s="70"/>
      <c r="Q21" s="69">
        <f t="shared" si="1"/>
        <v>0</v>
      </c>
      <c r="R21" s="70"/>
      <c r="S21" s="70"/>
      <c r="T21" s="70"/>
      <c r="U21" s="70"/>
      <c r="V21" s="71">
        <f t="shared" ca="1" si="2"/>
        <v>0</v>
      </c>
      <c r="W21" s="68">
        <f t="shared" ca="1" si="3"/>
        <v>0</v>
      </c>
      <c r="X21" s="70"/>
      <c r="Y21" s="69">
        <f t="shared" si="4"/>
        <v>0</v>
      </c>
      <c r="Z21" s="72">
        <f t="shared" si="5"/>
        <v>0</v>
      </c>
      <c r="AA21" s="70"/>
      <c r="AB21" s="70"/>
      <c r="AC21" s="67" t="str">
        <f t="shared" ca="1" si="6"/>
        <v>VACANT</v>
      </c>
      <c r="AD21" s="75"/>
      <c r="AE21" s="47">
        <v>0</v>
      </c>
      <c r="AF21" s="48" t="s">
        <v>214</v>
      </c>
    </row>
    <row r="22" spans="1:32" ht="15.75" customHeight="1" x14ac:dyDescent="0.35">
      <c r="A22" s="66" t="s">
        <v>215</v>
      </c>
      <c r="B22" s="66" t="s">
        <v>212</v>
      </c>
      <c r="C22" s="66" t="s">
        <v>216</v>
      </c>
      <c r="D22" s="67" t="s">
        <v>214</v>
      </c>
      <c r="E22" s="73"/>
      <c r="F22" s="68">
        <v>349</v>
      </c>
      <c r="G22" s="74"/>
      <c r="H22" s="74"/>
      <c r="I22" s="70"/>
      <c r="J22" s="70"/>
      <c r="K22" s="69">
        <f t="shared" si="0"/>
        <v>0</v>
      </c>
      <c r="L22" s="70"/>
      <c r="M22" s="70"/>
      <c r="N22" s="70"/>
      <c r="O22" s="70"/>
      <c r="P22" s="70"/>
      <c r="Q22" s="69">
        <f t="shared" si="1"/>
        <v>0</v>
      </c>
      <c r="R22" s="70"/>
      <c r="S22" s="70"/>
      <c r="T22" s="70"/>
      <c r="U22" s="70"/>
      <c r="V22" s="71">
        <f t="shared" ca="1" si="2"/>
        <v>0</v>
      </c>
      <c r="W22" s="68">
        <f t="shared" ca="1" si="3"/>
        <v>0</v>
      </c>
      <c r="X22" s="70"/>
      <c r="Y22" s="69">
        <f t="shared" si="4"/>
        <v>0</v>
      </c>
      <c r="Z22" s="72">
        <f t="shared" si="5"/>
        <v>0</v>
      </c>
      <c r="AA22" s="70"/>
      <c r="AB22" s="70"/>
      <c r="AC22" s="67" t="str">
        <f t="shared" ca="1" si="6"/>
        <v>VACANT</v>
      </c>
      <c r="AD22" s="76"/>
      <c r="AE22" s="47">
        <v>0</v>
      </c>
      <c r="AF22" s="48" t="s">
        <v>214</v>
      </c>
    </row>
    <row r="23" spans="1:32" ht="15" customHeight="1" x14ac:dyDescent="0.35">
      <c r="A23" s="49" t="s">
        <v>217</v>
      </c>
      <c r="B23" s="49" t="s">
        <v>218</v>
      </c>
      <c r="C23" s="49" t="s">
        <v>219</v>
      </c>
      <c r="D23" s="50" t="s">
        <v>220</v>
      </c>
      <c r="E23" s="50" t="s">
        <v>221</v>
      </c>
      <c r="F23" s="51">
        <v>242.5</v>
      </c>
      <c r="G23" s="52">
        <v>46296</v>
      </c>
      <c r="H23" s="52">
        <v>48121</v>
      </c>
      <c r="I23" s="53">
        <v>5</v>
      </c>
      <c r="J23" s="54">
        <v>1060</v>
      </c>
      <c r="K23" s="54">
        <f t="shared" si="0"/>
        <v>257050</v>
      </c>
      <c r="L23" s="54">
        <v>-25705</v>
      </c>
      <c r="M23" s="54">
        <v>9728.7199999999993</v>
      </c>
      <c r="N23" s="54">
        <v>4015.8</v>
      </c>
      <c r="O23" s="54">
        <v>15600</v>
      </c>
      <c r="P23" s="54">
        <v>6060</v>
      </c>
      <c r="Q23" s="54">
        <f t="shared" si="1"/>
        <v>266749.52</v>
      </c>
      <c r="R23" s="49">
        <v>2</v>
      </c>
      <c r="S23" s="34" t="s">
        <v>140</v>
      </c>
      <c r="T23" s="52">
        <v>46661</v>
      </c>
      <c r="U23" s="34" t="s">
        <v>125</v>
      </c>
      <c r="V23" s="55">
        <f t="shared" ca="1" si="2"/>
        <v>4.9555099247091032</v>
      </c>
      <c r="W23" s="51">
        <f t="shared" ca="1" si="3"/>
        <v>1201.7111567419574</v>
      </c>
      <c r="X23" s="54">
        <v>1060</v>
      </c>
      <c r="Y23" s="54">
        <f t="shared" si="4"/>
        <v>0</v>
      </c>
      <c r="Z23" s="56">
        <f t="shared" si="5"/>
        <v>0</v>
      </c>
      <c r="AA23" s="54">
        <v>181149</v>
      </c>
      <c r="AB23" s="34" t="s">
        <v>222</v>
      </c>
      <c r="AC23" s="45" t="str">
        <f t="shared" ca="1" si="6"/>
        <v>ACTIVE</v>
      </c>
      <c r="AD23" s="57">
        <v>48121</v>
      </c>
      <c r="AE23" s="47">
        <v>1060</v>
      </c>
      <c r="AF23" s="48" t="s">
        <v>220</v>
      </c>
    </row>
    <row r="24" spans="1:32" ht="19.5" customHeight="1" x14ac:dyDescent="0.35">
      <c r="A24" s="26" t="s">
        <v>223</v>
      </c>
      <c r="B24" s="26" t="s">
        <v>218</v>
      </c>
      <c r="C24" s="26" t="s">
        <v>224</v>
      </c>
      <c r="D24" s="38" t="s">
        <v>225</v>
      </c>
      <c r="E24" s="38" t="s">
        <v>225</v>
      </c>
      <c r="F24" s="39">
        <v>548</v>
      </c>
      <c r="G24" s="40">
        <v>46296</v>
      </c>
      <c r="H24" s="40">
        <v>48487</v>
      </c>
      <c r="I24" s="41">
        <v>6</v>
      </c>
      <c r="J24" s="42">
        <v>1040</v>
      </c>
      <c r="K24" s="42">
        <f t="shared" si="0"/>
        <v>569920</v>
      </c>
      <c r="L24" s="42">
        <v>-111845.33333333333</v>
      </c>
      <c r="M24" s="42"/>
      <c r="N24" s="42"/>
      <c r="O24" s="42"/>
      <c r="P24" s="42"/>
      <c r="Q24" s="42">
        <f t="shared" si="1"/>
        <v>458074.66666666669</v>
      </c>
      <c r="R24" s="26"/>
      <c r="S24" s="27" t="s">
        <v>124</v>
      </c>
      <c r="T24" s="40">
        <v>46661</v>
      </c>
      <c r="U24" s="27"/>
      <c r="V24" s="43">
        <f t="shared" ca="1" si="2"/>
        <v>5.9575633127994525</v>
      </c>
      <c r="W24" s="39">
        <f t="shared" ca="1" si="3"/>
        <v>3264.7446954141001</v>
      </c>
      <c r="X24" s="42">
        <v>1040</v>
      </c>
      <c r="Y24" s="42">
        <f t="shared" si="4"/>
        <v>0</v>
      </c>
      <c r="Z24" s="44">
        <f t="shared" si="5"/>
        <v>0</v>
      </c>
      <c r="AA24" s="42"/>
      <c r="AB24" s="27" t="s">
        <v>226</v>
      </c>
      <c r="AC24" s="45" t="str">
        <f t="shared" ca="1" si="6"/>
        <v>ACTIVE</v>
      </c>
      <c r="AD24" s="77">
        <v>49582</v>
      </c>
      <c r="AE24" s="47">
        <v>1040</v>
      </c>
      <c r="AF24" s="48" t="s">
        <v>227</v>
      </c>
    </row>
    <row r="25" spans="1:32" ht="24" customHeight="1" x14ac:dyDescent="0.35">
      <c r="A25" s="233" t="s">
        <v>228</v>
      </c>
      <c r="B25" s="233"/>
      <c r="C25" s="233"/>
      <c r="D25" s="233"/>
      <c r="E25" s="233"/>
      <c r="F25" s="79">
        <f>SUM(F3:F24)</f>
        <v>8940.9000000000015</v>
      </c>
      <c r="G25" s="78"/>
      <c r="H25" s="78"/>
      <c r="I25" s="78"/>
      <c r="J25" s="78"/>
      <c r="K25" s="80">
        <f>SUM(K3:K24)</f>
        <v>7981402.0430000005</v>
      </c>
      <c r="L25" s="80">
        <f>SUM(L3:L24)</f>
        <v>-2123734.2433333336</v>
      </c>
      <c r="M25" s="78"/>
      <c r="N25" s="78"/>
      <c r="O25" s="78"/>
      <c r="P25" s="78"/>
      <c r="Q25" s="80">
        <f>SUM(Q3:Q24)</f>
        <v>6606792.7196666664</v>
      </c>
      <c r="R25" s="78"/>
      <c r="S25" s="78"/>
      <c r="T25" s="78"/>
      <c r="U25" s="78"/>
      <c r="V25" s="81">
        <f ca="1">IFERROR(SUMPRODUCT((H3:H24&lt;&gt;"")*F3:F24*MAX((H3:H24-TODAY())/365.25,0))/SUMPRODUCT((H3:H24&lt;&gt;"")*F3:F24),0)</f>
        <v>5.9575633127994525</v>
      </c>
      <c r="W25" s="79">
        <f ca="1">SUM(W3:W24)</f>
        <v>29867.852429842569</v>
      </c>
      <c r="X25" s="78"/>
      <c r="Y25" s="78"/>
      <c r="Z25" s="78"/>
      <c r="AA25" s="78"/>
      <c r="AB25" s="78"/>
      <c r="AC25" s="18"/>
      <c r="AD25" s="18"/>
      <c r="AE25" s="18"/>
      <c r="AF25" s="18"/>
    </row>
    <row r="26" spans="1:32" ht="14.25" customHeight="1" x14ac:dyDescent="0.35">
      <c r="A26" s="78" t="s">
        <v>229</v>
      </c>
      <c r="B26" s="18"/>
      <c r="C26" s="18"/>
      <c r="D26" s="82" t="s">
        <v>230</v>
      </c>
      <c r="E26" s="83">
        <f>SUMPRODUCT((H3:H24&lt;&gt;"")*F3:F24)</f>
        <v>8153.9000000000005</v>
      </c>
      <c r="F26" s="82" t="s">
        <v>231</v>
      </c>
      <c r="G26" s="83">
        <f>SUMPRODUCT((H3:H24="")*F3:F24)</f>
        <v>787</v>
      </c>
      <c r="H26" s="82" t="s">
        <v>232</v>
      </c>
      <c r="I26" s="83">
        <f>SUM(F3:F24)</f>
        <v>8940.9000000000015</v>
      </c>
      <c r="J26" s="82" t="s">
        <v>233</v>
      </c>
      <c r="K26" s="84">
        <f>IFERROR(E26/I26,0)</f>
        <v>0.91197754141081988</v>
      </c>
      <c r="L26" s="82" t="s">
        <v>234</v>
      </c>
      <c r="M26" s="84">
        <f>IFERROR(G26/I26,0)</f>
        <v>8.802245858918005E-2</v>
      </c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</row>
    <row r="27" spans="1:32" x14ac:dyDescent="0.35">
      <c r="Q27" s="344"/>
    </row>
    <row r="28" spans="1:32" ht="14.25" customHeight="1" x14ac:dyDescent="0.35">
      <c r="F28" s="85"/>
    </row>
  </sheetData>
  <mergeCells count="2">
    <mergeCell ref="A1:AB1"/>
    <mergeCell ref="A25:E25"/>
  </mergeCells>
  <pageMargins left="0.75" right="0.75" top="1" bottom="1" header="0.5" footer="0.5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2"/>
  <sheetViews>
    <sheetView showGridLines="0" zoomScale="84" zoomScaleNormal="84" workbookViewId="0">
      <selection activeCell="S17" sqref="S17"/>
    </sheetView>
  </sheetViews>
  <sheetFormatPr defaultColWidth="8.6328125" defaultRowHeight="14.5" x14ac:dyDescent="0.35"/>
  <cols>
    <col min="1" max="1" width="1.453125" customWidth="1"/>
    <col min="2" max="13" width="14" customWidth="1"/>
    <col min="14" max="14" width="1.453125" customWidth="1"/>
  </cols>
  <sheetData>
    <row r="1" spans="1:14" ht="36" customHeight="1" x14ac:dyDescent="0.35">
      <c r="A1" s="234" t="s">
        <v>235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</row>
    <row r="2" spans="1:14" ht="18" customHeight="1" x14ac:dyDescent="0.35">
      <c r="A2" s="235" t="s">
        <v>236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</row>
    <row r="3" spans="1:14" ht="7.5" customHeigh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ht="19.5" customHeight="1" x14ac:dyDescent="0.35">
      <c r="A4" s="18"/>
      <c r="B4" s="236" t="s">
        <v>237</v>
      </c>
      <c r="C4" s="236"/>
      <c r="D4" s="237" t="s">
        <v>238</v>
      </c>
      <c r="E4" s="237"/>
      <c r="F4" s="238" t="s">
        <v>239</v>
      </c>
      <c r="G4" s="238"/>
      <c r="H4" s="237" t="s">
        <v>240</v>
      </c>
      <c r="I4" s="237"/>
      <c r="J4" s="239" t="s">
        <v>241</v>
      </c>
      <c r="K4" s="239"/>
      <c r="L4" s="240" t="s">
        <v>242</v>
      </c>
      <c r="M4" s="240"/>
      <c r="N4" s="18"/>
    </row>
    <row r="5" spans="1:14" ht="27.75" customHeight="1" x14ac:dyDescent="0.35">
      <c r="A5" s="18"/>
      <c r="B5" s="241">
        <f>SUM('Input Data'!F3:F24)</f>
        <v>8940.9000000000015</v>
      </c>
      <c r="C5" s="241"/>
      <c r="D5" s="242">
        <f>SUMPRODUCT(('Input Data'!H3:H24&lt;&gt;"")*'Input Data'!F3:F24)</f>
        <v>8153.9000000000005</v>
      </c>
      <c r="E5" s="242"/>
      <c r="F5" s="243">
        <f>SUMPRODUCT(('Input Data'!H3:H24="")*'Input Data'!F3:F24)</f>
        <v>787</v>
      </c>
      <c r="G5" s="243"/>
      <c r="H5" s="244">
        <f>IFERROR(SUMPRODUCT(('Input Data'!H3:H24&lt;&gt;"")*'Input Data'!F3:F24)/SUM('Input Data'!F3:F24),0)</f>
        <v>0.91197754141081988</v>
      </c>
      <c r="I5" s="244"/>
      <c r="J5" s="245">
        <f>IFERROR(SUMPRODUCT(('Input Data'!H3:H24="")*'Input Data'!F3:F24)/SUM('Input Data'!F3:F24),0)</f>
        <v>8.802245858918005E-2</v>
      </c>
      <c r="K5" s="245"/>
      <c r="L5" s="246" t="s">
        <v>243</v>
      </c>
      <c r="M5" s="246"/>
      <c r="N5" s="18"/>
    </row>
    <row r="6" spans="1:14" ht="18" customHeight="1" x14ac:dyDescent="0.35">
      <c r="A6" s="18"/>
      <c r="B6" s="247"/>
      <c r="C6" s="247"/>
      <c r="D6" s="248"/>
      <c r="E6" s="248"/>
      <c r="F6" s="249"/>
      <c r="G6" s="249"/>
      <c r="H6" s="248"/>
      <c r="I6" s="248"/>
      <c r="J6" s="250"/>
      <c r="K6" s="250"/>
      <c r="L6" s="251"/>
      <c r="M6" s="251"/>
      <c r="N6" s="18"/>
    </row>
    <row r="7" spans="1:14" ht="7.5" customHeight="1" x14ac:dyDescent="0.3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4" ht="19.5" customHeight="1" x14ac:dyDescent="0.35">
      <c r="A8" s="18"/>
      <c r="B8" s="240" t="s">
        <v>244</v>
      </c>
      <c r="C8" s="240"/>
      <c r="D8" s="236" t="s">
        <v>245</v>
      </c>
      <c r="E8" s="236"/>
      <c r="F8" s="238" t="s">
        <v>246</v>
      </c>
      <c r="G8" s="238"/>
      <c r="H8" s="240" t="s">
        <v>247</v>
      </c>
      <c r="I8" s="240"/>
      <c r="J8" s="240" t="s">
        <v>248</v>
      </c>
      <c r="K8" s="240"/>
      <c r="L8" s="240" t="s">
        <v>249</v>
      </c>
      <c r="M8" s="240"/>
      <c r="N8" s="18"/>
    </row>
    <row r="9" spans="1:14" ht="27.75" customHeight="1" x14ac:dyDescent="0.35">
      <c r="A9" s="18"/>
      <c r="B9" s="252">
        <f>SUM('Input Data'!K3:K24)</f>
        <v>7981402.0430000005</v>
      </c>
      <c r="C9" s="252"/>
      <c r="D9" s="253">
        <f>SUM('Input Data'!Q3:Q24)</f>
        <v>6606792.7196666664</v>
      </c>
      <c r="E9" s="253"/>
      <c r="F9" s="254">
        <f>SUM('Input Data'!L3:L24)</f>
        <v>-2123734.2433333336</v>
      </c>
      <c r="G9" s="254"/>
      <c r="H9" s="255">
        <f ca="1">E14</f>
        <v>3.9091467958579011</v>
      </c>
      <c r="I9" s="255"/>
      <c r="J9" s="255">
        <f ca="1">E15</f>
        <v>3.8025988921607023</v>
      </c>
      <c r="K9" s="255"/>
      <c r="L9" s="256" t="s">
        <v>250</v>
      </c>
      <c r="M9" s="256"/>
      <c r="N9" s="18"/>
    </row>
    <row r="10" spans="1:14" ht="18" customHeight="1" x14ac:dyDescent="0.35">
      <c r="A10" s="18"/>
      <c r="B10" s="251"/>
      <c r="C10" s="251"/>
      <c r="D10" s="247"/>
      <c r="E10" s="247"/>
      <c r="F10" s="249"/>
      <c r="G10" s="249"/>
      <c r="H10" s="251"/>
      <c r="I10" s="251"/>
      <c r="J10" s="251"/>
      <c r="K10" s="251"/>
      <c r="L10" s="251"/>
      <c r="M10" s="251"/>
      <c r="N10" s="18"/>
    </row>
    <row r="11" spans="1:14" ht="7.5" customHeight="1" x14ac:dyDescent="0.3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ht="19.5" customHeight="1" x14ac:dyDescent="0.35">
      <c r="A12" s="18"/>
      <c r="B12" s="12" t="s">
        <v>251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8"/>
    </row>
    <row r="13" spans="1:14" ht="19.5" customHeight="1" x14ac:dyDescent="0.35">
      <c r="A13" s="18"/>
      <c r="B13" s="257" t="s">
        <v>252</v>
      </c>
      <c r="C13" s="257"/>
      <c r="D13" s="257"/>
      <c r="E13" s="23" t="s">
        <v>253</v>
      </c>
      <c r="F13" s="257" t="s">
        <v>254</v>
      </c>
      <c r="G13" s="257"/>
      <c r="H13" s="257"/>
      <c r="I13" s="257"/>
      <c r="J13" s="257"/>
      <c r="K13" s="257"/>
      <c r="L13" s="257"/>
      <c r="M13" s="257"/>
      <c r="N13" s="18"/>
    </row>
    <row r="14" spans="1:14" ht="18" customHeight="1" x14ac:dyDescent="0.35">
      <c r="A14" s="18"/>
      <c r="B14" s="11" t="s">
        <v>247</v>
      </c>
      <c r="C14" s="11"/>
      <c r="D14" s="11"/>
      <c r="E14" s="89">
        <f ca="1">IFERROR(SUMPRODUCT(('Input Data'!AD3:AD24&gt;TODAY())*('Input Data'!AE3:AE24&gt;0)*'Input Data'!F3:F24*('Input Data'!AD3:AD24-TODAY())/365.25)/SUMPRODUCT(('Input Data'!AD3:AD24&gt;TODAY())*('Input Data'!AE3:AE24&gt;0)*'Input Data'!F3:F24),0)</f>
        <v>3.9091467958579011</v>
      </c>
      <c r="F14" s="258" t="s">
        <v>255</v>
      </c>
      <c r="G14" s="258"/>
      <c r="H14" s="258"/>
      <c r="I14" s="258"/>
      <c r="J14" s="258"/>
      <c r="K14" s="258"/>
      <c r="L14" s="258"/>
      <c r="M14" s="258"/>
      <c r="N14" s="18"/>
    </row>
    <row r="15" spans="1:14" ht="18" customHeight="1" x14ac:dyDescent="0.35">
      <c r="A15" s="18"/>
      <c r="B15" s="259" t="s">
        <v>248</v>
      </c>
      <c r="C15" s="259"/>
      <c r="D15" s="259"/>
      <c r="E15" s="91">
        <f ca="1">IFERROR(SUMPRODUCT(('Input Data'!AD3:AD24&gt;TODAY())*('Input Data'!AE3:AE24&gt;0)*'Input Data'!AE3:AE24*'Input Data'!F3:F24*('Input Data'!AD3:AD24-TODAY())/365.25)/SUMPRODUCT(('Input Data'!AD3:AD24&gt;TODAY())*('Input Data'!AE3:AE24&gt;0)*'Input Data'!AE3:AE24*'Input Data'!F3:F24),0)</f>
        <v>3.8025988921607023</v>
      </c>
      <c r="F15" s="260" t="s">
        <v>256</v>
      </c>
      <c r="G15" s="260"/>
      <c r="H15" s="260"/>
      <c r="I15" s="260"/>
      <c r="J15" s="260"/>
      <c r="K15" s="260"/>
      <c r="L15" s="260"/>
      <c r="M15" s="260"/>
      <c r="N15" s="18"/>
    </row>
    <row r="16" spans="1:14" ht="7.5" customHeight="1" x14ac:dyDescent="0.3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1:14" ht="19.5" customHeight="1" x14ac:dyDescent="0.35">
      <c r="A17" s="18"/>
      <c r="B17" s="12" t="s">
        <v>257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8"/>
    </row>
    <row r="18" spans="1:14" ht="19.5" customHeight="1" x14ac:dyDescent="0.35">
      <c r="A18" s="18"/>
      <c r="B18" s="257" t="s">
        <v>258</v>
      </c>
      <c r="C18" s="257"/>
      <c r="D18" s="257" t="s">
        <v>259</v>
      </c>
      <c r="E18" s="257"/>
      <c r="F18" s="23" t="s">
        <v>260</v>
      </c>
      <c r="G18" s="23" t="s">
        <v>65</v>
      </c>
      <c r="H18" s="23" t="s">
        <v>261</v>
      </c>
      <c r="I18" s="23" t="s">
        <v>262</v>
      </c>
      <c r="J18" s="257" t="s">
        <v>263</v>
      </c>
      <c r="K18" s="257"/>
      <c r="L18" s="257"/>
      <c r="M18" s="257"/>
      <c r="N18" s="18"/>
    </row>
    <row r="19" spans="1:14" ht="18" customHeight="1" x14ac:dyDescent="0.35">
      <c r="A19" s="18"/>
      <c r="B19" s="261" t="s">
        <v>264</v>
      </c>
      <c r="C19" s="261"/>
      <c r="D19" s="262">
        <f>SUMPRODUCT(('Input Data'!AD3:AD24&lt;&gt;"")*('Input Data'!AD3:AD24&lt;=DATE(2026,12,31))*'Input Data'!AE3:AE24*'Input Data'!F3:F24)</f>
        <v>0</v>
      </c>
      <c r="E19" s="262"/>
      <c r="F19" s="92">
        <f ca="1">IFERROR(D19/(SUMPRODUCT(('Input Data'!AD3:AD24&gt;TODAY())*('Input Data'!AE3:AE24&gt;0)*'Input Data'!AE3:AE24*'Input Data'!F3:F24)),0)</f>
        <v>0</v>
      </c>
      <c r="G19" s="93">
        <f>SUMPRODUCT(('Input Data'!AD3:AD24&lt;&gt;"")*('Input Data'!AD3:AD24&lt;=DATE(2026,12,31))*'Input Data'!F3:F24)</f>
        <v>0</v>
      </c>
      <c r="H19" s="92">
        <f ca="1">IFERROR(G19/(SUMPRODUCT(('Input Data'!AD3:AD24&gt;TODAY())*('Input Data'!AE3:AE24&gt;0)*'Input Data'!F3:F24)),0)</f>
        <v>0</v>
      </c>
      <c r="I19" s="94">
        <f>SUMPRODUCT(('Input Data'!AD3:AD24&lt;&gt;"")*('Input Data'!AD3:AD24&lt;=DATE(2026,12,31))*1)</f>
        <v>0</v>
      </c>
      <c r="J19" s="263" t="str">
        <f>IFERROR(MID(IF(('Input Data'!AD3&lt;&gt;"")*('Input Data'!AD3&lt;=DATE(2026,12,31)),", "&amp;'Input Data'!AF3&amp;" ("&amp;'Input Data'!C3&amp;")","")&amp;IF(('Input Data'!AD4&lt;&gt;"")*('Input Data'!AD4&lt;=DATE(2026,12,31)),", "&amp;'Input Data'!AF4&amp;" ("&amp;'Input Data'!C4&amp;")","")&amp;IF(('Input Data'!AD5&lt;&gt;"")*('Input Data'!AD5&lt;=DATE(2026,12,31)),", "&amp;'Input Data'!AF5&amp;" ("&amp;'Input Data'!C5&amp;")","")&amp;IF(('Input Data'!AD6&lt;&gt;"")*('Input Data'!AD6&lt;=DATE(2026,12,31)),", "&amp;'Input Data'!AF6&amp;" ("&amp;'Input Data'!C6&amp;")","")&amp;IF(('Input Data'!AD7&lt;&gt;"")*('Input Data'!AD7&lt;=DATE(2026,12,31)),", "&amp;'Input Data'!AF7&amp;" ("&amp;'Input Data'!C7&amp;")","")&amp;IF(('Input Data'!AD8&lt;&gt;"")*('Input Data'!AD8&lt;=DATE(2026,12,31)),", "&amp;'Input Data'!AF8&amp;" ("&amp;'Input Data'!C8&amp;")","")&amp;IF(('Input Data'!AD9&lt;&gt;"")*('Input Data'!AD9&lt;=DATE(2026,12,31)),", "&amp;'Input Data'!AF9&amp;" ("&amp;'Input Data'!C9&amp;")","")&amp;IF(('Input Data'!AD10&lt;&gt;"")*('Input Data'!AD10&lt;=DATE(2026,12,31)),", "&amp;'Input Data'!AF10&amp;" ("&amp;'Input Data'!C10&amp;")","")&amp;IF(('Input Data'!AD11&lt;&gt;"")*('Input Data'!AD11&lt;=DATE(2026,12,31)),", "&amp;'Input Data'!AF11&amp;" ("&amp;'Input Data'!C11&amp;")","")&amp;IF(('Input Data'!AD12&lt;&gt;"")*('Input Data'!AD12&lt;=DATE(2026,12,31)),", "&amp;'Input Data'!AF12&amp;" ("&amp;'Input Data'!C12&amp;")","")&amp;IF(('Input Data'!AD13&lt;&gt;"")*('Input Data'!AD13&lt;=DATE(2026,12,31)),", "&amp;'Input Data'!AF13&amp;" ("&amp;'Input Data'!C13&amp;")","")&amp;IF(('Input Data'!AD14&lt;&gt;"")*('Input Data'!AD14&lt;=DATE(2026,12,31)),", "&amp;'Input Data'!AF14&amp;" ("&amp;'Input Data'!C14&amp;")","")&amp;IF(('Input Data'!AD15&lt;&gt;"")*('Input Data'!AD15&lt;=DATE(2026,12,31)),", "&amp;'Input Data'!AF15&amp;" ("&amp;'Input Data'!C15&amp;")","")&amp;IF(('Input Data'!AD16&lt;&gt;"")*('Input Data'!AD16&lt;=DATE(2026,12,31)),", "&amp;'Input Data'!AF16&amp;" ("&amp;'Input Data'!C16&amp;")","")&amp;IF(('Input Data'!AD17&lt;&gt;"")*('Input Data'!AD17&lt;=DATE(2026,12,31)),", "&amp;'Input Data'!AF17&amp;" ("&amp;'Input Data'!C17&amp;")","")&amp;IF(('Input Data'!AD18&lt;&gt;"")*('Input Data'!AD18&lt;=DATE(2026,12,31)),", "&amp;'Input Data'!AF18&amp;" ("&amp;'Input Data'!C18&amp;")","")&amp;IF(('Input Data'!AD19&lt;&gt;"")*('Input Data'!AD19&lt;=DATE(2026,12,31)),", "&amp;'Input Data'!AF19&amp;" ("&amp;'Input Data'!C19&amp;")","")&amp;IF(('Input Data'!AD20&lt;&gt;"")*('Input Data'!AD20&lt;=DATE(2026,12,31)),", "&amp;'Input Data'!AF20&amp;" ("&amp;'Input Data'!C20&amp;")","")&amp;IF(('Input Data'!AD21&lt;&gt;"")*('Input Data'!AD21&lt;=DATE(2026,12,31)),", "&amp;'Input Data'!AF21&amp;" ("&amp;'Input Data'!C21&amp;")","")&amp;IF(('Input Data'!AD22&lt;&gt;"")*('Input Data'!AD22&lt;=DATE(2026,12,31)),", "&amp;'Input Data'!AF22&amp;" ("&amp;'Input Data'!C22&amp;")","")&amp;IF(('Input Data'!AD23&lt;&gt;"")*('Input Data'!AD23&lt;=DATE(2026,12,31)),", "&amp;'Input Data'!AF23&amp;" ("&amp;'Input Data'!C23&amp;")","")&amp;IF(('Input Data'!AD24&lt;&gt;"")*('Input Data'!AD24&lt;=DATE(2026,12,31)),", "&amp;'Input Data'!AF24&amp;" ("&amp;'Input Data'!C24&amp;")",""),3,999),"—")</f>
        <v/>
      </c>
      <c r="K19" s="263"/>
      <c r="L19" s="263"/>
      <c r="M19" s="263"/>
      <c r="N19" s="18"/>
    </row>
    <row r="20" spans="1:14" ht="18" customHeight="1" x14ac:dyDescent="0.35">
      <c r="A20" s="18"/>
      <c r="B20" s="264" t="s">
        <v>265</v>
      </c>
      <c r="C20" s="264"/>
      <c r="D20" s="265">
        <f t="array" aca="1" ref="D20" ca="1">SUMPRODUCT(('Input Data'!AD3:AD24&gt;TODAY())*(YEAR('Input Data'!AD3:AD24)=2027)*('Input Data'!AE3:AE24&gt;0)*'Input Data'!AE3:AE24*'Input Data'!F3:F24)</f>
        <v>683153.03600000008</v>
      </c>
      <c r="E20" s="265"/>
      <c r="F20" s="95">
        <f ca="1">IFERROR(D20/(SUMPRODUCT(('Input Data'!AD3:AD24&gt;TODAY())*('Input Data'!AE3:AE24&gt;0)*'Input Data'!AE3:AE24*'Input Data'!F3:F24)),0)</f>
        <v>8.5593111626190016E-2</v>
      </c>
      <c r="G20" s="96">
        <f ca="1">SUMPRODUCT(('Input Data'!AD3:AD24&gt;TODAY())*(YEAR('Input Data'!AD3:AD24)=2027)*('Input Data'!AE3:AE24&gt;0)*'Input Data'!F3:F24)</f>
        <v>642.70000000000005</v>
      </c>
      <c r="H20" s="95">
        <f ca="1">IFERROR(G20/(SUMPRODUCT(('Input Data'!AD3:AD24&gt;TODAY())*('Input Data'!AE3:AE24&gt;0)*'Input Data'!F3:F24)),0)</f>
        <v>8.2520158183965894E-2</v>
      </c>
      <c r="I20" s="97">
        <f ca="1">SUMPRODUCT(('Input Data'!AD3:AD24&gt;TODAY())*(YEAR('Input Data'!AD3:AD24)=2027)*('Input Data'!AE3:AE24&gt;0)*1)</f>
        <v>2</v>
      </c>
      <c r="J20" s="266" t="str">
        <f ca="1">IFERROR(MID(IF(('Input Data'!AD3&gt;TODAY())*(YEAR('Input Data'!AD3)=2027)*('Input Data'!AE3&gt;0),", "&amp;'Input Data'!AF3&amp;" ("&amp;'Input Data'!C3&amp;")","")&amp;IF(('Input Data'!AD4&gt;TODAY())*(YEAR('Input Data'!AD4)=2027)*('Input Data'!AE4&gt;0),", "&amp;'Input Data'!AF4&amp;" ("&amp;'Input Data'!C4&amp;")","")&amp;IF(('Input Data'!AD5&gt;TODAY())*(YEAR('Input Data'!AD5)=2027)*('Input Data'!AE5&gt;0),", "&amp;'Input Data'!AF5&amp;" ("&amp;'Input Data'!C5&amp;")","")&amp;IF(('Input Data'!AD6&gt;TODAY())*(YEAR('Input Data'!AD6)=2027)*('Input Data'!AE6&gt;0),", "&amp;'Input Data'!AF6&amp;" ("&amp;'Input Data'!C6&amp;")","")&amp;IF(('Input Data'!AD7&gt;TODAY())*(YEAR('Input Data'!AD7)=2027)*('Input Data'!AE7&gt;0),", "&amp;'Input Data'!AF7&amp;" ("&amp;'Input Data'!C7&amp;")","")&amp;IF(('Input Data'!AD8&gt;TODAY())*(YEAR('Input Data'!AD8)=2027)*('Input Data'!AE8&gt;0),", "&amp;'Input Data'!AF8&amp;" ("&amp;'Input Data'!C8&amp;")","")&amp;IF(('Input Data'!AD9&gt;TODAY())*(YEAR('Input Data'!AD9)=2027)*('Input Data'!AE9&gt;0),", "&amp;'Input Data'!AF9&amp;" ("&amp;'Input Data'!C9&amp;")","")&amp;IF(('Input Data'!AD10&gt;TODAY())*(YEAR('Input Data'!AD10)=2027)*('Input Data'!AE10&gt;0),", "&amp;'Input Data'!AF10&amp;" ("&amp;'Input Data'!C10&amp;")","")&amp;IF(('Input Data'!AD11&gt;TODAY())*(YEAR('Input Data'!AD11)=2027)*('Input Data'!AE11&gt;0),", "&amp;'Input Data'!AF11&amp;" ("&amp;'Input Data'!C11&amp;")","")&amp;IF(('Input Data'!AD12&gt;TODAY())*(YEAR('Input Data'!AD12)=2027)*('Input Data'!AE12&gt;0),", "&amp;'Input Data'!AF12&amp;" ("&amp;'Input Data'!C12&amp;")","")&amp;IF(('Input Data'!AD13&gt;TODAY())*(YEAR('Input Data'!AD13)=2027)*('Input Data'!AE13&gt;0),", "&amp;'Input Data'!AF13&amp;" ("&amp;'Input Data'!C13&amp;")","")&amp;IF(('Input Data'!AD14&gt;TODAY())*(YEAR('Input Data'!AD14)=2027)*('Input Data'!AE14&gt;0),", "&amp;'Input Data'!AF14&amp;" ("&amp;'Input Data'!C14&amp;")","")&amp;IF(('Input Data'!AD15&gt;TODAY())*(YEAR('Input Data'!AD15)=2027)*('Input Data'!AE15&gt;0),", "&amp;'Input Data'!AF15&amp;" ("&amp;'Input Data'!C15&amp;")","")&amp;IF(('Input Data'!AD16&gt;TODAY())*(YEAR('Input Data'!AD16)=2027)*('Input Data'!AE16&gt;0),", "&amp;'Input Data'!AF16&amp;" ("&amp;'Input Data'!C16&amp;")","")&amp;IF(('Input Data'!AD17&gt;TODAY())*(YEAR('Input Data'!AD17)=2027)*('Input Data'!AE17&gt;0),", "&amp;'Input Data'!AF17&amp;" ("&amp;'Input Data'!C17&amp;")","")&amp;IF(('Input Data'!AD18&gt;TODAY())*(YEAR('Input Data'!AD18)=2027)*('Input Data'!AE18&gt;0),", "&amp;'Input Data'!AF18&amp;" ("&amp;'Input Data'!C18&amp;")","")&amp;IF(('Input Data'!AD19&gt;TODAY())*(YEAR('Input Data'!AD19)=2027)*('Input Data'!AE19&gt;0),", "&amp;'Input Data'!AF19&amp;" ("&amp;'Input Data'!C19&amp;")","")&amp;IF(('Input Data'!AD20&gt;TODAY())*(YEAR('Input Data'!AD20)=2027)*('Input Data'!AE20&gt;0),", "&amp;'Input Data'!AF20&amp;" ("&amp;'Input Data'!C20&amp;")","")&amp;IF(('Input Data'!AD21&gt;TODAY())*(YEAR('Input Data'!AD21)=2027)*('Input Data'!AE21&gt;0),", "&amp;'Input Data'!AF21&amp;" ("&amp;'Input Data'!C21&amp;")","")&amp;IF(('Input Data'!AD22&gt;TODAY())*(YEAR('Input Data'!AD22)=2027)*('Input Data'!AE22&gt;0),", "&amp;'Input Data'!AF22&amp;" ("&amp;'Input Data'!C22&amp;")","")&amp;IF(('Input Data'!AD23&gt;TODAY())*(YEAR('Input Data'!AD23)=2027)*('Input Data'!AE23&gt;0),", "&amp;'Input Data'!AF23&amp;" ("&amp;'Input Data'!C23&amp;")","")&amp;IF(('Input Data'!AD24&gt;TODAY())*(YEAR('Input Data'!AD24)=2027)*('Input Data'!AE24&gt;0),", "&amp;'Input Data'!AF24&amp;" ("&amp;'Input Data'!C24&amp;")",""),3,999),"—")</f>
        <v>Keeping Company (6.03), Pitt &amp; Sherry (9.01)</v>
      </c>
      <c r="K20" s="266"/>
      <c r="L20" s="266"/>
      <c r="M20" s="266"/>
      <c r="N20" s="18"/>
    </row>
    <row r="21" spans="1:14" ht="26.25" customHeight="1" x14ac:dyDescent="0.35">
      <c r="A21" s="18"/>
      <c r="B21" s="233" t="s">
        <v>266</v>
      </c>
      <c r="C21" s="233"/>
      <c r="D21" s="267">
        <f ca="1">SUMPRODUCT(('Input Data'!AD3:AD24&gt;TODAY())*(YEAR('Input Data'!AD3:AD24)=2028)*('Input Data'!AE3:AE24&gt;0)*'Input Data'!AE3:AE24*'Input Data'!F3:F24)</f>
        <v>857128.71300000011</v>
      </c>
      <c r="E21" s="267"/>
      <c r="F21" s="99">
        <f ca="1">IFERROR(D21/(SUMPRODUCT(('Input Data'!AD3:AD24&gt;TODAY())*('Input Data'!AE3:AE24&gt;0)*'Input Data'!AE3:AE24*'Input Data'!F3:F24)),0)</f>
        <v>0.10739074518263809</v>
      </c>
      <c r="G21" s="100">
        <f ca="1">SUMPRODUCT(('Input Data'!AD3:AD24&gt;TODAY())*(YEAR('Input Data'!AD3:AD24)=2028)*('Input Data'!AE3:AE24&gt;0)*'Input Data'!F3:F24)</f>
        <v>794.40000000000009</v>
      </c>
      <c r="H21" s="99">
        <f ca="1">IFERROR(G21/(SUMPRODUCT(('Input Data'!AD3:AD24&gt;TODAY())*('Input Data'!AE3:AE24&gt;0)*'Input Data'!F3:F24)),0)</f>
        <v>0.10199784294591958</v>
      </c>
      <c r="I21" s="101">
        <f ca="1">SUMPRODUCT(('Input Data'!AD3:AD24&gt;TODAY())*(YEAR('Input Data'!AD3:AD24)=2028)*('Input Data'!AE3:AE24&gt;0)*1)</f>
        <v>2</v>
      </c>
      <c r="J21" s="268" t="str">
        <f ca="1">IFERROR(MID(IF(('Input Data'!AD3&gt;TODAY())*(YEAR('Input Data'!AD3)=2028)*('Input Data'!AE3&gt;0),", "&amp;'Input Data'!AF3&amp;" ("&amp;'Input Data'!C3&amp;")","")&amp;IF(('Input Data'!AD4&gt;TODAY())*(YEAR('Input Data'!AD4)=2028)*('Input Data'!AE4&gt;0),", "&amp;'Input Data'!AF4&amp;" ("&amp;'Input Data'!C4&amp;")","")&amp;IF(('Input Data'!AD5&gt;TODAY())*(YEAR('Input Data'!AD5)=2028)*('Input Data'!AE5&gt;0),", "&amp;'Input Data'!AF5&amp;" ("&amp;'Input Data'!C5&amp;")","")&amp;IF(('Input Data'!AD6&gt;TODAY())*(YEAR('Input Data'!AD6)=2028)*('Input Data'!AE6&gt;0),", "&amp;'Input Data'!AF6&amp;" ("&amp;'Input Data'!C6&amp;")","")&amp;IF(('Input Data'!AD7&gt;TODAY())*(YEAR('Input Data'!AD7)=2028)*('Input Data'!AE7&gt;0),", "&amp;'Input Data'!AF7&amp;" ("&amp;'Input Data'!C7&amp;")","")&amp;IF(('Input Data'!AD8&gt;TODAY())*(YEAR('Input Data'!AD8)=2028)*('Input Data'!AE8&gt;0),", "&amp;'Input Data'!AF8&amp;" ("&amp;'Input Data'!C8&amp;")","")&amp;IF(('Input Data'!AD9&gt;TODAY())*(YEAR('Input Data'!AD9)=2028)*('Input Data'!AE9&gt;0),", "&amp;'Input Data'!AF9&amp;" ("&amp;'Input Data'!C9&amp;")","")&amp;IF(('Input Data'!AD10&gt;TODAY())*(YEAR('Input Data'!AD10)=2028)*('Input Data'!AE10&gt;0),", "&amp;'Input Data'!AF10&amp;" ("&amp;'Input Data'!C10&amp;")","")&amp;IF(('Input Data'!AD11&gt;TODAY())*(YEAR('Input Data'!AD11)=2028)*('Input Data'!AE11&gt;0),", "&amp;'Input Data'!AF11&amp;" ("&amp;'Input Data'!C11&amp;")","")&amp;IF(('Input Data'!AD12&gt;TODAY())*(YEAR('Input Data'!AD12)=2028)*('Input Data'!AE12&gt;0),", "&amp;'Input Data'!AF12&amp;" ("&amp;'Input Data'!C12&amp;")","")&amp;IF(('Input Data'!AD13&gt;TODAY())*(YEAR('Input Data'!AD13)=2028)*('Input Data'!AE13&gt;0),", "&amp;'Input Data'!AF13&amp;" ("&amp;'Input Data'!C13&amp;")","")&amp;IF(('Input Data'!AD14&gt;TODAY())*(YEAR('Input Data'!AD14)=2028)*('Input Data'!AE14&gt;0),", "&amp;'Input Data'!AF14&amp;" ("&amp;'Input Data'!C14&amp;")","")&amp;IF(('Input Data'!AD15&gt;TODAY())*(YEAR('Input Data'!AD15)=2028)*('Input Data'!AE15&gt;0),", "&amp;'Input Data'!AF15&amp;" ("&amp;'Input Data'!C15&amp;")","")&amp;IF(('Input Data'!AD16&gt;TODAY())*(YEAR('Input Data'!AD16)=2028)*('Input Data'!AE16&gt;0),", "&amp;'Input Data'!AF16&amp;" ("&amp;'Input Data'!C16&amp;")","")&amp;IF(('Input Data'!AD17&gt;TODAY())*(YEAR('Input Data'!AD17)=2028)*('Input Data'!AE17&gt;0),", "&amp;'Input Data'!AF17&amp;" ("&amp;'Input Data'!C17&amp;")","")&amp;IF(('Input Data'!AD18&gt;TODAY())*(YEAR('Input Data'!AD18)=2028)*('Input Data'!AE18&gt;0),", "&amp;'Input Data'!AF18&amp;" ("&amp;'Input Data'!C18&amp;")","")&amp;IF(('Input Data'!AD19&gt;TODAY())*(YEAR('Input Data'!AD19)=2028)*('Input Data'!AE19&gt;0),", "&amp;'Input Data'!AF19&amp;" ("&amp;'Input Data'!C19&amp;")","")&amp;IF(('Input Data'!AD20&gt;TODAY())*(YEAR('Input Data'!AD20)=2028)*('Input Data'!AE20&gt;0),", "&amp;'Input Data'!AF20&amp;" ("&amp;'Input Data'!C20&amp;")","")&amp;IF(('Input Data'!AD21&gt;TODAY())*(YEAR('Input Data'!AD21)=2028)*('Input Data'!AE21&gt;0),", "&amp;'Input Data'!AF21&amp;" ("&amp;'Input Data'!C21&amp;")","")&amp;IF(('Input Data'!AD22&gt;TODAY())*(YEAR('Input Data'!AD22)=2028)*('Input Data'!AE22&gt;0),", "&amp;'Input Data'!AF22&amp;" ("&amp;'Input Data'!C22&amp;")","")&amp;IF(('Input Data'!AD23&gt;TODAY())*(YEAR('Input Data'!AD23)=2028)*('Input Data'!AE23&gt;0),", "&amp;'Input Data'!AF23&amp;" ("&amp;'Input Data'!C23&amp;")","")&amp;IF(('Input Data'!AD24&gt;TODAY())*(YEAR('Input Data'!AD24)=2028)*('Input Data'!AE24&gt;0),", "&amp;'Input Data'!AF24&amp;" ("&amp;'Input Data'!C24&amp;")",""),3,999),"—")</f>
        <v>Sydney Smiletree (3.01), Vanderlande Industries (8.01)</v>
      </c>
      <c r="K21" s="268"/>
      <c r="L21" s="268"/>
      <c r="M21" s="268"/>
      <c r="N21" s="18"/>
    </row>
    <row r="22" spans="1:14" ht="26.25" customHeight="1" x14ac:dyDescent="0.35">
      <c r="A22" s="18"/>
      <c r="B22" s="264" t="s">
        <v>267</v>
      </c>
      <c r="C22" s="264"/>
      <c r="D22" s="269">
        <f ca="1">SUMPRODUCT(('Input Data'!AD3:AD24&gt;TODAY())*(YEAR('Input Data'!AD3:AD24)=2029)*('Input Data'!AE3:AE24&gt;0)*'Input Data'!AE3:AE24*'Input Data'!F3:F24)</f>
        <v>2340040.9679999999</v>
      </c>
      <c r="E22" s="269"/>
      <c r="F22" s="102">
        <f ca="1">IFERROR(D22/(SUMPRODUCT(('Input Data'!AD3:AD24&gt;TODAY())*('Input Data'!AE3:AE24&gt;0)*'Input Data'!AE3:AE24*'Input Data'!F3:F24)),0)</f>
        <v>0.29318670521707479</v>
      </c>
      <c r="G22" s="103">
        <f ca="1">SUMPRODUCT(('Input Data'!AD3:AD24&gt;TODAY())*(YEAR('Input Data'!AD3:AD24)=2029)*('Input Data'!AE3:AE24&gt;0)*'Input Data'!F3:F24)</f>
        <v>1923.6</v>
      </c>
      <c r="H22" s="102">
        <f ca="1">IFERROR(G22/(SUMPRODUCT(('Input Data'!AD3:AD24&gt;TODAY())*('Input Data'!AE3:AE24&gt;0)*'Input Data'!F3:F24)),0)</f>
        <v>0.24698269220892607</v>
      </c>
      <c r="I22" s="104">
        <f ca="1">SUMPRODUCT(('Input Data'!AD3:AD24&gt;TODAY())*(YEAR('Input Data'!AD3:AD24)=2029)*('Input Data'!AE3:AE24&gt;0)*1)</f>
        <v>5</v>
      </c>
      <c r="J22" s="270" t="str">
        <f ca="1">IFERROR(MID(IF(('Input Data'!AD3&gt;TODAY())*(YEAR('Input Data'!AD3)=2029)*('Input Data'!AE3&gt;0),", "&amp;'Input Data'!AF3&amp;" ("&amp;'Input Data'!C3&amp;")","")&amp;IF(('Input Data'!AD4&gt;TODAY())*(YEAR('Input Data'!AD4)=2029)*('Input Data'!AE4&gt;0),", "&amp;'Input Data'!AF4&amp;" ("&amp;'Input Data'!C4&amp;")","")&amp;IF(('Input Data'!AD5&gt;TODAY())*(YEAR('Input Data'!AD5)=2029)*('Input Data'!AE5&gt;0),", "&amp;'Input Data'!AF5&amp;" ("&amp;'Input Data'!C5&amp;")","")&amp;IF(('Input Data'!AD6&gt;TODAY())*(YEAR('Input Data'!AD6)=2029)*('Input Data'!AE6&gt;0),", "&amp;'Input Data'!AF6&amp;" ("&amp;'Input Data'!C6&amp;")","")&amp;IF(('Input Data'!AD7&gt;TODAY())*(YEAR('Input Data'!AD7)=2029)*('Input Data'!AE7&gt;0),", "&amp;'Input Data'!AF7&amp;" ("&amp;'Input Data'!C7&amp;")","")&amp;IF(('Input Data'!AD8&gt;TODAY())*(YEAR('Input Data'!AD8)=2029)*('Input Data'!AE8&gt;0),", "&amp;'Input Data'!AF8&amp;" ("&amp;'Input Data'!C8&amp;")","")&amp;IF(('Input Data'!AD9&gt;TODAY())*(YEAR('Input Data'!AD9)=2029)*('Input Data'!AE9&gt;0),", "&amp;'Input Data'!AF9&amp;" ("&amp;'Input Data'!C9&amp;")","")&amp;IF(('Input Data'!AD10&gt;TODAY())*(YEAR('Input Data'!AD10)=2029)*('Input Data'!AE10&gt;0),", "&amp;'Input Data'!AF10&amp;" ("&amp;'Input Data'!C10&amp;")","")&amp;IF(('Input Data'!AD11&gt;TODAY())*(YEAR('Input Data'!AD11)=2029)*('Input Data'!AE11&gt;0),", "&amp;'Input Data'!AF11&amp;" ("&amp;'Input Data'!C11&amp;")","")&amp;IF(('Input Data'!AD12&gt;TODAY())*(YEAR('Input Data'!AD12)=2029)*('Input Data'!AE12&gt;0),", "&amp;'Input Data'!AF12&amp;" ("&amp;'Input Data'!C12&amp;")","")&amp;IF(('Input Data'!AD13&gt;TODAY())*(YEAR('Input Data'!AD13)=2029)*('Input Data'!AE13&gt;0),", "&amp;'Input Data'!AF13&amp;" ("&amp;'Input Data'!C13&amp;")","")&amp;IF(('Input Data'!AD14&gt;TODAY())*(YEAR('Input Data'!AD14)=2029)*('Input Data'!AE14&gt;0),", "&amp;'Input Data'!AF14&amp;" ("&amp;'Input Data'!C14&amp;")","")&amp;IF(('Input Data'!AD15&gt;TODAY())*(YEAR('Input Data'!AD15)=2029)*('Input Data'!AE15&gt;0),", "&amp;'Input Data'!AF15&amp;" ("&amp;'Input Data'!C15&amp;")","")&amp;IF(('Input Data'!AD16&gt;TODAY())*(YEAR('Input Data'!AD16)=2029)*('Input Data'!AE16&gt;0),", "&amp;'Input Data'!AF16&amp;" ("&amp;'Input Data'!C16&amp;")","")&amp;IF(('Input Data'!AD17&gt;TODAY())*(YEAR('Input Data'!AD17)=2029)*('Input Data'!AE17&gt;0),", "&amp;'Input Data'!AF17&amp;" ("&amp;'Input Data'!C17&amp;")","")&amp;IF(('Input Data'!AD18&gt;TODAY())*(YEAR('Input Data'!AD18)=2029)*('Input Data'!AE18&gt;0),", "&amp;'Input Data'!AF18&amp;" ("&amp;'Input Data'!C18&amp;")","")&amp;IF(('Input Data'!AD19&gt;TODAY())*(YEAR('Input Data'!AD19)=2029)*('Input Data'!AE19&gt;0),", "&amp;'Input Data'!AF19&amp;" ("&amp;'Input Data'!C19&amp;")","")&amp;IF(('Input Data'!AD20&gt;TODAY())*(YEAR('Input Data'!AD20)=2029)*('Input Data'!AE20&gt;0),", "&amp;'Input Data'!AF20&amp;" ("&amp;'Input Data'!C20&amp;")","")&amp;IF(('Input Data'!AD21&gt;TODAY())*(YEAR('Input Data'!AD21)=2029)*('Input Data'!AE21&gt;0),", "&amp;'Input Data'!AF21&amp;" ("&amp;'Input Data'!C21&amp;")","")&amp;IF(('Input Data'!AD22&gt;TODAY())*(YEAR('Input Data'!AD22)=2029)*('Input Data'!AE22&gt;0),", "&amp;'Input Data'!AF22&amp;" ("&amp;'Input Data'!C22&amp;")","")&amp;IF(('Input Data'!AD23&gt;TODAY())*(YEAR('Input Data'!AD23)=2029)*('Input Data'!AE23&gt;0),", "&amp;'Input Data'!AF23&amp;" ("&amp;'Input Data'!C23&amp;")","")&amp;IF(('Input Data'!AD24&gt;TODAY())*(YEAR('Input Data'!AD24)=2029)*('Input Data'!AE24&gt;0),", "&amp;'Input Data'!AF24&amp;" ("&amp;'Input Data'!C24&amp;")",""),3,999),"—")</f>
        <v>Asterx (MediRecords) (5.03), Auctionsplus (5.04), Sungrow (L6) (6.02), Sungrow (L7 Main) (7.01), Smile Partners Australia (9.02)</v>
      </c>
      <c r="K22" s="270"/>
      <c r="L22" s="270"/>
      <c r="M22" s="270"/>
      <c r="N22" s="18"/>
    </row>
    <row r="23" spans="1:14" ht="26.25" customHeight="1" x14ac:dyDescent="0.35">
      <c r="A23" s="18"/>
      <c r="B23" s="271" t="s">
        <v>268</v>
      </c>
      <c r="C23" s="271"/>
      <c r="D23" s="269">
        <f ca="1">SUMPRODUCT(('Input Data'!AD3:AD24&gt;TODAY())*(YEAR('Input Data'!AD3:AD24)=2030)*('Input Data'!AE3:AE24&gt;0)*'Input Data'!AE3:AE24*'Input Data'!F3:F24)</f>
        <v>896257.05599999998</v>
      </c>
      <c r="E23" s="269"/>
      <c r="F23" s="102">
        <f ca="1">IFERROR(D23/(SUMPRODUCT(('Input Data'!AD3:AD24&gt;TODAY())*('Input Data'!AE3:AE24&gt;0)*'Input Data'!AE3:AE24*'Input Data'!F3:F24)),0)</f>
        <v>0.11229318497820219</v>
      </c>
      <c r="G23" s="103">
        <f ca="1">SUMPRODUCT(('Input Data'!AD3:AD24&gt;TODAY())*(YEAR('Input Data'!AD3:AD24)=2030)*('Input Data'!AE3:AE24&gt;0)*'Input Data'!F3:F24)</f>
        <v>903.3</v>
      </c>
      <c r="H23" s="102">
        <f ca="1">IFERROR(G23/(SUMPRODUCT(('Input Data'!AD3:AD24&gt;TODAY())*('Input Data'!AE3:AE24&gt;0)*'Input Data'!F3:F24)),0)</f>
        <v>0.11598017564583225</v>
      </c>
      <c r="I23" s="104">
        <f ca="1">SUMPRODUCT(('Input Data'!AD3:AD24&gt;TODAY())*(YEAR('Input Data'!AD3:AD24)=2030)*('Input Data'!AE3:AE24&gt;0)*1)</f>
        <v>3</v>
      </c>
      <c r="J23" s="270" t="str">
        <f ca="1">IFERROR(MID(IF(('Input Data'!AD3&gt;TODAY())*(YEAR('Input Data'!AD3)=2030)*('Input Data'!AE3&gt;0),", "&amp;'Input Data'!AF3&amp;" ("&amp;'Input Data'!C3&amp;")","")&amp;IF(('Input Data'!AD4&gt;TODAY())*(YEAR('Input Data'!AD4)=2030)*('Input Data'!AE4&gt;0),", "&amp;'Input Data'!AF4&amp;" ("&amp;'Input Data'!C4&amp;")","")&amp;IF(('Input Data'!AD5&gt;TODAY())*(YEAR('Input Data'!AD5)=2030)*('Input Data'!AE5&gt;0),", "&amp;'Input Data'!AF5&amp;" ("&amp;'Input Data'!C5&amp;")","")&amp;IF(('Input Data'!AD6&gt;TODAY())*(YEAR('Input Data'!AD6)=2030)*('Input Data'!AE6&gt;0),", "&amp;'Input Data'!AF6&amp;" ("&amp;'Input Data'!C6&amp;")","")&amp;IF(('Input Data'!AD7&gt;TODAY())*(YEAR('Input Data'!AD7)=2030)*('Input Data'!AE7&gt;0),", "&amp;'Input Data'!AF7&amp;" ("&amp;'Input Data'!C7&amp;")","")&amp;IF(('Input Data'!AD8&gt;TODAY())*(YEAR('Input Data'!AD8)=2030)*('Input Data'!AE8&gt;0),", "&amp;'Input Data'!AF8&amp;" ("&amp;'Input Data'!C8&amp;")","")&amp;IF(('Input Data'!AD9&gt;TODAY())*(YEAR('Input Data'!AD9)=2030)*('Input Data'!AE9&gt;0),", "&amp;'Input Data'!AF9&amp;" ("&amp;'Input Data'!C9&amp;")","")&amp;IF(('Input Data'!AD10&gt;TODAY())*(YEAR('Input Data'!AD10)=2030)*('Input Data'!AE10&gt;0),", "&amp;'Input Data'!AF10&amp;" ("&amp;'Input Data'!C10&amp;")","")&amp;IF(('Input Data'!AD11&gt;TODAY())*(YEAR('Input Data'!AD11)=2030)*('Input Data'!AE11&gt;0),", "&amp;'Input Data'!AF11&amp;" ("&amp;'Input Data'!C11&amp;")","")&amp;IF(('Input Data'!AD12&gt;TODAY())*(YEAR('Input Data'!AD12)=2030)*('Input Data'!AE12&gt;0),", "&amp;'Input Data'!AF12&amp;" ("&amp;'Input Data'!C12&amp;")","")&amp;IF(('Input Data'!AD13&gt;TODAY())*(YEAR('Input Data'!AD13)=2030)*('Input Data'!AE13&gt;0),", "&amp;'Input Data'!AF13&amp;" ("&amp;'Input Data'!C13&amp;")","")&amp;IF(('Input Data'!AD14&gt;TODAY())*(YEAR('Input Data'!AD14)=2030)*('Input Data'!AE14&gt;0),", "&amp;'Input Data'!AF14&amp;" ("&amp;'Input Data'!C14&amp;")","")&amp;IF(('Input Data'!AD15&gt;TODAY())*(YEAR('Input Data'!AD15)=2030)*('Input Data'!AE15&gt;0),", "&amp;'Input Data'!AF15&amp;" ("&amp;'Input Data'!C15&amp;")","")&amp;IF(('Input Data'!AD16&gt;TODAY())*(YEAR('Input Data'!AD16)=2030)*('Input Data'!AE16&gt;0),", "&amp;'Input Data'!AF16&amp;" ("&amp;'Input Data'!C16&amp;")","")&amp;IF(('Input Data'!AD17&gt;TODAY())*(YEAR('Input Data'!AD17)=2030)*('Input Data'!AE17&gt;0),", "&amp;'Input Data'!AF17&amp;" ("&amp;'Input Data'!C17&amp;")","")&amp;IF(('Input Data'!AD18&gt;TODAY())*(YEAR('Input Data'!AD18)=2030)*('Input Data'!AE18&gt;0),", "&amp;'Input Data'!AF18&amp;" ("&amp;'Input Data'!C18&amp;")","")&amp;IF(('Input Data'!AD19&gt;TODAY())*(YEAR('Input Data'!AD19)=2030)*('Input Data'!AE19&gt;0),", "&amp;'Input Data'!AF19&amp;" ("&amp;'Input Data'!C19&amp;")","")&amp;IF(('Input Data'!AD20&gt;TODAY())*(YEAR('Input Data'!AD20)=2030)*('Input Data'!AE20&gt;0),", "&amp;'Input Data'!AF20&amp;" ("&amp;'Input Data'!C20&amp;")","")&amp;IF(('Input Data'!AD21&gt;TODAY())*(YEAR('Input Data'!AD21)=2030)*('Input Data'!AE21&gt;0),", "&amp;'Input Data'!AF21&amp;" ("&amp;'Input Data'!C21&amp;")","")&amp;IF(('Input Data'!AD22&gt;TODAY())*(YEAR('Input Data'!AD22)=2030)*('Input Data'!AE22&gt;0),", "&amp;'Input Data'!AF22&amp;" ("&amp;'Input Data'!C22&amp;")","")&amp;IF(('Input Data'!AD23&gt;TODAY())*(YEAR('Input Data'!AD23)=2030)*('Input Data'!AE23&gt;0),", "&amp;'Input Data'!AF23&amp;" ("&amp;'Input Data'!C23&amp;")","")&amp;IF(('Input Data'!AD24&gt;TODAY())*(YEAR('Input Data'!AD24)=2030)*('Input Data'!AE24&gt;0),", "&amp;'Input Data'!AF24&amp;" ("&amp;'Input Data'!C24&amp;")",""),3,999),"—")</f>
        <v>Can Too Foundation (8.03), Hulsbosch Design (12.01), AEI Insurance Group (12.02)</v>
      </c>
      <c r="K23" s="270"/>
      <c r="L23" s="270"/>
      <c r="M23" s="270"/>
      <c r="N23" s="18"/>
    </row>
    <row r="24" spans="1:14" ht="26.25" customHeight="1" x14ac:dyDescent="0.35">
      <c r="A24" s="18"/>
      <c r="B24" s="264" t="s">
        <v>269</v>
      </c>
      <c r="C24" s="264"/>
      <c r="D24" s="269">
        <f ca="1">SUMPRODUCT(('Input Data'!AD3:AD24&gt;TODAY())*(YEAR('Input Data'!AD3:AD24)&gt;=2031)*('Input Data'!AE3:AE24&gt;0)*'Input Data'!AE3:AE24*'Input Data'!F3:F24)</f>
        <v>3204822.27</v>
      </c>
      <c r="E24" s="269"/>
      <c r="F24" s="102">
        <f ca="1">IFERROR(D24/(SUMPRODUCT(('Input Data'!AD3:AD24&gt;TODAY())*('Input Data'!AE3:AE24&gt;0)*'Input Data'!AE3:AE24*'Input Data'!F3:F24)),0)</f>
        <v>0.40153625299589485</v>
      </c>
      <c r="G24" s="103">
        <f ca="1">SUMPRODUCT(('Input Data'!AD3:AD24&gt;TODAY())*(YEAR('Input Data'!AD3:AD24)&gt;=2031)*('Input Data'!AE3:AE24&gt;0)*'Input Data'!F3:F24)</f>
        <v>3524.4</v>
      </c>
      <c r="H24" s="102">
        <f ca="1">IFERROR(G24/(SUMPRODUCT(('Input Data'!AD3:AD24&gt;TODAY())*('Input Data'!AE3:AE24&gt;0)*'Input Data'!F3:F24)),0)</f>
        <v>0.45251913101535612</v>
      </c>
      <c r="I24" s="104">
        <f ca="1">SUMPRODUCT(('Input Data'!AD3:AD24&gt;TODAY())*(YEAR('Input Data'!AD3:AD24)&gt;=2031)*('Input Data'!AE3:AE24&gt;0)*1)</f>
        <v>7</v>
      </c>
      <c r="J24" s="270" t="str">
        <f ca="1">IFERROR(MID(IF(('Input Data'!AD3&gt;TODAY())*(YEAR('Input Data'!AD3)&gt;=2031)*('Input Data'!AE3&gt;0),", "&amp;'Input Data'!AF3&amp;" ("&amp;'Input Data'!C3&amp;")","")&amp;IF(('Input Data'!AD4&gt;TODAY())*(YEAR('Input Data'!AD4)&gt;=2031)*('Input Data'!AE4&gt;0),", "&amp;'Input Data'!AF4&amp;" ("&amp;'Input Data'!C4&amp;")","")&amp;IF(('Input Data'!AD5&gt;TODAY())*(YEAR('Input Data'!AD5)&gt;=2031)*('Input Data'!AE5&gt;0),", "&amp;'Input Data'!AF5&amp;" ("&amp;'Input Data'!C5&amp;")","")&amp;IF(('Input Data'!AD6&gt;TODAY())*(YEAR('Input Data'!AD6)&gt;=2031)*('Input Data'!AE6&gt;0),", "&amp;'Input Data'!AF6&amp;" ("&amp;'Input Data'!C6&amp;")","")&amp;IF(('Input Data'!AD7&gt;TODAY())*(YEAR('Input Data'!AD7)&gt;=2031)*('Input Data'!AE7&gt;0),", "&amp;'Input Data'!AF7&amp;" ("&amp;'Input Data'!C7&amp;")","")&amp;IF(('Input Data'!AD8&gt;TODAY())*(YEAR('Input Data'!AD8)&gt;=2031)*('Input Data'!AE8&gt;0),", "&amp;'Input Data'!AF8&amp;" ("&amp;'Input Data'!C8&amp;")","")&amp;IF(('Input Data'!AD9&gt;TODAY())*(YEAR('Input Data'!AD9)&gt;=2031)*('Input Data'!AE9&gt;0),", "&amp;'Input Data'!AF9&amp;" ("&amp;'Input Data'!C9&amp;")","")&amp;IF(('Input Data'!AD10&gt;TODAY())*(YEAR('Input Data'!AD10)&gt;=2031)*('Input Data'!AE10&gt;0),", "&amp;'Input Data'!AF10&amp;" ("&amp;'Input Data'!C10&amp;")","")&amp;IF(('Input Data'!AD11&gt;TODAY())*(YEAR('Input Data'!AD11)&gt;=2031)*('Input Data'!AE11&gt;0),", "&amp;'Input Data'!AF11&amp;" ("&amp;'Input Data'!C11&amp;")","")&amp;IF(('Input Data'!AD12&gt;TODAY())*(YEAR('Input Data'!AD12)&gt;=2031)*('Input Data'!AE12&gt;0),", "&amp;'Input Data'!AF12&amp;" ("&amp;'Input Data'!C12&amp;")","")&amp;IF(('Input Data'!AD13&gt;TODAY())*(YEAR('Input Data'!AD13)&gt;=2031)*('Input Data'!AE13&gt;0),", "&amp;'Input Data'!AF13&amp;" ("&amp;'Input Data'!C13&amp;")","")&amp;IF(('Input Data'!AD14&gt;TODAY())*(YEAR('Input Data'!AD14)&gt;=2031)*('Input Data'!AE14&gt;0),", "&amp;'Input Data'!AF14&amp;" ("&amp;'Input Data'!C14&amp;")","")&amp;IF(('Input Data'!AD15&gt;TODAY())*(YEAR('Input Data'!AD15)&gt;=2031)*('Input Data'!AE15&gt;0),", "&amp;'Input Data'!AF15&amp;" ("&amp;'Input Data'!C15&amp;")","")&amp;IF(('Input Data'!AD16&gt;TODAY())*(YEAR('Input Data'!AD16)&gt;=2031)*('Input Data'!AE16&gt;0),", "&amp;'Input Data'!AF16&amp;" ("&amp;'Input Data'!C16&amp;")","")&amp;IF(('Input Data'!AD17&gt;TODAY())*(YEAR('Input Data'!AD17)&gt;=2031)*('Input Data'!AE17&gt;0),", "&amp;'Input Data'!AF17&amp;" ("&amp;'Input Data'!C17&amp;")","")&amp;IF(('Input Data'!AD18&gt;TODAY())*(YEAR('Input Data'!AD18)&gt;=2031)*('Input Data'!AE18&gt;0),", "&amp;'Input Data'!AF18&amp;" ("&amp;'Input Data'!C18&amp;")","")&amp;IF(('Input Data'!AD19&gt;TODAY())*(YEAR('Input Data'!AD19)&gt;=2031)*('Input Data'!AE19&gt;0),", "&amp;'Input Data'!AF19&amp;" ("&amp;'Input Data'!C19&amp;")","")&amp;IF(('Input Data'!AD20&gt;TODAY())*(YEAR('Input Data'!AD20)&gt;=2031)*('Input Data'!AE20&gt;0),", "&amp;'Input Data'!AF20&amp;" ("&amp;'Input Data'!C20&amp;")","")&amp;IF(('Input Data'!AD21&gt;TODAY())*(YEAR('Input Data'!AD21)&gt;=2031)*('Input Data'!AE21&gt;0),", "&amp;'Input Data'!AF21&amp;" ("&amp;'Input Data'!C21&amp;")","")&amp;IF(('Input Data'!AD22&gt;TODAY())*(YEAR('Input Data'!AD22)&gt;=2031)*('Input Data'!AE22&gt;0),", "&amp;'Input Data'!AF22&amp;" ("&amp;'Input Data'!C22&amp;")","")&amp;IF(('Input Data'!AD23&gt;TODAY())*(YEAR('Input Data'!AD23)&gt;=2031)*('Input Data'!AE23&gt;0),", "&amp;'Input Data'!AF23&amp;" ("&amp;'Input Data'!C23&amp;")","")&amp;IF(('Input Data'!AD24&gt;TODAY())*(YEAR('Input Data'!AD24)&gt;=2031)*('Input Data'!AE24&gt;0),", "&amp;'Input Data'!AF24&amp;" ("&amp;'Input Data'!C24&amp;")",""),3,999),"—")</f>
        <v>Fitness First (L3) (3.02), Fitness First (L4) (4.01), Fitness First N. Sydney (5.01), Elekta (6.04), Caldas Constructions (6.01), Luxasia (11.01), Haskoning Australia (11.02)</v>
      </c>
      <c r="K24" s="270"/>
      <c r="L24" s="270"/>
      <c r="M24" s="270"/>
      <c r="N24" s="18"/>
    </row>
    <row r="25" spans="1:14" ht="19.5" customHeight="1" x14ac:dyDescent="0.35">
      <c r="A25" s="18"/>
      <c r="B25" s="233" t="s">
        <v>270</v>
      </c>
      <c r="C25" s="233"/>
      <c r="D25" s="272">
        <f ca="1">SUMPRODUCT(('Input Data'!AD3:AD24&gt;TODAY())*('Input Data'!AE3:AE24&gt;0)*'Input Data'!AE3:AE24*'Input Data'!F3:F24)</f>
        <v>7981402.0430000005</v>
      </c>
      <c r="E25" s="272"/>
      <c r="F25" s="105">
        <v>1</v>
      </c>
      <c r="G25" s="79">
        <f ca="1">SUMPRODUCT(('Input Data'!AD3:AD24&gt;TODAY())*('Input Data'!AE3:AE24&gt;0)*'Input Data'!F3:F24)</f>
        <v>7788.4000000000005</v>
      </c>
      <c r="H25" s="105">
        <v>1</v>
      </c>
      <c r="I25" s="86"/>
      <c r="J25" s="86"/>
      <c r="K25" s="86"/>
      <c r="L25" s="86"/>
      <c r="M25" s="86"/>
      <c r="N25" s="18"/>
    </row>
    <row r="26" spans="1:14" ht="7.5" customHeight="1" x14ac:dyDescent="0.3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4" ht="19.5" customHeight="1" x14ac:dyDescent="0.35">
      <c r="A27" s="18"/>
      <c r="B27" s="12" t="s">
        <v>271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8"/>
    </row>
    <row r="28" spans="1:14" ht="19.5" customHeight="1" x14ac:dyDescent="0.35">
      <c r="A28" s="18"/>
      <c r="B28" s="23" t="s">
        <v>272</v>
      </c>
      <c r="C28" s="257" t="s">
        <v>273</v>
      </c>
      <c r="D28" s="257"/>
      <c r="E28" s="23" t="s">
        <v>274</v>
      </c>
      <c r="F28" s="23" t="s">
        <v>275</v>
      </c>
      <c r="G28" s="23" t="s">
        <v>276</v>
      </c>
      <c r="H28" s="23" t="s">
        <v>277</v>
      </c>
      <c r="I28" s="23" t="s">
        <v>278</v>
      </c>
      <c r="J28" s="257" t="s">
        <v>279</v>
      </c>
      <c r="K28" s="257"/>
      <c r="L28" s="257"/>
      <c r="M28" s="257"/>
      <c r="N28" s="18"/>
    </row>
    <row r="29" spans="1:14" ht="15" customHeight="1" x14ac:dyDescent="0.35">
      <c r="A29" s="18"/>
      <c r="B29" s="66" t="str">
        <f>'Input Data'!C3</f>
        <v>3.01</v>
      </c>
      <c r="C29" s="273" t="str">
        <f>'Input Data'!D3</f>
        <v>Sydney Smiletree Pty Ltd</v>
      </c>
      <c r="D29" s="273"/>
      <c r="E29" s="68">
        <f>'Input Data'!F3</f>
        <v>107.7</v>
      </c>
      <c r="F29" s="69">
        <f>'Input Data'!J3</f>
        <v>1395.94</v>
      </c>
      <c r="G29" s="69">
        <f>'Input Data'!X3</f>
        <v>950</v>
      </c>
      <c r="H29" s="69">
        <f>'Input Data'!Y3</f>
        <v>445.94000000000005</v>
      </c>
      <c r="I29" s="72">
        <f>'Input Data'!Z3</f>
        <v>0.46941052631578956</v>
      </c>
      <c r="J29" s="273" t="str">
        <f>IF('Input Data'!Y3&gt;0,"▲ Above Mkt",IF('Input Data'!Y3&lt;0,"▼ Below Mkt","≈ At Market"))</f>
        <v>▲ Above Mkt</v>
      </c>
      <c r="K29" s="273"/>
      <c r="L29" s="273"/>
      <c r="M29" s="273"/>
      <c r="N29" s="18"/>
    </row>
    <row r="30" spans="1:14" ht="15" customHeight="1" x14ac:dyDescent="0.35">
      <c r="A30" s="18"/>
      <c r="B30" s="49" t="str">
        <f>'Input Data'!C4</f>
        <v>3.02</v>
      </c>
      <c r="C30" s="4" t="str">
        <f>'Input Data'!D4</f>
        <v>Fitness First Australia Pty Limited</v>
      </c>
      <c r="D30" s="4"/>
      <c r="E30" s="51">
        <f>'Input Data'!F4</f>
        <v>795.5</v>
      </c>
      <c r="F30" s="54">
        <f>'Input Data'!J4</f>
        <v>855.7</v>
      </c>
      <c r="G30" s="54">
        <f>'Input Data'!X4</f>
        <v>870</v>
      </c>
      <c r="H30" s="54">
        <f>'Input Data'!Y4</f>
        <v>-14.299999999999955</v>
      </c>
      <c r="I30" s="56">
        <f>'Input Data'!Z4</f>
        <v>-1.6436781609195351E-2</v>
      </c>
      <c r="J30" s="4" t="str">
        <f>IF('Input Data'!Y4&gt;0,"▲ Above Mkt",IF('Input Data'!Y4&lt;0,"▼ Below Mkt","≈ At Market"))</f>
        <v>▼ Below Mkt</v>
      </c>
      <c r="K30" s="4"/>
      <c r="L30" s="4"/>
      <c r="M30" s="4"/>
      <c r="N30" s="18"/>
    </row>
    <row r="31" spans="1:14" ht="15" customHeight="1" x14ac:dyDescent="0.35">
      <c r="A31" s="18"/>
      <c r="B31" s="26" t="str">
        <f>'Input Data'!C5</f>
        <v>4.01</v>
      </c>
      <c r="C31" s="258" t="str">
        <f>'Input Data'!D5</f>
        <v>Fitness First Australia Pty Limited</v>
      </c>
      <c r="D31" s="258"/>
      <c r="E31" s="39">
        <f>'Input Data'!F5</f>
        <v>1047</v>
      </c>
      <c r="F31" s="42">
        <f>'Input Data'!J5</f>
        <v>855.7</v>
      </c>
      <c r="G31" s="42">
        <f>'Input Data'!X5</f>
        <v>870</v>
      </c>
      <c r="H31" s="42">
        <f>'Input Data'!Y5</f>
        <v>-14.299999999999955</v>
      </c>
      <c r="I31" s="44">
        <f>'Input Data'!Z5</f>
        <v>-1.6436781609195351E-2</v>
      </c>
      <c r="J31" s="258" t="str">
        <f>IF('Input Data'!Y5&gt;0,"▲ Above Mkt",IF('Input Data'!Y5&lt;0,"▼ Below Mkt","≈ At Market"))</f>
        <v>▼ Below Mkt</v>
      </c>
      <c r="K31" s="258"/>
      <c r="L31" s="258"/>
      <c r="M31" s="258"/>
      <c r="N31" s="18"/>
    </row>
    <row r="32" spans="1:14" ht="15" customHeight="1" x14ac:dyDescent="0.35">
      <c r="A32" s="18"/>
      <c r="B32" s="49" t="str">
        <f>'Input Data'!C6</f>
        <v>5.01</v>
      </c>
      <c r="C32" s="4" t="str">
        <f>'Input Data'!D6</f>
        <v>Fitness First Australia Pty Limited</v>
      </c>
      <c r="D32" s="4"/>
      <c r="E32" s="51">
        <f>'Input Data'!F6</f>
        <v>437.1</v>
      </c>
      <c r="F32" s="54">
        <f>'Input Data'!J6</f>
        <v>855.7</v>
      </c>
      <c r="G32" s="54">
        <f>'Input Data'!X6</f>
        <v>870</v>
      </c>
      <c r="H32" s="54">
        <f>'Input Data'!Y6</f>
        <v>-14.299999999999955</v>
      </c>
      <c r="I32" s="56">
        <f>'Input Data'!Z6</f>
        <v>-1.6436781609195351E-2</v>
      </c>
      <c r="J32" s="4" t="str">
        <f>IF('Input Data'!Y6&gt;0,"▲ Above Mkt",IF('Input Data'!Y6&lt;0,"▼ Below Mkt","≈ At Market"))</f>
        <v>▼ Below Mkt</v>
      </c>
      <c r="K32" s="4"/>
      <c r="L32" s="4"/>
      <c r="M32" s="4"/>
      <c r="N32" s="18"/>
    </row>
    <row r="33" spans="1:14" ht="15" customHeight="1" x14ac:dyDescent="0.35">
      <c r="A33" s="18"/>
      <c r="B33" s="106" t="str">
        <f>'Input Data'!C7</f>
        <v>5.03</v>
      </c>
      <c r="C33" s="274" t="str">
        <f>'Input Data'!D7</f>
        <v>Asterx Pty Ltd</v>
      </c>
      <c r="D33" s="274"/>
      <c r="E33" s="108">
        <f>'Input Data'!F7</f>
        <v>229.8</v>
      </c>
      <c r="F33" s="109">
        <f>'Input Data'!J7</f>
        <v>985.53</v>
      </c>
      <c r="G33" s="109">
        <f>'Input Data'!X7</f>
        <v>950</v>
      </c>
      <c r="H33" s="109">
        <f>'Input Data'!Y7</f>
        <v>35.529999999999973</v>
      </c>
      <c r="I33" s="110">
        <f>'Input Data'!Z7</f>
        <v>3.7399999999999968E-2</v>
      </c>
      <c r="J33" s="274" t="str">
        <f>IF('Input Data'!Y7&gt;0,"▲ Above Mkt",IF('Input Data'!Y7&lt;0,"▼ Below Mkt","≈ At Market"))</f>
        <v>▲ Above Mkt</v>
      </c>
      <c r="K33" s="274"/>
      <c r="L33" s="274"/>
      <c r="M33" s="274"/>
      <c r="N33" s="18"/>
    </row>
    <row r="34" spans="1:14" ht="15" customHeight="1" x14ac:dyDescent="0.35">
      <c r="A34" s="18"/>
      <c r="B34" s="49" t="str">
        <f>'Input Data'!C8</f>
        <v>5.04</v>
      </c>
      <c r="C34" s="4" t="str">
        <f>'Input Data'!D8</f>
        <v>Auctionsplus Pty Ltd</v>
      </c>
      <c r="D34" s="4"/>
      <c r="E34" s="51">
        <f>'Input Data'!F8</f>
        <v>413.5</v>
      </c>
      <c r="F34" s="54">
        <f>'Input Data'!J8</f>
        <v>1005.89</v>
      </c>
      <c r="G34" s="54">
        <f>'Input Data'!X8</f>
        <v>990</v>
      </c>
      <c r="H34" s="54">
        <f>'Input Data'!Y8</f>
        <v>15.889999999999986</v>
      </c>
      <c r="I34" s="56">
        <f>'Input Data'!Z8</f>
        <v>1.6050505050505037E-2</v>
      </c>
      <c r="J34" s="4" t="str">
        <f>IF('Input Data'!Y8&gt;0,"▲ Above Mkt",IF('Input Data'!Y8&lt;0,"▼ Below Mkt","≈ At Market"))</f>
        <v>▲ Above Mkt</v>
      </c>
      <c r="K34" s="4"/>
      <c r="L34" s="4"/>
      <c r="M34" s="4"/>
      <c r="N34" s="18"/>
    </row>
    <row r="35" spans="1:14" ht="15" customHeight="1" x14ac:dyDescent="0.35">
      <c r="A35" s="18"/>
      <c r="B35" s="26" t="str">
        <f>'Input Data'!C9</f>
        <v>6.02</v>
      </c>
      <c r="C35" s="258" t="str">
        <f>'Input Data'!D9</f>
        <v>Sungrow Australia Group</v>
      </c>
      <c r="D35" s="258"/>
      <c r="E35" s="39">
        <f>'Input Data'!F9</f>
        <v>451.7</v>
      </c>
      <c r="F35" s="42">
        <f>'Input Data'!J9</f>
        <v>954.5</v>
      </c>
      <c r="G35" s="42">
        <f>'Input Data'!X9</f>
        <v>955</v>
      </c>
      <c r="H35" s="42">
        <f>'Input Data'!Y9</f>
        <v>-0.5</v>
      </c>
      <c r="I35" s="44">
        <f>'Input Data'!Z9</f>
        <v>-5.2356020942408382E-4</v>
      </c>
      <c r="J35" s="258" t="str">
        <f>IF('Input Data'!Y9&gt;0,"▲ Above Mkt",IF('Input Data'!Y9&lt;0,"▼ Below Mkt","≈ At Market"))</f>
        <v>▼ Below Mkt</v>
      </c>
      <c r="K35" s="258"/>
      <c r="L35" s="258"/>
      <c r="M35" s="258"/>
      <c r="N35" s="18"/>
    </row>
    <row r="36" spans="1:14" ht="15" customHeight="1" x14ac:dyDescent="0.35">
      <c r="A36" s="18"/>
      <c r="B36" s="49" t="str">
        <f>'Input Data'!C10</f>
        <v>6.03</v>
      </c>
      <c r="C36" s="4" t="str">
        <f>'Input Data'!D10</f>
        <v>Keeping Company Pty Ltd</v>
      </c>
      <c r="D36" s="4"/>
      <c r="E36" s="51">
        <f>'Input Data'!F10</f>
        <v>189.4</v>
      </c>
      <c r="F36" s="54">
        <f>'Input Data'!J10</f>
        <v>1055.72</v>
      </c>
      <c r="G36" s="54">
        <f>'Input Data'!X10</f>
        <v>990</v>
      </c>
      <c r="H36" s="54">
        <f>'Input Data'!Y10</f>
        <v>65.720000000000027</v>
      </c>
      <c r="I36" s="56">
        <f>'Input Data'!Z10</f>
        <v>6.6383838383838406E-2</v>
      </c>
      <c r="J36" s="4" t="str">
        <f>IF('Input Data'!Y10&gt;0,"▲ Above Mkt",IF('Input Data'!Y10&lt;0,"▼ Below Mkt","≈ At Market"))</f>
        <v>▲ Above Mkt</v>
      </c>
      <c r="K36" s="4"/>
      <c r="L36" s="4"/>
      <c r="M36" s="4"/>
      <c r="N36" s="18"/>
    </row>
    <row r="37" spans="1:14" ht="15" customHeight="1" x14ac:dyDescent="0.35">
      <c r="A37" s="18"/>
      <c r="B37" s="26" t="str">
        <f>'Input Data'!C11</f>
        <v>6.04</v>
      </c>
      <c r="C37" s="258" t="str">
        <f>'Input Data'!D11</f>
        <v>Elekta Pty Limited</v>
      </c>
      <c r="D37" s="258"/>
      <c r="E37" s="39">
        <f>'Input Data'!F11</f>
        <v>267.89999999999998</v>
      </c>
      <c r="F37" s="42">
        <f>'Input Data'!J11</f>
        <v>954.5</v>
      </c>
      <c r="G37" s="42">
        <f>'Input Data'!X11</f>
        <v>955</v>
      </c>
      <c r="H37" s="42">
        <f>'Input Data'!Y11</f>
        <v>-0.5</v>
      </c>
      <c r="I37" s="44">
        <f>'Input Data'!Z11</f>
        <v>-5.2356020942408382E-4</v>
      </c>
      <c r="J37" s="258" t="str">
        <f>IF('Input Data'!Y11&gt;0,"▲ Above Mkt",IF('Input Data'!Y11&lt;0,"▼ Below Mkt","≈ At Market"))</f>
        <v>▼ Below Mkt</v>
      </c>
      <c r="K37" s="258"/>
      <c r="L37" s="258"/>
      <c r="M37" s="258"/>
      <c r="N37" s="18"/>
    </row>
    <row r="38" spans="1:14" ht="15" customHeight="1" x14ac:dyDescent="0.35">
      <c r="A38" s="18"/>
      <c r="B38" s="49" t="str">
        <f>'Input Data'!C12</f>
        <v>7.01</v>
      </c>
      <c r="C38" s="4" t="str">
        <f>'Input Data'!D12</f>
        <v>Sungrow Australia Group</v>
      </c>
      <c r="D38" s="4"/>
      <c r="E38" s="51">
        <f>'Input Data'!F12</f>
        <v>484.1</v>
      </c>
      <c r="F38" s="54">
        <f>'Input Data'!J12</f>
        <v>1911.44</v>
      </c>
      <c r="G38" s="54">
        <f>'Input Data'!X12</f>
        <v>1020</v>
      </c>
      <c r="H38" s="54">
        <f>'Input Data'!Y12</f>
        <v>891.44</v>
      </c>
      <c r="I38" s="56">
        <f>'Input Data'!Z12</f>
        <v>0.87396078431372559</v>
      </c>
      <c r="J38" s="4" t="str">
        <f>IF('Input Data'!Y12&gt;0,"▲ Above Mkt",IF('Input Data'!Y12&lt;0,"▼ Below Mkt","≈ At Market"))</f>
        <v>▲ Above Mkt</v>
      </c>
      <c r="K38" s="4"/>
      <c r="L38" s="4"/>
      <c r="M38" s="4"/>
      <c r="N38" s="18"/>
    </row>
    <row r="39" spans="1:14" ht="15" customHeight="1" x14ac:dyDescent="0.35">
      <c r="A39" s="18"/>
      <c r="B39" s="26" t="str">
        <f>'Input Data'!C14</f>
        <v>8.01</v>
      </c>
      <c r="C39" s="258" t="str">
        <f>'Input Data'!D14</f>
        <v>Vanderlande Industries Australia Pty Ltd</v>
      </c>
      <c r="D39" s="258"/>
      <c r="E39" s="39">
        <f>'Input Data'!F14</f>
        <v>686.7</v>
      </c>
      <c r="F39" s="42">
        <f>'Input Data'!J14</f>
        <v>1029.25</v>
      </c>
      <c r="G39" s="42">
        <f>'Input Data'!X14</f>
        <v>990</v>
      </c>
      <c r="H39" s="42">
        <f>'Input Data'!Y14</f>
        <v>39.25</v>
      </c>
      <c r="I39" s="44">
        <f>'Input Data'!Z14</f>
        <v>3.9646464646464645E-2</v>
      </c>
      <c r="J39" s="258" t="str">
        <f>IF('Input Data'!Y14&gt;0,"▲ Above Mkt",IF('Input Data'!Y14&lt;0,"▼ Below Mkt","≈ At Market"))</f>
        <v>▲ Above Mkt</v>
      </c>
      <c r="K39" s="258"/>
      <c r="L39" s="258"/>
      <c r="M39" s="258"/>
      <c r="N39" s="18"/>
    </row>
    <row r="40" spans="1:14" ht="15" customHeight="1" x14ac:dyDescent="0.35">
      <c r="A40" s="18"/>
      <c r="B40" s="49" t="str">
        <f>'Input Data'!C15</f>
        <v>8.03</v>
      </c>
      <c r="C40" s="4" t="str">
        <f>'Input Data'!D15</f>
        <v>Can Too Foundation Limited</v>
      </c>
      <c r="D40" s="4"/>
      <c r="E40" s="51">
        <f>'Input Data'!F15</f>
        <v>116.3</v>
      </c>
      <c r="F40" s="54">
        <f>'Input Data'!J15</f>
        <v>1027.1199999999999</v>
      </c>
      <c r="G40" s="54">
        <f>'Input Data'!X15</f>
        <v>990</v>
      </c>
      <c r="H40" s="54">
        <f>'Input Data'!Y15</f>
        <v>37.119999999999891</v>
      </c>
      <c r="I40" s="56">
        <f>'Input Data'!Z15</f>
        <v>3.7494949494949387E-2</v>
      </c>
      <c r="J40" s="4" t="str">
        <f>IF('Input Data'!Y15&gt;0,"▲ Above Mkt",IF('Input Data'!Y15&lt;0,"▼ Below Mkt","≈ At Market"))</f>
        <v>▲ Above Mkt</v>
      </c>
      <c r="K40" s="4"/>
      <c r="L40" s="4"/>
      <c r="M40" s="4"/>
      <c r="N40" s="18"/>
    </row>
    <row r="41" spans="1:14" ht="15" customHeight="1" x14ac:dyDescent="0.35">
      <c r="A41" s="18"/>
      <c r="B41" s="26" t="str">
        <f>'Input Data'!C16</f>
        <v>9.01</v>
      </c>
      <c r="C41" s="258" t="str">
        <f>'Input Data'!D16</f>
        <v>Pitt &amp; Sherry (Operations) Pty Ltd</v>
      </c>
      <c r="D41" s="258"/>
      <c r="E41" s="39">
        <f>'Input Data'!F16</f>
        <v>453.3</v>
      </c>
      <c r="F41" s="42">
        <f>'Input Data'!J16</f>
        <v>1065.96</v>
      </c>
      <c r="G41" s="42">
        <f>'Input Data'!X16</f>
        <v>1040</v>
      </c>
      <c r="H41" s="42">
        <f>'Input Data'!Y16</f>
        <v>25.960000000000036</v>
      </c>
      <c r="I41" s="44">
        <f>'Input Data'!Z16</f>
        <v>2.4961538461538497E-2</v>
      </c>
      <c r="J41" s="258" t="str">
        <f>IF('Input Data'!Y16&gt;0,"▲ Above Mkt",IF('Input Data'!Y16&lt;0,"▼ Below Mkt","≈ At Market"))</f>
        <v>▲ Above Mkt</v>
      </c>
      <c r="K41" s="258"/>
      <c r="L41" s="258"/>
      <c r="M41" s="258"/>
      <c r="N41" s="18"/>
    </row>
    <row r="42" spans="1:14" ht="15" customHeight="1" x14ac:dyDescent="0.35">
      <c r="A42" s="18"/>
      <c r="B42" s="49" t="str">
        <f>'Input Data'!C17</f>
        <v>12.01</v>
      </c>
      <c r="C42" s="4" t="str">
        <f>'Input Data'!D17</f>
        <v>Hulsbosch Design Pty Ltd</v>
      </c>
      <c r="D42" s="4"/>
      <c r="E42" s="51">
        <f>'Input Data'!F17</f>
        <v>251</v>
      </c>
      <c r="F42" s="54">
        <f>'Input Data'!J17</f>
        <v>985</v>
      </c>
      <c r="G42" s="54">
        <f>'Input Data'!X17</f>
        <v>1040</v>
      </c>
      <c r="H42" s="54">
        <f>'Input Data'!Y17</f>
        <v>-55</v>
      </c>
      <c r="I42" s="56">
        <f>'Input Data'!Z17</f>
        <v>-5.2884615384615384E-2</v>
      </c>
      <c r="J42" s="4" t="str">
        <f>IF('Input Data'!Y17&gt;0,"▲ Above Mkt",IF('Input Data'!Y17&lt;0,"▼ Below Mkt","≈ At Market"))</f>
        <v>▼ Below Mkt</v>
      </c>
      <c r="K42" s="4"/>
      <c r="L42" s="4"/>
      <c r="M42" s="4"/>
      <c r="N42" s="18"/>
    </row>
    <row r="43" spans="1:14" ht="15" customHeight="1" x14ac:dyDescent="0.35">
      <c r="A43" s="18"/>
      <c r="B43" s="26" t="str">
        <f>'Input Data'!C18</f>
        <v>9.02</v>
      </c>
      <c r="C43" s="258" t="str">
        <f>'Input Data'!D18</f>
        <v>Smile Partners Australia</v>
      </c>
      <c r="D43" s="258"/>
      <c r="E43" s="39">
        <f>'Input Data'!F18</f>
        <v>344.5</v>
      </c>
      <c r="F43" s="42">
        <f>'Input Data'!J18</f>
        <v>990.29</v>
      </c>
      <c r="G43" s="42">
        <f>'Input Data'!X18</f>
        <v>990</v>
      </c>
      <c r="H43" s="42">
        <f>'Input Data'!Y18</f>
        <v>0.28999999999996362</v>
      </c>
      <c r="I43" s="44">
        <f>'Input Data'!Z18</f>
        <v>2.929292929292562E-4</v>
      </c>
      <c r="J43" s="258" t="str">
        <f>IF('Input Data'!Y18&gt;0,"▲ Above Mkt",IF('Input Data'!Y18&lt;0,"▼ Below Mkt","≈ At Market"))</f>
        <v>▲ Above Mkt</v>
      </c>
      <c r="K43" s="258"/>
      <c r="L43" s="258"/>
      <c r="M43" s="258"/>
      <c r="N43" s="18"/>
    </row>
    <row r="44" spans="1:14" ht="15" customHeight="1" x14ac:dyDescent="0.35">
      <c r="A44" s="18"/>
      <c r="B44" s="49" t="str">
        <f>'Input Data'!C19</f>
        <v>12.02</v>
      </c>
      <c r="C44" s="4" t="str">
        <f>'Input Data'!D19</f>
        <v>AEI Insurance Group Pty Ltd</v>
      </c>
      <c r="D44" s="4"/>
      <c r="E44" s="51">
        <f>'Input Data'!F19</f>
        <v>536</v>
      </c>
      <c r="F44" s="54">
        <f>'Input Data'!J19</f>
        <v>988</v>
      </c>
      <c r="G44" s="54">
        <f>'Input Data'!X19</f>
        <v>1010</v>
      </c>
      <c r="H44" s="54">
        <f>'Input Data'!Y19</f>
        <v>-22</v>
      </c>
      <c r="I44" s="56">
        <f>'Input Data'!Z19</f>
        <v>-2.1782178217821781E-2</v>
      </c>
      <c r="J44" s="4" t="str">
        <f>IF('Input Data'!Y19&gt;0,"▲ Above Mkt",IF('Input Data'!Y19&lt;0,"▼ Below Mkt","≈ At Market"))</f>
        <v>▼ Below Mkt</v>
      </c>
      <c r="K44" s="4"/>
      <c r="L44" s="4"/>
      <c r="M44" s="4"/>
      <c r="N44" s="18"/>
    </row>
    <row r="45" spans="1:14" ht="7.5" customHeight="1" x14ac:dyDescent="0.3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9.5" customHeight="1" x14ac:dyDescent="0.35">
      <c r="A46" s="18"/>
      <c r="B46" s="12" t="s">
        <v>280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8"/>
    </row>
    <row r="47" spans="1:14" ht="19.5" customHeight="1" x14ac:dyDescent="0.35">
      <c r="A47" s="18"/>
      <c r="B47" s="257" t="s">
        <v>281</v>
      </c>
      <c r="C47" s="257"/>
      <c r="D47" s="23" t="s">
        <v>282</v>
      </c>
      <c r="E47" s="23" t="s">
        <v>283</v>
      </c>
      <c r="F47" s="23" t="s">
        <v>284</v>
      </c>
      <c r="G47" s="257" t="s">
        <v>285</v>
      </c>
      <c r="H47" s="257"/>
      <c r="I47" s="257"/>
      <c r="J47" s="257"/>
      <c r="K47" s="257"/>
      <c r="L47" s="257"/>
      <c r="M47" s="257"/>
      <c r="N47" s="18"/>
    </row>
    <row r="48" spans="1:14" ht="18" customHeight="1" x14ac:dyDescent="0.35">
      <c r="A48" s="18"/>
      <c r="B48" s="275" t="s">
        <v>286</v>
      </c>
      <c r="C48" s="275"/>
      <c r="D48" s="58" t="s">
        <v>287</v>
      </c>
      <c r="E48" s="24">
        <v>46204</v>
      </c>
      <c r="F48" s="111">
        <f t="shared" ref="F48:F60" ca="1" si="0">IFERROR(INT(E48-TODAY()),"")</f>
        <v>-107</v>
      </c>
      <c r="G48" s="275" t="s">
        <v>288</v>
      </c>
      <c r="H48" s="275"/>
      <c r="I48" s="275"/>
      <c r="J48" s="275"/>
      <c r="K48" s="275"/>
      <c r="L48" s="275"/>
      <c r="M48" s="275"/>
      <c r="N48" s="18"/>
    </row>
    <row r="49" spans="1:14" ht="18" customHeight="1" x14ac:dyDescent="0.35">
      <c r="A49" s="18"/>
      <c r="B49" s="3" t="s">
        <v>289</v>
      </c>
      <c r="C49" s="3"/>
      <c r="D49" s="112" t="s">
        <v>67</v>
      </c>
      <c r="E49" s="113">
        <v>46538</v>
      </c>
      <c r="F49" s="114">
        <f t="shared" ca="1" si="0"/>
        <v>227</v>
      </c>
      <c r="G49" s="3" t="s">
        <v>290</v>
      </c>
      <c r="H49" s="3"/>
      <c r="I49" s="3"/>
      <c r="J49" s="3"/>
      <c r="K49" s="3"/>
      <c r="L49" s="3"/>
      <c r="M49" s="3"/>
      <c r="N49" s="18"/>
    </row>
    <row r="50" spans="1:14" ht="18" customHeight="1" x14ac:dyDescent="0.35">
      <c r="A50" s="18"/>
      <c r="B50" s="258" t="s">
        <v>291</v>
      </c>
      <c r="C50" s="258"/>
      <c r="D50" s="26" t="s">
        <v>292</v>
      </c>
      <c r="E50" s="40">
        <v>46447</v>
      </c>
      <c r="F50" s="115">
        <f t="shared" ca="1" si="0"/>
        <v>136</v>
      </c>
      <c r="G50" s="258" t="s">
        <v>293</v>
      </c>
      <c r="H50" s="258"/>
      <c r="I50" s="258"/>
      <c r="J50" s="258"/>
      <c r="K50" s="258"/>
      <c r="L50" s="258"/>
      <c r="M50" s="258"/>
      <c r="N50" s="18"/>
    </row>
    <row r="51" spans="1:14" ht="18" customHeight="1" x14ac:dyDescent="0.35">
      <c r="A51" s="18"/>
      <c r="B51" s="273" t="s">
        <v>294</v>
      </c>
      <c r="C51" s="273"/>
      <c r="D51" s="66" t="s">
        <v>295</v>
      </c>
      <c r="E51" s="116">
        <v>46569</v>
      </c>
      <c r="F51" s="117">
        <f t="shared" ca="1" si="0"/>
        <v>258</v>
      </c>
      <c r="G51" s="273" t="s">
        <v>296</v>
      </c>
      <c r="H51" s="273"/>
      <c r="I51" s="273"/>
      <c r="J51" s="273"/>
      <c r="K51" s="273"/>
      <c r="L51" s="273"/>
      <c r="M51" s="273"/>
      <c r="N51" s="18"/>
    </row>
    <row r="52" spans="1:14" ht="18" customHeight="1" x14ac:dyDescent="0.35">
      <c r="A52" s="18"/>
      <c r="B52" s="275" t="s">
        <v>289</v>
      </c>
      <c r="C52" s="275"/>
      <c r="D52" s="58" t="s">
        <v>295</v>
      </c>
      <c r="E52" s="24">
        <v>46539</v>
      </c>
      <c r="F52" s="111">
        <f t="shared" ca="1" si="0"/>
        <v>228</v>
      </c>
      <c r="G52" s="275" t="s">
        <v>297</v>
      </c>
      <c r="H52" s="275"/>
      <c r="I52" s="275"/>
      <c r="J52" s="275"/>
      <c r="K52" s="275"/>
      <c r="L52" s="275"/>
      <c r="M52" s="275"/>
      <c r="N52" s="18"/>
    </row>
    <row r="53" spans="1:14" ht="18" customHeight="1" x14ac:dyDescent="0.35">
      <c r="A53" s="18"/>
      <c r="B53" s="275" t="s">
        <v>298</v>
      </c>
      <c r="C53" s="275"/>
      <c r="D53" s="58" t="s">
        <v>292</v>
      </c>
      <c r="E53" s="24">
        <v>46569</v>
      </c>
      <c r="F53" s="111">
        <f t="shared" ca="1" si="0"/>
        <v>258</v>
      </c>
      <c r="G53" s="275" t="s">
        <v>299</v>
      </c>
      <c r="H53" s="275"/>
      <c r="I53" s="275"/>
      <c r="J53" s="275"/>
      <c r="K53" s="275"/>
      <c r="L53" s="275"/>
      <c r="M53" s="275"/>
      <c r="N53" s="18"/>
    </row>
    <row r="54" spans="1:14" ht="18" customHeight="1" x14ac:dyDescent="0.35">
      <c r="A54" s="18"/>
      <c r="B54" s="275" t="s">
        <v>300</v>
      </c>
      <c r="C54" s="275"/>
      <c r="D54" s="58" t="s">
        <v>301</v>
      </c>
      <c r="E54" s="24">
        <v>46572</v>
      </c>
      <c r="F54" s="111">
        <f t="shared" ca="1" si="0"/>
        <v>261</v>
      </c>
      <c r="G54" s="275" t="s">
        <v>302</v>
      </c>
      <c r="H54" s="275"/>
      <c r="I54" s="275"/>
      <c r="J54" s="275"/>
      <c r="K54" s="275"/>
      <c r="L54" s="275"/>
      <c r="M54" s="275"/>
      <c r="N54" s="18"/>
    </row>
    <row r="55" spans="1:14" ht="18" customHeight="1" x14ac:dyDescent="0.35">
      <c r="A55" s="18"/>
      <c r="B55" s="275" t="s">
        <v>303</v>
      </c>
      <c r="C55" s="275"/>
      <c r="D55" s="58" t="s">
        <v>292</v>
      </c>
      <c r="E55" s="24">
        <v>46569</v>
      </c>
      <c r="F55" s="111">
        <f t="shared" ca="1" si="0"/>
        <v>258</v>
      </c>
      <c r="G55" s="275" t="s">
        <v>304</v>
      </c>
      <c r="H55" s="275"/>
      <c r="I55" s="275"/>
      <c r="J55" s="275"/>
      <c r="K55" s="275"/>
      <c r="L55" s="275"/>
      <c r="M55" s="275"/>
      <c r="N55" s="18"/>
    </row>
    <row r="56" spans="1:14" ht="18" customHeight="1" x14ac:dyDescent="0.35">
      <c r="A56" s="18"/>
      <c r="B56" s="258" t="s">
        <v>300</v>
      </c>
      <c r="C56" s="258"/>
      <c r="D56" s="26" t="s">
        <v>67</v>
      </c>
      <c r="E56" s="40">
        <v>46571</v>
      </c>
      <c r="F56" s="115">
        <f t="shared" ca="1" si="0"/>
        <v>260</v>
      </c>
      <c r="G56" s="258" t="s">
        <v>305</v>
      </c>
      <c r="H56" s="258"/>
      <c r="I56" s="258"/>
      <c r="J56" s="258"/>
      <c r="K56" s="258"/>
      <c r="L56" s="258"/>
      <c r="M56" s="258"/>
      <c r="N56" s="18"/>
    </row>
    <row r="57" spans="1:14" ht="18" customHeight="1" x14ac:dyDescent="0.35">
      <c r="A57" s="18"/>
      <c r="B57" s="275" t="s">
        <v>306</v>
      </c>
      <c r="C57" s="275"/>
      <c r="D57" s="58" t="s">
        <v>301</v>
      </c>
      <c r="E57" s="24">
        <v>46539</v>
      </c>
      <c r="F57" s="111">
        <f t="shared" ca="1" si="0"/>
        <v>228</v>
      </c>
      <c r="G57" s="275" t="s">
        <v>299</v>
      </c>
      <c r="H57" s="275"/>
      <c r="I57" s="275"/>
      <c r="J57" s="275"/>
      <c r="K57" s="275"/>
      <c r="L57" s="275"/>
      <c r="M57" s="275"/>
      <c r="N57" s="18"/>
    </row>
    <row r="58" spans="1:14" ht="18" customHeight="1" x14ac:dyDescent="0.35">
      <c r="A58" s="18"/>
      <c r="B58" s="273" t="s">
        <v>307</v>
      </c>
      <c r="C58" s="273"/>
      <c r="D58" s="66" t="s">
        <v>308</v>
      </c>
      <c r="E58" s="116" t="s">
        <v>309</v>
      </c>
      <c r="F58" s="117" t="str">
        <f t="shared" ca="1" si="0"/>
        <v/>
      </c>
      <c r="G58" s="273" t="s">
        <v>310</v>
      </c>
      <c r="H58" s="273"/>
      <c r="I58" s="273"/>
      <c r="J58" s="273"/>
      <c r="K58" s="273"/>
      <c r="L58" s="273"/>
      <c r="M58" s="273"/>
      <c r="N58" s="18"/>
    </row>
    <row r="59" spans="1:14" ht="18" customHeight="1" x14ac:dyDescent="0.35">
      <c r="A59" s="18"/>
      <c r="B59" s="273" t="s">
        <v>311</v>
      </c>
      <c r="C59" s="273"/>
      <c r="D59" s="66" t="s">
        <v>312</v>
      </c>
      <c r="E59" s="116">
        <v>46296</v>
      </c>
      <c r="F59" s="117">
        <f t="shared" ca="1" si="0"/>
        <v>-15</v>
      </c>
      <c r="G59" s="273" t="s">
        <v>313</v>
      </c>
      <c r="H59" s="273"/>
      <c r="I59" s="273"/>
      <c r="J59" s="273"/>
      <c r="K59" s="273"/>
      <c r="L59" s="273"/>
      <c r="M59" s="273"/>
      <c r="N59" s="18"/>
    </row>
    <row r="60" spans="1:14" ht="7.5" customHeight="1" x14ac:dyDescent="0.35">
      <c r="A60" s="32"/>
      <c r="B60" s="118" t="s">
        <v>314</v>
      </c>
      <c r="C60" s="32"/>
      <c r="D60" s="118" t="s">
        <v>287</v>
      </c>
      <c r="E60" s="119">
        <v>46296</v>
      </c>
      <c r="F60" s="118">
        <f t="shared" ca="1" si="0"/>
        <v>-15</v>
      </c>
      <c r="G60" s="118" t="s">
        <v>315</v>
      </c>
      <c r="H60" s="32"/>
      <c r="I60" s="32"/>
      <c r="J60" s="32"/>
      <c r="K60" s="32"/>
      <c r="L60" s="32"/>
      <c r="M60" s="32"/>
      <c r="N60" s="32"/>
    </row>
    <row r="61" spans="1:14" ht="19.5" customHeight="1" x14ac:dyDescent="0.35">
      <c r="A61" s="120"/>
      <c r="B61" s="12" t="s">
        <v>316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0"/>
    </row>
    <row r="62" spans="1:14" ht="21.75" customHeight="1" x14ac:dyDescent="0.35">
      <c r="A62" s="32"/>
      <c r="B62" s="121" t="s">
        <v>61</v>
      </c>
      <c r="C62" s="276" t="s">
        <v>317</v>
      </c>
      <c r="D62" s="276"/>
      <c r="E62" s="276" t="s">
        <v>65</v>
      </c>
      <c r="F62" s="276"/>
      <c r="G62" s="276" t="s">
        <v>318</v>
      </c>
      <c r="H62" s="276"/>
      <c r="I62" s="276" t="s">
        <v>260</v>
      </c>
      <c r="J62" s="276"/>
      <c r="K62" s="121" t="s">
        <v>319</v>
      </c>
      <c r="L62" s="276" t="s">
        <v>87</v>
      </c>
      <c r="M62" s="276"/>
      <c r="N62" s="32"/>
    </row>
    <row r="63" spans="1:14" ht="19.5" customHeight="1" x14ac:dyDescent="0.35">
      <c r="A63" s="120"/>
      <c r="B63" s="78" t="s">
        <v>190</v>
      </c>
      <c r="C63" s="270" t="str">
        <f ca="1">IFERROR(MID(IF(('Input Data'!AD18&gt;TODAY())*('Input Data'!AE18&gt;0),", "&amp;'Input Data'!AF18&amp;" ("&amp;'Input Data'!C18&amp;")","")&amp;IF(('Input Data'!AD19&gt;TODAY())*('Input Data'!AE19&gt;0),", "&amp;'Input Data'!AF19&amp;" ("&amp;'Input Data'!C19&amp;")",""),3,999),"—")</f>
        <v>Smile Partners Australia (9.02), AEI Insurance Group (12.02)</v>
      </c>
      <c r="D63" s="270"/>
      <c r="E63" s="277">
        <f>SUMPRODUCT(('Input Data'!B3:B24="L12")*'Input Data'!F3:F24)</f>
        <v>787</v>
      </c>
      <c r="F63" s="277"/>
      <c r="G63" s="269">
        <f ca="1">SUMPRODUCT(('Input Data'!B3:B24="L12")*('Input Data'!AD3:AD24&gt;TODAY())*('Input Data'!AE3:AE24&gt;0)*'Input Data'!Q3:Q24)</f>
        <v>829892.79999999993</v>
      </c>
      <c r="H63" s="269"/>
      <c r="I63" s="278"/>
      <c r="J63" s="278"/>
      <c r="K63" s="104" t="str">
        <f ca="1">IFERROR(IF(SUMPRODUCT(('Input Data'!B3:B24="L12")*('Input Data'!AE3:AE24&gt;0)*('Input Data'!AD3:AD24&gt;TODAY()))=0,"VACANT",TEXT(_xludf.minifs('Input Data'!AD3:AD24,'Input Data'!B3:B24,"L12",'Input Data'!AD3:AD24,"&gt;"&amp;TODAY(),'Input Data'!AE3:AE24,"&gt;0"),"YYYY")),"—")</f>
        <v>—</v>
      </c>
      <c r="L63" s="251"/>
      <c r="M63" s="251"/>
      <c r="N63" s="120"/>
    </row>
    <row r="64" spans="1:14" ht="19.5" customHeight="1" x14ac:dyDescent="0.35">
      <c r="A64" s="32"/>
      <c r="B64" s="78" t="s">
        <v>218</v>
      </c>
      <c r="C64" s="270" t="str">
        <f ca="1">IFERROR(MID(IF(('Input Data'!AD23&gt;TODAY())*('Input Data'!AE23&gt;0),", "&amp;'Input Data'!AF23&amp;" ("&amp;'Input Data'!C23&amp;")","")&amp;IF(('Input Data'!AD24&gt;TODAY())*('Input Data'!AE24&gt;0),", "&amp;'Input Data'!AF24&amp;" ("&amp;'Input Data'!C24&amp;")",""),3,999),"—")</f>
        <v>Luxasia (11.01), Haskoning Australia (11.02)</v>
      </c>
      <c r="D64" s="270"/>
      <c r="E64" s="277">
        <f>SUMPRODUCT(('Input Data'!B3:B24="L11")*'Input Data'!F3:F24)</f>
        <v>790.5</v>
      </c>
      <c r="F64" s="277"/>
      <c r="G64" s="269">
        <f ca="1">SUMPRODUCT(('Input Data'!B3:B24="L11")*('Input Data'!AD3:AD24&gt;TODAY())*('Input Data'!AE3:AE24&gt;0)*'Input Data'!Q3:Q24)</f>
        <v>724824.18666666676</v>
      </c>
      <c r="H64" s="269"/>
      <c r="I64" s="278"/>
      <c r="J64" s="278"/>
      <c r="K64" s="104" t="str">
        <f ca="1">IFERROR(IF(SUMPRODUCT(('Input Data'!B3:B24="L11")*('Input Data'!AE3:AE24&gt;0)*('Input Data'!AD3:AD24&gt;TODAY()))=0,"VACANT",TEXT(_xludf.minifs('Input Data'!AD3:AD24,'Input Data'!B3:B24,"L11",'Input Data'!AD3:AD24,"&gt;"&amp;TODAY(),'Input Data'!AE3:AE24,"&gt;0"),"YYYY")),"—")</f>
        <v>—</v>
      </c>
      <c r="L64" s="251"/>
      <c r="M64" s="251"/>
      <c r="N64" s="32"/>
    </row>
    <row r="65" spans="1:14" ht="19.5" customHeight="1" x14ac:dyDescent="0.35">
      <c r="A65" s="120"/>
      <c r="B65" s="78" t="s">
        <v>212</v>
      </c>
      <c r="C65" s="270" t="str">
        <f ca="1">IFERROR(MID(IF(('Input Data'!AD21&gt;TODAY())*('Input Data'!AE21&gt;0),", "&amp;'Input Data'!AF21&amp;" ("&amp;'Input Data'!C21&amp;")","")&amp;IF(('Input Data'!AD22&gt;TODAY())*('Input Data'!AE22&gt;0),", "&amp;'Input Data'!AF22&amp;" ("&amp;'Input Data'!C22&amp;")",""),3,999),"—")</f>
        <v/>
      </c>
      <c r="D65" s="270"/>
      <c r="E65" s="277">
        <f>SUMPRODUCT(('Input Data'!B3:B24="L10")*'Input Data'!F3:F24)</f>
        <v>787</v>
      </c>
      <c r="F65" s="277"/>
      <c r="G65" s="269">
        <f ca="1">SUMPRODUCT(('Input Data'!B3:B24="L10")*('Input Data'!AD3:AD24&gt;TODAY())*('Input Data'!AE3:AE24&gt;0)*'Input Data'!Q3:Q24)</f>
        <v>0</v>
      </c>
      <c r="H65" s="269"/>
      <c r="I65" s="278"/>
      <c r="J65" s="278"/>
      <c r="K65" s="104" t="str">
        <f ca="1">IFERROR(IF(SUMPRODUCT(('Input Data'!B3:B24="L10")*('Input Data'!AE3:AE24&gt;0)*('Input Data'!AD3:AD24&gt;TODAY()))=0,"VACANT",TEXT(_xludf.minifs('Input Data'!AD3:AD24,'Input Data'!B3:B24,"L10",'Input Data'!AD3:AD24,"&gt;"&amp;TODAY(),'Input Data'!AE3:AE24,"&gt;0"),"YYYY")),"—")</f>
        <v>VACANT</v>
      </c>
      <c r="L65" s="251"/>
      <c r="M65" s="251"/>
      <c r="N65" s="120"/>
    </row>
    <row r="66" spans="1:14" ht="19.5" customHeight="1" x14ac:dyDescent="0.35">
      <c r="A66" s="32"/>
      <c r="B66" s="78" t="s">
        <v>183</v>
      </c>
      <c r="C66" s="270" t="str">
        <f ca="1">IFERROR(MID(IF(('Input Data'!AD16&gt;TODAY())*('Input Data'!AE16&gt;0),", "&amp;'Input Data'!AF16&amp;" ("&amp;'Input Data'!C16&amp;")","")&amp;IF(('Input Data'!AD17&gt;TODAY())*('Input Data'!AE17&gt;0),", "&amp;'Input Data'!AF17&amp;" ("&amp;'Input Data'!C17&amp;")",""),3,999),"—")</f>
        <v>Pitt &amp; Sherry (9.01), Hulsbosch Design (12.01)</v>
      </c>
      <c r="D66" s="270"/>
      <c r="E66" s="277">
        <f>SUMPRODUCT(('Input Data'!B3:B24="L09")*'Input Data'!F3:F24)</f>
        <v>797.8</v>
      </c>
      <c r="F66" s="277"/>
      <c r="G66" s="269">
        <f ca="1">SUMPRODUCT(('Input Data'!B3:B24="L09")*('Input Data'!AD3:AD24&gt;TODAY())*('Input Data'!AE3:AE24&gt;0)*'Input Data'!Q3:Q24)</f>
        <v>627848.33299999987</v>
      </c>
      <c r="H66" s="269"/>
      <c r="I66" s="278"/>
      <c r="J66" s="278"/>
      <c r="K66" s="104" t="str">
        <f ca="1">IFERROR(IF(SUMPRODUCT(('Input Data'!B3:B24="L09")*('Input Data'!AE3:AE24&gt;0)*('Input Data'!AD3:AD24&gt;TODAY()))=0,"VACANT",TEXT(_xludf.minifs('Input Data'!AD3:AD24,'Input Data'!B3:B24,"L09",'Input Data'!AD3:AD24,"&gt;"&amp;TODAY(),'Input Data'!AE3:AE24,"&gt;0"),"YYYY")),"—")</f>
        <v>—</v>
      </c>
      <c r="L66" s="251"/>
      <c r="M66" s="251"/>
      <c r="N66" s="32"/>
    </row>
    <row r="67" spans="1:14" ht="19.5" customHeight="1" x14ac:dyDescent="0.35">
      <c r="A67" s="120"/>
      <c r="B67" s="78" t="s">
        <v>170</v>
      </c>
      <c r="C67" s="270" t="str">
        <f ca="1">IFERROR(MID(IF(('Input Data'!AD14&gt;TODAY())*('Input Data'!AE14&gt;0),", "&amp;'Input Data'!AF14&amp;" ("&amp;'Input Data'!C14&amp;")","")&amp;IF(('Input Data'!AD15&gt;TODAY())*('Input Data'!AE15&gt;0),", "&amp;'Input Data'!AF15&amp;" ("&amp;'Input Data'!C15&amp;")",""),3,999),"—")</f>
        <v>Vanderlande Industries (8.01), Can Too Foundation (8.03)</v>
      </c>
      <c r="D67" s="270"/>
      <c r="E67" s="277">
        <f>SUMPRODUCT(('Input Data'!B3:B24="L08")*'Input Data'!F3:F24)</f>
        <v>803</v>
      </c>
      <c r="F67" s="277"/>
      <c r="G67" s="269">
        <f ca="1">SUMPRODUCT(('Input Data'!B3:B24="L08")*('Input Data'!AD3:AD24&gt;TODAY())*('Input Data'!AE3:AE24&gt;0)*'Input Data'!Q3:Q24)</f>
        <v>653144.4110000002</v>
      </c>
      <c r="H67" s="269"/>
      <c r="I67" s="278"/>
      <c r="J67" s="278"/>
      <c r="K67" s="104" t="str">
        <f ca="1">IFERROR(IF(SUMPRODUCT(('Input Data'!B3:B24="L08")*('Input Data'!AE3:AE24&gt;0)*('Input Data'!AD3:AD24&gt;TODAY()))=0,"VACANT",TEXT(_xludf.minifs('Input Data'!AD3:AD24,'Input Data'!B3:B24,"L08",'Input Data'!AD3:AD24,"&gt;"&amp;TODAY(),'Input Data'!AE3:AE24,"&gt;0"),"YYYY")),"—")</f>
        <v>—</v>
      </c>
      <c r="L67" s="251"/>
      <c r="M67" s="251"/>
      <c r="N67" s="120"/>
    </row>
    <row r="68" spans="1:14" ht="19.5" customHeight="1" x14ac:dyDescent="0.35">
      <c r="A68" s="32"/>
      <c r="B68" s="78" t="s">
        <v>158</v>
      </c>
      <c r="C68" s="270" t="str">
        <f ca="1">IFERROR(MID(IF(('Input Data'!AD12&gt;TODAY())*('Input Data'!AE12&gt;0),", "&amp;'Input Data'!AF12&amp;" ("&amp;'Input Data'!C12&amp;")","")&amp;IF(('Input Data'!AD13&gt;TODAY())*('Input Data'!AE13&gt;0),", "&amp;'Input Data'!AF13&amp;" ("&amp;'Input Data'!C13&amp;")",""),3,999),"—")</f>
        <v>Sungrow (L7 Main) (7.01)</v>
      </c>
      <c r="D68" s="270"/>
      <c r="E68" s="277">
        <f>SUMPRODUCT(('Input Data'!B3:B24="L07")*'Input Data'!F3:F24)</f>
        <v>849.6</v>
      </c>
      <c r="F68" s="277"/>
      <c r="G68" s="269">
        <f ca="1">SUMPRODUCT(('Input Data'!B3:B24="L07")*('Input Data'!AD3:AD24&gt;TODAY())*('Input Data'!AE3:AE24&gt;0)*'Input Data'!Q3:Q24)</f>
        <v>693732.304</v>
      </c>
      <c r="H68" s="269"/>
      <c r="I68" s="278"/>
      <c r="J68" s="278"/>
      <c r="K68" s="104" t="str">
        <f ca="1">IFERROR(IF(SUMPRODUCT(('Input Data'!B3:B24="L07")*('Input Data'!AE3:AE24&gt;0)*('Input Data'!AD3:AD24&gt;TODAY()))=0,"VACANT",TEXT(_xludf.minifs('Input Data'!AD3:AD24,'Input Data'!B3:B24,"L07",'Input Data'!AD3:AD24,"&gt;"&amp;TODAY(),'Input Data'!AE3:AE24,"&gt;0"),"YYYY")),"—")</f>
        <v>—</v>
      </c>
      <c r="L68" s="251"/>
      <c r="M68" s="251"/>
      <c r="N68" s="32"/>
    </row>
    <row r="69" spans="1:14" ht="19.5" customHeight="1" x14ac:dyDescent="0.35">
      <c r="A69" s="120"/>
      <c r="B69" s="78" t="s">
        <v>136</v>
      </c>
      <c r="C69" s="270" t="str">
        <f ca="1">IFERROR(MID(IF(('Input Data'!AD9&gt;TODAY())*('Input Data'!AE9&gt;0),", "&amp;'Input Data'!AF9&amp;" ("&amp;'Input Data'!C9&amp;")","")&amp;IF(('Input Data'!AD10&gt;TODAY())*('Input Data'!AE10&gt;0),", "&amp;'Input Data'!AF10&amp;" ("&amp;'Input Data'!C10&amp;")","")&amp;IF(('Input Data'!AD11&gt;TODAY())*('Input Data'!AE11&gt;0),", "&amp;'Input Data'!AF11&amp;" ("&amp;'Input Data'!C11&amp;")","")&amp;IF(('Input Data'!AD20&gt;TODAY())*('Input Data'!AE20&gt;0),", "&amp;'Input Data'!AF20&amp;" ("&amp;'Input Data'!C20&amp;")",""),3,999),"—")</f>
        <v>Sungrow (L6) (6.02), Keeping Company (6.03), Elekta (6.04), Caldas Constructions (6.01)</v>
      </c>
      <c r="D69" s="270"/>
      <c r="E69" s="277">
        <f>SUMPRODUCT(('Input Data'!B3:B24="L06")*'Input Data'!F3:F24)</f>
        <v>1095.4000000000001</v>
      </c>
      <c r="F69" s="277"/>
      <c r="G69" s="269">
        <f ca="1">SUMPRODUCT(('Input Data'!B3:B24="L06")*('Input Data'!AD3:AD24&gt;TODAY())*('Input Data'!AE3:AE24&gt;0)*'Input Data'!Q3:Q24)</f>
        <v>333097.13800000004</v>
      </c>
      <c r="H69" s="269"/>
      <c r="I69" s="278"/>
      <c r="J69" s="278"/>
      <c r="K69" s="104" t="str">
        <f ca="1">IFERROR(IF(SUMPRODUCT(('Input Data'!B3:B24="L06")*('Input Data'!AE3:AE24&gt;0)*('Input Data'!AD3:AD24&gt;TODAY()))=0,"VACANT",TEXT(_xludf.minifs('Input Data'!AD3:AD24,'Input Data'!B3:B24,"L06",'Input Data'!AD3:AD24,"&gt;"&amp;TODAY(),'Input Data'!AE3:AE24,"&gt;0"),"YYYY")),"—")</f>
        <v>—</v>
      </c>
      <c r="L69" s="251"/>
      <c r="M69" s="251"/>
      <c r="N69" s="120"/>
    </row>
    <row r="70" spans="1:14" ht="19.5" customHeight="1" x14ac:dyDescent="0.35">
      <c r="A70" s="32"/>
      <c r="B70" s="78" t="s">
        <v>115</v>
      </c>
      <c r="C70" s="270" t="str">
        <f ca="1">IFERROR(MID(IF(('Input Data'!AD6&gt;TODAY())*('Input Data'!AE6&gt;0),", "&amp;'Input Data'!AF6&amp;" ("&amp;'Input Data'!C6&amp;")","")&amp;IF(('Input Data'!AD7&gt;TODAY())*('Input Data'!AE7&gt;0),", "&amp;'Input Data'!AF7&amp;" ("&amp;'Input Data'!C7&amp;")","")&amp;IF(('Input Data'!AD8&gt;TODAY())*('Input Data'!AE8&gt;0),", "&amp;'Input Data'!AF8&amp;" ("&amp;'Input Data'!C8&amp;")",""),3,999),"—")</f>
        <v>Fitness First N. Sydney (5.01), Asterx (MediRecords) (5.03), Auctionsplus (5.04)</v>
      </c>
      <c r="D70" s="270"/>
      <c r="E70" s="277">
        <f>SUMPRODUCT(('Input Data'!B3:B24="L05")*'Input Data'!F3:F24)</f>
        <v>1080.4000000000001</v>
      </c>
      <c r="F70" s="277"/>
      <c r="G70" s="269">
        <f ca="1">SUMPRODUCT(('Input Data'!B3:B24="L05")*('Input Data'!AD3:AD24&gt;TODAY())*('Input Data'!AE3:AE24&gt;0)*'Input Data'!Q3:Q24)</f>
        <v>948757.79900000012</v>
      </c>
      <c r="H70" s="269"/>
      <c r="I70" s="278"/>
      <c r="J70" s="278"/>
      <c r="K70" s="104" t="str">
        <f ca="1">IFERROR(IF(SUMPRODUCT(('Input Data'!B3:B24="L05")*('Input Data'!AE3:AE24&gt;0)*('Input Data'!AD3:AD24&gt;TODAY()))=0,"VACANT",TEXT(_xludf.minifs('Input Data'!AD3:AD24,'Input Data'!B3:B24,"L05",'Input Data'!AD3:AD24,"&gt;"&amp;TODAY(),'Input Data'!AE3:AE24,"&gt;0"),"YYYY")),"—")</f>
        <v>—</v>
      </c>
      <c r="L70" s="251"/>
      <c r="M70" s="251"/>
      <c r="N70" s="32"/>
    </row>
    <row r="71" spans="1:14" ht="19.5" customHeight="1" x14ac:dyDescent="0.35">
      <c r="A71" s="120"/>
      <c r="B71" s="78" t="s">
        <v>110</v>
      </c>
      <c r="C71" s="270" t="str">
        <f ca="1">IFERROR(MID(IF(('Input Data'!AD5&gt;TODAY())*('Input Data'!AE5&gt;0),", "&amp;'Input Data'!AF5&amp;" ("&amp;'Input Data'!C5&amp;")",""),3,999),"—")</f>
        <v>Fitness First (L4) (4.01)</v>
      </c>
      <c r="D71" s="270"/>
      <c r="E71" s="277">
        <f>SUMPRODUCT(('Input Data'!B3:B24="L04")*'Input Data'!F3:F24)</f>
        <v>1047</v>
      </c>
      <c r="F71" s="277"/>
      <c r="G71" s="269">
        <f ca="1">SUMPRODUCT(('Input Data'!B3:B24="L04")*('Input Data'!AD3:AD24&gt;TODAY())*('Input Data'!AE3:AE24&gt;0)*'Input Data'!Q3:Q24)</f>
        <v>906078.3</v>
      </c>
      <c r="H71" s="269"/>
      <c r="I71" s="278"/>
      <c r="J71" s="278"/>
      <c r="K71" s="104" t="str">
        <f ca="1">IFERROR(IF(SUMPRODUCT(('Input Data'!B3:B24="L04")*('Input Data'!AE3:AE24&gt;0)*('Input Data'!AD3:AD24&gt;TODAY()))=0,"VACANT",TEXT(_xludf.minifs('Input Data'!AD3:AD24,'Input Data'!B3:B24,"L04",'Input Data'!AD3:AD24,"&gt;"&amp;TODAY(),'Input Data'!AE3:AE24,"&gt;0"),"YYYY")),"—")</f>
        <v>—</v>
      </c>
      <c r="L71" s="251"/>
      <c r="M71" s="251"/>
      <c r="N71" s="120"/>
    </row>
    <row r="72" spans="1:14" ht="19.5" customHeight="1" x14ac:dyDescent="0.35">
      <c r="A72" s="32"/>
      <c r="B72" s="78" t="s">
        <v>93</v>
      </c>
      <c r="C72" s="270" t="str">
        <f ca="1">IFERROR(MID(IF(('Input Data'!AD3&gt;TODAY())*('Input Data'!AE3&gt;0),", "&amp;'Input Data'!AF3&amp;" ("&amp;'Input Data'!C3&amp;")","")&amp;IF(('Input Data'!AD4&gt;TODAY())*('Input Data'!AE4&gt;0),", "&amp;'Input Data'!AF4&amp;" ("&amp;'Input Data'!C4&amp;")",""),3,999),"—")</f>
        <v>Sydney Smiletree (3.01), Fitness First (L3) (3.02)</v>
      </c>
      <c r="D72" s="270"/>
      <c r="E72" s="277">
        <f>SUMPRODUCT(('Input Data'!B3:B24="L03")*'Input Data'!F3:F24)</f>
        <v>903.2</v>
      </c>
      <c r="F72" s="277"/>
      <c r="G72" s="269">
        <f ca="1">SUMPRODUCT(('Input Data'!B3:B24="L03")*('Input Data'!AD3:AD24&gt;TODAY())*('Input Data'!AE3:AE24&gt;0)*'Input Data'!Q3:Q24)</f>
        <v>852270.72800000012</v>
      </c>
      <c r="H72" s="269"/>
      <c r="I72" s="278"/>
      <c r="J72" s="278"/>
      <c r="K72" s="104" t="str">
        <f ca="1">IFERROR(IF(SUMPRODUCT(('Input Data'!B3:B24="L03")*('Input Data'!AE3:AE24&gt;0)*('Input Data'!AD3:AD24&gt;TODAY()))=0,"VACANT",TEXT(_xludf.minifs('Input Data'!AD3:AD24,'Input Data'!B3:B24,"L03",'Input Data'!AD3:AD24,"&gt;"&amp;TODAY(),'Input Data'!AE3:AE24,"&gt;0"),"YYYY")),"—")</f>
        <v>—</v>
      </c>
      <c r="L72" s="251"/>
      <c r="M72" s="251"/>
      <c r="N72" s="32"/>
    </row>
    <row r="73" spans="1:14" ht="19.5" customHeight="1" x14ac:dyDescent="0.35">
      <c r="A73" s="120"/>
      <c r="B73" s="233" t="s">
        <v>320</v>
      </c>
      <c r="C73" s="233"/>
      <c r="D73" s="233"/>
      <c r="E73" s="279">
        <f>SUM('Input Data'!F3:F24)</f>
        <v>8940.9000000000015</v>
      </c>
      <c r="F73" s="279"/>
      <c r="G73" s="272">
        <f>SUM('Input Data'!Q3:Q24)</f>
        <v>6606792.7196666664</v>
      </c>
      <c r="H73" s="272"/>
      <c r="I73" s="280" t="s">
        <v>321</v>
      </c>
      <c r="J73" s="280"/>
      <c r="K73" s="280"/>
      <c r="L73" s="280"/>
      <c r="M73" s="280"/>
      <c r="N73" s="120"/>
    </row>
    <row r="74" spans="1:14" ht="9.75" customHeight="1" x14ac:dyDescent="0.3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</row>
    <row r="75" spans="1:14" ht="21.75" customHeight="1" x14ac:dyDescent="0.35">
      <c r="A75" s="120"/>
      <c r="B75" s="281" t="s">
        <v>322</v>
      </c>
      <c r="C75" s="281"/>
      <c r="D75" s="281"/>
      <c r="E75" s="281"/>
      <c r="F75" s="281"/>
      <c r="G75" s="281"/>
      <c r="H75" s="281"/>
      <c r="I75" s="281"/>
      <c r="J75" s="281"/>
      <c r="K75" s="281"/>
      <c r="L75" s="281"/>
      <c r="M75" s="281"/>
      <c r="N75" s="120"/>
    </row>
    <row r="76" spans="1:14" ht="27.75" customHeight="1" x14ac:dyDescent="0.35">
      <c r="A76" s="18"/>
      <c r="B76" s="276"/>
      <c r="C76" s="276"/>
      <c r="D76" s="276"/>
      <c r="E76" s="121" t="s">
        <v>323</v>
      </c>
      <c r="F76" s="276" t="s">
        <v>324</v>
      </c>
      <c r="G76" s="276"/>
      <c r="H76" s="276" t="s">
        <v>325</v>
      </c>
      <c r="I76" s="276"/>
      <c r="J76" s="276" t="s">
        <v>326</v>
      </c>
      <c r="K76" s="276"/>
      <c r="L76" s="276"/>
      <c r="M76" s="276"/>
      <c r="N76" s="18"/>
    </row>
    <row r="77" spans="1:14" ht="19.5" customHeight="1" x14ac:dyDescent="0.35">
      <c r="A77" s="18"/>
      <c r="B77" s="282" t="s">
        <v>327</v>
      </c>
      <c r="C77" s="282"/>
      <c r="D77" s="282"/>
      <c r="E77" s="123">
        <f>Valuations!C6</f>
        <v>0</v>
      </c>
      <c r="F77" s="269">
        <f>Valuations!D6</f>
        <v>0</v>
      </c>
      <c r="G77" s="269"/>
      <c r="H77" s="269">
        <f>Valuations!E6</f>
        <v>0</v>
      </c>
      <c r="I77" s="269"/>
      <c r="J77" s="283">
        <f>IFERROR(E77-G77,"")</f>
        <v>0</v>
      </c>
      <c r="K77" s="283"/>
      <c r="L77" s="284" t="str">
        <f>IFERROR((E77-G77)/G77,"")</f>
        <v/>
      </c>
      <c r="M77" s="284"/>
      <c r="N77" s="18"/>
    </row>
    <row r="78" spans="1:14" ht="19.5" customHeight="1" x14ac:dyDescent="0.35">
      <c r="A78" s="18"/>
      <c r="B78" s="282" t="s">
        <v>328</v>
      </c>
      <c r="C78" s="282"/>
      <c r="D78" s="282"/>
      <c r="E78" s="125">
        <f>Valuations!C7</f>
        <v>0</v>
      </c>
      <c r="F78" s="285">
        <f>Valuations!D7</f>
        <v>0</v>
      </c>
      <c r="G78" s="285"/>
      <c r="H78" s="285">
        <f>Valuations!E7</f>
        <v>0</v>
      </c>
      <c r="I78" s="285"/>
      <c r="J78" s="286" t="s">
        <v>4</v>
      </c>
      <c r="K78" s="286"/>
      <c r="L78" s="286"/>
      <c r="M78" s="286"/>
      <c r="N78" s="18"/>
    </row>
    <row r="79" spans="1:14" ht="19.5" customHeight="1" x14ac:dyDescent="0.35">
      <c r="A79" s="18"/>
      <c r="B79" s="282" t="s">
        <v>329</v>
      </c>
      <c r="C79" s="282"/>
      <c r="D79" s="282"/>
      <c r="E79" s="101">
        <f>Valuations!C8</f>
        <v>0</v>
      </c>
      <c r="F79" s="287">
        <f>Valuations!D8</f>
        <v>0</v>
      </c>
      <c r="G79" s="287"/>
      <c r="H79" s="287">
        <f>Valuations!E8</f>
        <v>0</v>
      </c>
      <c r="I79" s="287"/>
      <c r="J79" s="286" t="s">
        <v>4</v>
      </c>
      <c r="K79" s="286"/>
      <c r="L79" s="286"/>
      <c r="M79" s="286"/>
      <c r="N79" s="18"/>
    </row>
    <row r="80" spans="1:14" ht="19.5" customHeight="1" x14ac:dyDescent="0.35">
      <c r="A80" s="18"/>
      <c r="B80" s="282" t="s">
        <v>330</v>
      </c>
      <c r="C80" s="282"/>
      <c r="D80" s="282"/>
      <c r="E80" s="126">
        <f>Valuations!C10</f>
        <v>0</v>
      </c>
      <c r="F80" s="288">
        <f>Valuations!D10</f>
        <v>0</v>
      </c>
      <c r="G80" s="288"/>
      <c r="H80" s="288">
        <f>Valuations!E10</f>
        <v>0</v>
      </c>
      <c r="I80" s="288"/>
      <c r="J80" s="289">
        <f>IFERROR(E80-G80,"")</f>
        <v>0</v>
      </c>
      <c r="K80" s="289"/>
      <c r="L80" s="284" t="str">
        <f>IFERROR((E80-G80)/G80,"")</f>
        <v/>
      </c>
      <c r="M80" s="284"/>
      <c r="N80" s="18"/>
    </row>
    <row r="81" spans="1:14" ht="19.5" customHeight="1" x14ac:dyDescent="0.35">
      <c r="A81" s="18"/>
      <c r="B81" s="282" t="s">
        <v>331</v>
      </c>
      <c r="C81" s="282"/>
      <c r="D81" s="282"/>
      <c r="E81" s="126">
        <f>Valuations!C11</f>
        <v>0</v>
      </c>
      <c r="F81" s="288">
        <f>Valuations!D11</f>
        <v>0</v>
      </c>
      <c r="G81" s="288"/>
      <c r="H81" s="288">
        <f>Valuations!E11</f>
        <v>0</v>
      </c>
      <c r="I81" s="288"/>
      <c r="J81" s="289">
        <f>IFERROR(E81-G81,"")</f>
        <v>0</v>
      </c>
      <c r="K81" s="289"/>
      <c r="L81" s="284" t="str">
        <f>IFERROR((E81-G81)/G81,"")</f>
        <v/>
      </c>
      <c r="M81" s="284"/>
      <c r="N81" s="18"/>
    </row>
    <row r="82" spans="1:14" ht="19.5" customHeight="1" x14ac:dyDescent="0.35">
      <c r="A82" s="18"/>
      <c r="B82" s="282" t="s">
        <v>332</v>
      </c>
      <c r="C82" s="282"/>
      <c r="D82" s="282"/>
      <c r="E82" s="98">
        <f>Valuations!C12</f>
        <v>0</v>
      </c>
      <c r="F82" s="269">
        <f>Valuations!D12</f>
        <v>0</v>
      </c>
      <c r="G82" s="269"/>
      <c r="H82" s="269">
        <f>Valuations!E12</f>
        <v>0</v>
      </c>
      <c r="I82" s="269"/>
      <c r="J82" s="283">
        <f>IFERROR(E82-G82,"")</f>
        <v>0</v>
      </c>
      <c r="K82" s="283"/>
      <c r="L82" s="284" t="str">
        <f>IFERROR((E82-G82)/G82,"")</f>
        <v/>
      </c>
      <c r="M82" s="284"/>
      <c r="N82" s="18"/>
    </row>
    <row r="83" spans="1:14" ht="19.5" customHeight="1" x14ac:dyDescent="0.35">
      <c r="A83" s="18"/>
      <c r="B83" s="282" t="s">
        <v>333</v>
      </c>
      <c r="C83" s="282"/>
      <c r="D83" s="282"/>
      <c r="E83" s="101">
        <f>Valuations!C9</f>
        <v>0</v>
      </c>
      <c r="F83" s="287">
        <f>Valuations!D9</f>
        <v>0</v>
      </c>
      <c r="G83" s="287"/>
      <c r="H83" s="287">
        <f>Valuations!E9</f>
        <v>0</v>
      </c>
      <c r="I83" s="287"/>
      <c r="J83" s="286" t="s">
        <v>4</v>
      </c>
      <c r="K83" s="286"/>
      <c r="L83" s="286"/>
      <c r="M83" s="286"/>
      <c r="N83" s="18"/>
    </row>
    <row r="84" spans="1:14" ht="9.75" customHeight="1" x14ac:dyDescent="0.3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9.5" customHeight="1" x14ac:dyDescent="0.35">
      <c r="A85" s="18"/>
      <c r="B85" s="12" t="s">
        <v>334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8"/>
    </row>
    <row r="86" spans="1:14" ht="27.75" customHeight="1" x14ac:dyDescent="0.35">
      <c r="A86" s="18"/>
      <c r="B86" s="276"/>
      <c r="C86" s="276"/>
      <c r="D86" s="276"/>
      <c r="E86" s="121" t="s">
        <v>335</v>
      </c>
      <c r="F86" s="276" t="s">
        <v>336</v>
      </c>
      <c r="G86" s="276"/>
      <c r="H86" s="276" t="s">
        <v>337</v>
      </c>
      <c r="I86" s="276"/>
      <c r="J86" s="276" t="s">
        <v>338</v>
      </c>
      <c r="K86" s="276"/>
      <c r="L86" s="276"/>
      <c r="M86" s="276"/>
      <c r="N86" s="18"/>
    </row>
    <row r="87" spans="1:14" ht="19.5" customHeight="1" x14ac:dyDescent="0.35">
      <c r="A87" s="18"/>
      <c r="B87" s="282" t="s">
        <v>339</v>
      </c>
      <c r="C87" s="282"/>
      <c r="D87" s="282"/>
      <c r="E87" s="101">
        <f>Valuations!C20</f>
        <v>0</v>
      </c>
      <c r="F87" s="287">
        <f>Valuations!D20</f>
        <v>0</v>
      </c>
      <c r="G87" s="287"/>
      <c r="H87" s="287">
        <f>Valuations!E20</f>
        <v>0</v>
      </c>
      <c r="I87" s="287"/>
      <c r="J87" s="290" t="s">
        <v>4</v>
      </c>
      <c r="K87" s="290"/>
      <c r="L87" s="290"/>
      <c r="M87" s="290"/>
      <c r="N87" s="18"/>
    </row>
    <row r="88" spans="1:14" ht="19.5" customHeight="1" x14ac:dyDescent="0.35">
      <c r="A88" s="18"/>
      <c r="B88" s="282" t="s">
        <v>340</v>
      </c>
      <c r="C88" s="282"/>
      <c r="D88" s="282"/>
      <c r="E88" s="123">
        <f>Valuations!C21</f>
        <v>0</v>
      </c>
      <c r="F88" s="269">
        <f>Valuations!D21</f>
        <v>0</v>
      </c>
      <c r="G88" s="269"/>
      <c r="H88" s="269">
        <f>Valuations!E21</f>
        <v>0</v>
      </c>
      <c r="I88" s="269"/>
      <c r="J88" s="283">
        <f>IFERROR(E88-G88,"")</f>
        <v>0</v>
      </c>
      <c r="K88" s="283"/>
      <c r="L88" s="284" t="str">
        <f>IFERROR((E88-G88)/G88,"")</f>
        <v/>
      </c>
      <c r="M88" s="284"/>
      <c r="N88" s="18"/>
    </row>
    <row r="89" spans="1:14" ht="19.5" customHeight="1" x14ac:dyDescent="0.35">
      <c r="A89" s="18"/>
      <c r="B89" s="282" t="s">
        <v>341</v>
      </c>
      <c r="C89" s="282"/>
      <c r="D89" s="282"/>
      <c r="E89" s="98">
        <f>Valuations!C22</f>
        <v>0</v>
      </c>
      <c r="F89" s="269">
        <f>Valuations!D22</f>
        <v>0</v>
      </c>
      <c r="G89" s="269"/>
      <c r="H89" s="269">
        <f>Valuations!E22</f>
        <v>0</v>
      </c>
      <c r="I89" s="269"/>
      <c r="J89" s="283">
        <f>IFERROR(E89-G89,"")</f>
        <v>0</v>
      </c>
      <c r="K89" s="283"/>
      <c r="L89" s="284" t="str">
        <f>IFERROR((E89-G89)/G89,"")</f>
        <v/>
      </c>
      <c r="M89" s="284"/>
      <c r="N89" s="18"/>
    </row>
    <row r="90" spans="1:14" ht="19.5" customHeight="1" x14ac:dyDescent="0.35">
      <c r="A90" s="18"/>
      <c r="B90" s="282" t="s">
        <v>342</v>
      </c>
      <c r="C90" s="282"/>
      <c r="D90" s="282"/>
      <c r="E90" s="125">
        <f>Valuations!C23</f>
        <v>0</v>
      </c>
      <c r="F90" s="285">
        <f>Valuations!D23</f>
        <v>0</v>
      </c>
      <c r="G90" s="285"/>
      <c r="H90" s="285">
        <f>Valuations!E23</f>
        <v>0</v>
      </c>
      <c r="I90" s="285"/>
      <c r="J90" s="290" t="s">
        <v>4</v>
      </c>
      <c r="K90" s="290"/>
      <c r="L90" s="290"/>
      <c r="M90" s="290"/>
      <c r="N90" s="18"/>
    </row>
    <row r="91" spans="1:14" ht="14.25" customHeight="1" x14ac:dyDescent="0.3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.75" customHeight="1" x14ac:dyDescent="0.35">
      <c r="A92" s="18"/>
      <c r="B92" s="291" t="s">
        <v>343</v>
      </c>
      <c r="C92" s="291"/>
      <c r="D92" s="291"/>
      <c r="E92" s="291"/>
      <c r="F92" s="291"/>
      <c r="G92" s="291"/>
      <c r="H92" s="291"/>
      <c r="I92" s="291"/>
      <c r="J92" s="291"/>
      <c r="K92" s="291"/>
      <c r="L92" s="291"/>
      <c r="M92" s="291"/>
      <c r="N92" s="18"/>
    </row>
  </sheetData>
  <mergeCells count="252">
    <mergeCell ref="B92:M92"/>
    <mergeCell ref="B89:D89"/>
    <mergeCell ref="F89:G89"/>
    <mergeCell ref="H89:I89"/>
    <mergeCell ref="J89:K89"/>
    <mergeCell ref="L89:M89"/>
    <mergeCell ref="B90:D90"/>
    <mergeCell ref="F90:G90"/>
    <mergeCell ref="H90:I90"/>
    <mergeCell ref="J90:M90"/>
    <mergeCell ref="B87:D87"/>
    <mergeCell ref="F87:G87"/>
    <mergeCell ref="H87:I87"/>
    <mergeCell ref="J87:M87"/>
    <mergeCell ref="B88:D88"/>
    <mergeCell ref="F88:G88"/>
    <mergeCell ref="H88:I88"/>
    <mergeCell ref="J88:K88"/>
    <mergeCell ref="L88:M88"/>
    <mergeCell ref="B83:D83"/>
    <mergeCell ref="F83:G83"/>
    <mergeCell ref="H83:I83"/>
    <mergeCell ref="J83:M83"/>
    <mergeCell ref="B85:M85"/>
    <mergeCell ref="B86:D86"/>
    <mergeCell ref="F86:G86"/>
    <mergeCell ref="H86:I86"/>
    <mergeCell ref="J86:M86"/>
    <mergeCell ref="B81:D81"/>
    <mergeCell ref="F81:G81"/>
    <mergeCell ref="H81:I81"/>
    <mergeCell ref="J81:K81"/>
    <mergeCell ref="L81:M81"/>
    <mergeCell ref="B82:D82"/>
    <mergeCell ref="F82:G82"/>
    <mergeCell ref="H82:I82"/>
    <mergeCell ref="J82:K82"/>
    <mergeCell ref="L82:M82"/>
    <mergeCell ref="B79:D79"/>
    <mergeCell ref="F79:G79"/>
    <mergeCell ref="H79:I79"/>
    <mergeCell ref="J79:M79"/>
    <mergeCell ref="B80:D80"/>
    <mergeCell ref="F80:G80"/>
    <mergeCell ref="H80:I80"/>
    <mergeCell ref="J80:K80"/>
    <mergeCell ref="L80:M80"/>
    <mergeCell ref="B77:D77"/>
    <mergeCell ref="F77:G77"/>
    <mergeCell ref="H77:I77"/>
    <mergeCell ref="J77:K77"/>
    <mergeCell ref="L77:M77"/>
    <mergeCell ref="B78:D78"/>
    <mergeCell ref="F78:G78"/>
    <mergeCell ref="H78:I78"/>
    <mergeCell ref="J78:M78"/>
    <mergeCell ref="B73:D73"/>
    <mergeCell ref="E73:F73"/>
    <mergeCell ref="G73:H73"/>
    <mergeCell ref="I73:M73"/>
    <mergeCell ref="B75:M75"/>
    <mergeCell ref="B76:D76"/>
    <mergeCell ref="F76:G76"/>
    <mergeCell ref="H76:I76"/>
    <mergeCell ref="J76:M76"/>
    <mergeCell ref="C71:D71"/>
    <mergeCell ref="E71:F71"/>
    <mergeCell ref="G71:H71"/>
    <mergeCell ref="I71:J71"/>
    <mergeCell ref="L71:M71"/>
    <mergeCell ref="C72:D72"/>
    <mergeCell ref="E72:F72"/>
    <mergeCell ref="G72:H72"/>
    <mergeCell ref="I72:J72"/>
    <mergeCell ref="L72:M72"/>
    <mergeCell ref="C69:D69"/>
    <mergeCell ref="E69:F69"/>
    <mergeCell ref="G69:H69"/>
    <mergeCell ref="I69:J69"/>
    <mergeCell ref="L69:M69"/>
    <mergeCell ref="C70:D70"/>
    <mergeCell ref="E70:F70"/>
    <mergeCell ref="G70:H70"/>
    <mergeCell ref="I70:J70"/>
    <mergeCell ref="L70:M70"/>
    <mergeCell ref="C67:D67"/>
    <mergeCell ref="E67:F67"/>
    <mergeCell ref="G67:H67"/>
    <mergeCell ref="I67:J67"/>
    <mergeCell ref="L67:M67"/>
    <mergeCell ref="C68:D68"/>
    <mergeCell ref="E68:F68"/>
    <mergeCell ref="G68:H68"/>
    <mergeCell ref="I68:J68"/>
    <mergeCell ref="L68:M68"/>
    <mergeCell ref="C65:D65"/>
    <mergeCell ref="E65:F65"/>
    <mergeCell ref="G65:H65"/>
    <mergeCell ref="I65:J65"/>
    <mergeCell ref="L65:M65"/>
    <mergeCell ref="C66:D66"/>
    <mergeCell ref="E66:F66"/>
    <mergeCell ref="G66:H66"/>
    <mergeCell ref="I66:J66"/>
    <mergeCell ref="L66:M66"/>
    <mergeCell ref="C63:D63"/>
    <mergeCell ref="E63:F63"/>
    <mergeCell ref="G63:H63"/>
    <mergeCell ref="I63:J63"/>
    <mergeCell ref="L63:M63"/>
    <mergeCell ref="C64:D64"/>
    <mergeCell ref="E64:F64"/>
    <mergeCell ref="G64:H64"/>
    <mergeCell ref="I64:J64"/>
    <mergeCell ref="L64:M64"/>
    <mergeCell ref="B57:C57"/>
    <mergeCell ref="G57:M57"/>
    <mergeCell ref="B58:C58"/>
    <mergeCell ref="G58:M58"/>
    <mergeCell ref="B59:C59"/>
    <mergeCell ref="G59:M59"/>
    <mergeCell ref="B61:M61"/>
    <mergeCell ref="C62:D62"/>
    <mergeCell ref="E62:F62"/>
    <mergeCell ref="G62:H62"/>
    <mergeCell ref="I62:J62"/>
    <mergeCell ref="L62:M62"/>
    <mergeCell ref="B52:C52"/>
    <mergeCell ref="G52:M52"/>
    <mergeCell ref="B53:C53"/>
    <mergeCell ref="G53:M53"/>
    <mergeCell ref="B54:C54"/>
    <mergeCell ref="G54:M54"/>
    <mergeCell ref="B55:C55"/>
    <mergeCell ref="G55:M55"/>
    <mergeCell ref="B56:C56"/>
    <mergeCell ref="G56:M56"/>
    <mergeCell ref="B47:C47"/>
    <mergeCell ref="G47:M47"/>
    <mergeCell ref="B48:C48"/>
    <mergeCell ref="G48:M48"/>
    <mergeCell ref="B49:C49"/>
    <mergeCell ref="G49:M49"/>
    <mergeCell ref="B50:C50"/>
    <mergeCell ref="G50:M50"/>
    <mergeCell ref="B51:C51"/>
    <mergeCell ref="G51:M51"/>
    <mergeCell ref="C41:D41"/>
    <mergeCell ref="J41:M41"/>
    <mergeCell ref="C42:D42"/>
    <mergeCell ref="J42:M42"/>
    <mergeCell ref="C43:D43"/>
    <mergeCell ref="J43:M43"/>
    <mergeCell ref="C44:D44"/>
    <mergeCell ref="J44:M44"/>
    <mergeCell ref="B46:M46"/>
    <mergeCell ref="C36:D36"/>
    <mergeCell ref="J36:M36"/>
    <mergeCell ref="C37:D37"/>
    <mergeCell ref="J37:M37"/>
    <mergeCell ref="C38:D38"/>
    <mergeCell ref="J38:M38"/>
    <mergeCell ref="C39:D39"/>
    <mergeCell ref="J39:M39"/>
    <mergeCell ref="C40:D40"/>
    <mergeCell ref="J40:M40"/>
    <mergeCell ref="C31:D31"/>
    <mergeCell ref="J31:M31"/>
    <mergeCell ref="C32:D32"/>
    <mergeCell ref="J32:M32"/>
    <mergeCell ref="C33:D33"/>
    <mergeCell ref="J33:M33"/>
    <mergeCell ref="C34:D34"/>
    <mergeCell ref="J34:M34"/>
    <mergeCell ref="C35:D35"/>
    <mergeCell ref="J35:M35"/>
    <mergeCell ref="B25:C25"/>
    <mergeCell ref="D25:E25"/>
    <mergeCell ref="B27:M27"/>
    <mergeCell ref="C28:D28"/>
    <mergeCell ref="J28:M28"/>
    <mergeCell ref="C29:D29"/>
    <mergeCell ref="J29:M29"/>
    <mergeCell ref="C30:D30"/>
    <mergeCell ref="J30:M30"/>
    <mergeCell ref="B22:C22"/>
    <mergeCell ref="D22:E22"/>
    <mergeCell ref="J22:M22"/>
    <mergeCell ref="B23:C23"/>
    <mergeCell ref="D23:E23"/>
    <mergeCell ref="J23:M23"/>
    <mergeCell ref="B24:C24"/>
    <mergeCell ref="D24:E24"/>
    <mergeCell ref="J24:M24"/>
    <mergeCell ref="B19:C19"/>
    <mergeCell ref="D19:E19"/>
    <mergeCell ref="J19:M19"/>
    <mergeCell ref="B20:C20"/>
    <mergeCell ref="D20:E20"/>
    <mergeCell ref="J20:M20"/>
    <mergeCell ref="B21:C21"/>
    <mergeCell ref="D21:E21"/>
    <mergeCell ref="J21:M21"/>
    <mergeCell ref="B12:M12"/>
    <mergeCell ref="B13:D13"/>
    <mergeCell ref="F13:M13"/>
    <mergeCell ref="B14:D14"/>
    <mergeCell ref="F14:M14"/>
    <mergeCell ref="B15:D15"/>
    <mergeCell ref="F15:M15"/>
    <mergeCell ref="B17:M17"/>
    <mergeCell ref="B18:C18"/>
    <mergeCell ref="D18:E18"/>
    <mergeCell ref="J18:M18"/>
    <mergeCell ref="B9:C9"/>
    <mergeCell ref="D9:E9"/>
    <mergeCell ref="F9:G9"/>
    <mergeCell ref="H9:I9"/>
    <mergeCell ref="J9:K9"/>
    <mergeCell ref="L9:M9"/>
    <mergeCell ref="B10:C10"/>
    <mergeCell ref="D10:E10"/>
    <mergeCell ref="F10:G10"/>
    <mergeCell ref="H10:I10"/>
    <mergeCell ref="J10:K10"/>
    <mergeCell ref="L10:M10"/>
    <mergeCell ref="B6:C6"/>
    <mergeCell ref="D6:E6"/>
    <mergeCell ref="F6:G6"/>
    <mergeCell ref="H6:I6"/>
    <mergeCell ref="J6:K6"/>
    <mergeCell ref="L6:M6"/>
    <mergeCell ref="B8:C8"/>
    <mergeCell ref="D8:E8"/>
    <mergeCell ref="F8:G8"/>
    <mergeCell ref="H8:I8"/>
    <mergeCell ref="J8:K8"/>
    <mergeCell ref="L8:M8"/>
    <mergeCell ref="A1:N1"/>
    <mergeCell ref="A2:N2"/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</mergeCells>
  <pageMargins left="0.75" right="0.75" top="1" bottom="1" header="0.5" footer="0.5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"/>
  <sheetViews>
    <sheetView showGridLines="0" zoomScaleNormal="100" workbookViewId="0"/>
  </sheetViews>
  <sheetFormatPr defaultColWidth="8.6328125" defaultRowHeight="14.5" x14ac:dyDescent="0.35"/>
  <cols>
    <col min="1" max="1" width="1.453125" customWidth="1"/>
    <col min="2" max="2" width="22" customWidth="1"/>
    <col min="3" max="6" width="16" customWidth="1"/>
    <col min="7" max="7" width="22" customWidth="1"/>
    <col min="8" max="8" width="1.453125" customWidth="1"/>
  </cols>
  <sheetData>
    <row r="1" spans="1:8" ht="31.5" customHeight="1" x14ac:dyDescent="0.35">
      <c r="A1" s="14" t="s">
        <v>344</v>
      </c>
      <c r="B1" s="14"/>
      <c r="C1" s="14"/>
      <c r="D1" s="14"/>
      <c r="E1" s="14"/>
      <c r="F1" s="14"/>
      <c r="G1" s="14"/>
      <c r="H1" s="14"/>
    </row>
    <row r="2" spans="1:8" ht="18" customHeight="1" x14ac:dyDescent="0.35">
      <c r="A2" s="292" t="s">
        <v>345</v>
      </c>
      <c r="B2" s="292"/>
      <c r="C2" s="292"/>
      <c r="D2" s="292"/>
      <c r="E2" s="292"/>
      <c r="F2" s="292"/>
      <c r="G2" s="292"/>
      <c r="H2" s="292"/>
    </row>
    <row r="3" spans="1:8" ht="7.5" customHeight="1" x14ac:dyDescent="0.35">
      <c r="A3" s="18"/>
      <c r="B3" s="18"/>
      <c r="C3" s="18"/>
      <c r="D3" s="18"/>
      <c r="E3" s="18"/>
      <c r="F3" s="18"/>
      <c r="G3" s="18"/>
      <c r="H3" s="18"/>
    </row>
    <row r="4" spans="1:8" ht="21.75" customHeight="1" x14ac:dyDescent="0.35">
      <c r="A4" s="18"/>
      <c r="B4" s="281" t="s">
        <v>346</v>
      </c>
      <c r="C4" s="281"/>
      <c r="D4" s="281"/>
      <c r="E4" s="281"/>
      <c r="F4" s="281"/>
      <c r="G4" s="281"/>
      <c r="H4" s="18"/>
    </row>
    <row r="5" spans="1:8" ht="27.75" customHeight="1" x14ac:dyDescent="0.35">
      <c r="A5" s="18"/>
      <c r="B5" s="121"/>
      <c r="C5" s="121" t="s">
        <v>347</v>
      </c>
      <c r="D5" s="121" t="s">
        <v>348</v>
      </c>
      <c r="E5" s="121" t="s">
        <v>349</v>
      </c>
      <c r="F5" s="276" t="s">
        <v>87</v>
      </c>
      <c r="G5" s="276"/>
      <c r="H5" s="18"/>
    </row>
    <row r="6" spans="1:8" ht="19.5" customHeight="1" x14ac:dyDescent="0.35">
      <c r="A6" s="18"/>
      <c r="B6" s="38" t="s">
        <v>350</v>
      </c>
      <c r="C6" s="127"/>
      <c r="D6" s="127"/>
      <c r="E6" s="127"/>
      <c r="F6" s="5"/>
      <c r="G6" s="5"/>
      <c r="H6" s="18"/>
    </row>
    <row r="7" spans="1:8" ht="19.5" customHeight="1" x14ac:dyDescent="0.35">
      <c r="A7" s="18"/>
      <c r="B7" s="38" t="s">
        <v>328</v>
      </c>
      <c r="C7" s="75"/>
      <c r="D7" s="75"/>
      <c r="E7" s="75"/>
      <c r="F7" s="293"/>
      <c r="G7" s="293"/>
      <c r="H7" s="18"/>
    </row>
    <row r="8" spans="1:8" ht="19.5" customHeight="1" x14ac:dyDescent="0.35">
      <c r="A8" s="18"/>
      <c r="B8" s="38" t="s">
        <v>329</v>
      </c>
      <c r="C8" s="128"/>
      <c r="D8" s="128"/>
      <c r="E8" s="128"/>
      <c r="F8" s="5"/>
      <c r="G8" s="5"/>
      <c r="H8" s="18"/>
    </row>
    <row r="9" spans="1:8" ht="19.5" customHeight="1" x14ac:dyDescent="0.35">
      <c r="A9" s="18"/>
      <c r="B9" s="38" t="s">
        <v>333</v>
      </c>
      <c r="C9" s="129"/>
      <c r="D9" s="129"/>
      <c r="E9" s="129"/>
      <c r="F9" s="293"/>
      <c r="G9" s="293"/>
      <c r="H9" s="18"/>
    </row>
    <row r="10" spans="1:8" ht="19.5" customHeight="1" x14ac:dyDescent="0.35">
      <c r="A10" s="18"/>
      <c r="B10" s="38" t="s">
        <v>351</v>
      </c>
      <c r="C10" s="130"/>
      <c r="D10" s="130"/>
      <c r="E10" s="130"/>
      <c r="F10" s="5"/>
      <c r="G10" s="5"/>
      <c r="H10" s="18"/>
    </row>
    <row r="11" spans="1:8" ht="19.5" customHeight="1" x14ac:dyDescent="0.35">
      <c r="A11" s="18"/>
      <c r="B11" s="38" t="s">
        <v>352</v>
      </c>
      <c r="C11" s="131"/>
      <c r="D11" s="131"/>
      <c r="E11" s="131"/>
      <c r="F11" s="293"/>
      <c r="G11" s="293"/>
      <c r="H11" s="18"/>
    </row>
    <row r="12" spans="1:8" ht="19.5" customHeight="1" x14ac:dyDescent="0.35">
      <c r="A12" s="18"/>
      <c r="B12" s="38" t="s">
        <v>353</v>
      </c>
      <c r="C12" s="127"/>
      <c r="D12" s="127"/>
      <c r="E12" s="127"/>
      <c r="F12" s="5"/>
      <c r="G12" s="5"/>
      <c r="H12" s="18"/>
    </row>
    <row r="13" spans="1:8" ht="19.5" customHeight="1" x14ac:dyDescent="0.35">
      <c r="A13" s="18"/>
      <c r="B13" s="38" t="s">
        <v>354</v>
      </c>
      <c r="C13" s="132"/>
      <c r="D13" s="132"/>
      <c r="E13" s="132"/>
      <c r="F13" s="293"/>
      <c r="G13" s="293"/>
      <c r="H13" s="18"/>
    </row>
    <row r="14" spans="1:8" ht="18" customHeight="1" x14ac:dyDescent="0.35">
      <c r="A14" s="18"/>
      <c r="B14" s="294" t="s">
        <v>355</v>
      </c>
      <c r="C14" s="294"/>
      <c r="D14" s="294"/>
      <c r="E14" s="294"/>
      <c r="F14" s="294"/>
      <c r="G14" s="294"/>
      <c r="H14" s="18"/>
    </row>
    <row r="15" spans="1:8" ht="19.5" customHeight="1" x14ac:dyDescent="0.35">
      <c r="A15" s="18"/>
      <c r="B15" s="38" t="s">
        <v>356</v>
      </c>
      <c r="C15" s="283">
        <f>IFERROR(C6-D6,"")</f>
        <v>0</v>
      </c>
      <c r="D15" s="283"/>
      <c r="E15" s="124" t="str">
        <f>IFERROR((C6-D6)/D6,"")</f>
        <v/>
      </c>
      <c r="F15" s="295"/>
      <c r="G15" s="295"/>
      <c r="H15" s="18"/>
    </row>
    <row r="16" spans="1:8" ht="19.5" customHeight="1" x14ac:dyDescent="0.35">
      <c r="A16" s="18"/>
      <c r="B16" s="50" t="s">
        <v>357</v>
      </c>
      <c r="C16" s="283">
        <f>IFERROR(D6-E6,"")</f>
        <v>0</v>
      </c>
      <c r="D16" s="283"/>
      <c r="E16" s="124" t="str">
        <f>IFERROR((D6-E6)/E6,"")</f>
        <v/>
      </c>
      <c r="F16" s="295"/>
      <c r="G16" s="295"/>
      <c r="H16" s="18"/>
    </row>
    <row r="17" spans="1:8" ht="9.75" customHeight="1" x14ac:dyDescent="0.35">
      <c r="A17" s="18"/>
      <c r="B17" s="18"/>
      <c r="C17" s="18"/>
      <c r="D17" s="18"/>
      <c r="E17" s="18"/>
      <c r="F17" s="18"/>
      <c r="G17" s="18"/>
      <c r="H17" s="18"/>
    </row>
    <row r="18" spans="1:8" ht="21.75" customHeight="1" x14ac:dyDescent="0.35">
      <c r="A18" s="18"/>
      <c r="B18" s="281" t="s">
        <v>358</v>
      </c>
      <c r="C18" s="281"/>
      <c r="D18" s="281"/>
      <c r="E18" s="281"/>
      <c r="F18" s="281"/>
      <c r="G18" s="281"/>
      <c r="H18" s="18"/>
    </row>
    <row r="19" spans="1:8" ht="27.75" customHeight="1" x14ac:dyDescent="0.35">
      <c r="A19" s="18"/>
      <c r="B19" s="121"/>
      <c r="C19" s="121" t="s">
        <v>359</v>
      </c>
      <c r="D19" s="121" t="s">
        <v>336</v>
      </c>
      <c r="E19" s="121" t="s">
        <v>337</v>
      </c>
      <c r="F19" s="276" t="s">
        <v>87</v>
      </c>
      <c r="G19" s="276"/>
      <c r="H19" s="18"/>
    </row>
    <row r="20" spans="1:8" ht="19.5" customHeight="1" x14ac:dyDescent="0.35">
      <c r="A20" s="18"/>
      <c r="B20" s="38" t="s">
        <v>339</v>
      </c>
      <c r="C20" s="128"/>
      <c r="D20" s="128"/>
      <c r="E20" s="128"/>
      <c r="F20" s="5"/>
      <c r="G20" s="5"/>
      <c r="H20" s="18"/>
    </row>
    <row r="21" spans="1:8" ht="19.5" customHeight="1" x14ac:dyDescent="0.35">
      <c r="A21" s="18"/>
      <c r="B21" s="38" t="s">
        <v>340</v>
      </c>
      <c r="C21" s="132"/>
      <c r="D21" s="132"/>
      <c r="E21" s="132"/>
      <c r="F21" s="293"/>
      <c r="G21" s="293"/>
      <c r="H21" s="18"/>
    </row>
    <row r="22" spans="1:8" ht="19.5" customHeight="1" x14ac:dyDescent="0.35">
      <c r="A22" s="18"/>
      <c r="B22" s="38" t="s">
        <v>341</v>
      </c>
      <c r="C22" s="127"/>
      <c r="D22" s="127"/>
      <c r="E22" s="127"/>
      <c r="F22" s="5"/>
      <c r="G22" s="5"/>
      <c r="H22" s="18"/>
    </row>
    <row r="23" spans="1:8" ht="19.5" customHeight="1" x14ac:dyDescent="0.35">
      <c r="A23" s="18"/>
      <c r="B23" s="38" t="s">
        <v>342</v>
      </c>
      <c r="C23" s="75"/>
      <c r="D23" s="75"/>
      <c r="E23" s="75"/>
      <c r="F23" s="293"/>
      <c r="G23" s="293"/>
      <c r="H23" s="18"/>
    </row>
    <row r="24" spans="1:8" ht="19.5" customHeight="1" x14ac:dyDescent="0.35">
      <c r="A24" s="18"/>
      <c r="B24" s="38" t="s">
        <v>360</v>
      </c>
      <c r="C24" s="127"/>
      <c r="D24" s="127"/>
      <c r="E24" s="127"/>
      <c r="F24" s="5"/>
      <c r="G24" s="5"/>
      <c r="H24" s="18"/>
    </row>
    <row r="25" spans="1:8" ht="19.5" customHeight="1" x14ac:dyDescent="0.35">
      <c r="A25" s="18"/>
      <c r="B25" s="38" t="s">
        <v>361</v>
      </c>
      <c r="C25" s="135"/>
      <c r="D25" s="135"/>
      <c r="E25" s="135"/>
      <c r="F25" s="293"/>
      <c r="G25" s="293"/>
      <c r="H25" s="18"/>
    </row>
    <row r="26" spans="1:8" ht="19.5" customHeight="1" x14ac:dyDescent="0.35">
      <c r="A26" s="18"/>
      <c r="B26" s="38" t="s">
        <v>362</v>
      </c>
      <c r="C26" s="76"/>
      <c r="D26" s="76"/>
      <c r="E26" s="76"/>
      <c r="F26" s="5"/>
      <c r="G26" s="5"/>
      <c r="H26" s="18"/>
    </row>
    <row r="27" spans="1:8" ht="19.5" customHeight="1" x14ac:dyDescent="0.35">
      <c r="A27" s="18"/>
      <c r="B27" s="38" t="s">
        <v>363</v>
      </c>
      <c r="C27" s="129"/>
      <c r="D27" s="129"/>
      <c r="E27" s="129"/>
      <c r="F27" s="293"/>
      <c r="G27" s="293"/>
      <c r="H27" s="18"/>
    </row>
    <row r="28" spans="1:8" ht="9.75" customHeight="1" x14ac:dyDescent="0.35">
      <c r="A28" s="18"/>
      <c r="B28" s="18"/>
      <c r="C28" s="18"/>
      <c r="D28" s="18"/>
      <c r="E28" s="18"/>
      <c r="F28" s="18"/>
      <c r="G28" s="18"/>
      <c r="H28" s="18"/>
    </row>
    <row r="29" spans="1:8" ht="18" customHeight="1" x14ac:dyDescent="0.35">
      <c r="A29" s="18"/>
      <c r="B29" s="294" t="s">
        <v>364</v>
      </c>
      <c r="C29" s="294"/>
      <c r="D29" s="294"/>
      <c r="E29" s="294"/>
      <c r="F29" s="294"/>
      <c r="G29" s="294"/>
      <c r="H29" s="18"/>
    </row>
    <row r="30" spans="1:8" ht="19.5" customHeight="1" x14ac:dyDescent="0.35">
      <c r="A30" s="18"/>
      <c r="B30" s="38" t="s">
        <v>365</v>
      </c>
      <c r="C30" s="283">
        <f>IFERROR(C21-D21,"")</f>
        <v>0</v>
      </c>
      <c r="D30" s="283"/>
      <c r="E30" s="124" t="str">
        <f>IFERROR((C21-D21)/D21,"")</f>
        <v/>
      </c>
      <c r="F30" s="295"/>
      <c r="G30" s="295"/>
      <c r="H30" s="18"/>
    </row>
    <row r="31" spans="1:8" ht="19.5" customHeight="1" x14ac:dyDescent="0.35">
      <c r="A31" s="18"/>
      <c r="B31" s="136" t="s">
        <v>366</v>
      </c>
      <c r="C31" s="283">
        <f>IFERROR(D21-E21,"")</f>
        <v>0</v>
      </c>
      <c r="D31" s="283"/>
      <c r="E31" s="124" t="str">
        <f>IFERROR((D21-E21)/E21,"")</f>
        <v/>
      </c>
      <c r="F31" s="295"/>
      <c r="G31" s="295"/>
      <c r="H31" s="18"/>
    </row>
    <row r="32" spans="1:8" ht="9.75" customHeight="1" x14ac:dyDescent="0.35">
      <c r="A32" s="18"/>
      <c r="B32" s="18"/>
      <c r="C32" s="18"/>
      <c r="D32" s="18"/>
      <c r="E32" s="18"/>
      <c r="F32" s="18"/>
      <c r="G32" s="18"/>
      <c r="H32" s="18"/>
    </row>
    <row r="33" spans="1:8" ht="21.75" customHeight="1" x14ac:dyDescent="0.35">
      <c r="A33" s="18"/>
      <c r="B33" s="281" t="s">
        <v>367</v>
      </c>
      <c r="C33" s="281"/>
      <c r="D33" s="281"/>
      <c r="E33" s="281"/>
      <c r="F33" s="281"/>
      <c r="G33" s="281"/>
      <c r="H33" s="18"/>
    </row>
    <row r="34" spans="1:8" ht="24" customHeight="1" x14ac:dyDescent="0.35">
      <c r="A34" s="18"/>
      <c r="B34" s="276" t="s">
        <v>368</v>
      </c>
      <c r="C34" s="276"/>
      <c r="D34" s="276" t="s">
        <v>369</v>
      </c>
      <c r="E34" s="276"/>
      <c r="F34" s="276"/>
      <c r="G34" s="121" t="s">
        <v>370</v>
      </c>
      <c r="H34" s="18"/>
    </row>
    <row r="35" spans="1:8" ht="19.5" customHeight="1" x14ac:dyDescent="0.35">
      <c r="A35" s="18"/>
      <c r="B35" s="282" t="s">
        <v>371</v>
      </c>
      <c r="C35" s="282"/>
      <c r="D35" s="296"/>
      <c r="E35" s="296"/>
      <c r="F35" s="296"/>
      <c r="G35" s="129"/>
      <c r="H35" s="18"/>
    </row>
    <row r="36" spans="1:8" ht="19.5" customHeight="1" x14ac:dyDescent="0.35">
      <c r="A36" s="18"/>
      <c r="B36" s="282" t="s">
        <v>372</v>
      </c>
      <c r="C36" s="282"/>
      <c r="D36" s="297"/>
      <c r="E36" s="297"/>
      <c r="F36" s="297"/>
      <c r="G36" s="127"/>
      <c r="H36" s="18"/>
    </row>
    <row r="37" spans="1:8" ht="19.5" customHeight="1" x14ac:dyDescent="0.35">
      <c r="A37" s="18"/>
      <c r="B37" s="282" t="s">
        <v>373</v>
      </c>
      <c r="C37" s="282"/>
      <c r="D37" s="298"/>
      <c r="E37" s="298"/>
      <c r="F37" s="298"/>
      <c r="G37" s="75"/>
      <c r="H37" s="18"/>
    </row>
    <row r="38" spans="1:8" ht="19.5" customHeight="1" x14ac:dyDescent="0.35">
      <c r="A38" s="18"/>
      <c r="B38" s="282" t="s">
        <v>374</v>
      </c>
      <c r="C38" s="282"/>
      <c r="D38" s="299"/>
      <c r="E38" s="299"/>
      <c r="F38" s="299"/>
      <c r="G38" s="137"/>
      <c r="H38" s="18"/>
    </row>
    <row r="39" spans="1:8" ht="19.5" customHeight="1" x14ac:dyDescent="0.35">
      <c r="A39" s="18"/>
      <c r="B39" s="282" t="s">
        <v>375</v>
      </c>
      <c r="C39" s="282"/>
      <c r="D39" s="296"/>
      <c r="E39" s="296"/>
      <c r="F39" s="296"/>
      <c r="G39" s="129"/>
      <c r="H39" s="18"/>
    </row>
    <row r="40" spans="1:8" ht="19.5" customHeight="1" x14ac:dyDescent="0.35">
      <c r="A40" s="18"/>
      <c r="B40" s="282" t="s">
        <v>376</v>
      </c>
      <c r="C40" s="282"/>
      <c r="D40" s="300"/>
      <c r="E40" s="300"/>
      <c r="F40" s="300"/>
      <c r="G40" s="76"/>
      <c r="H40" s="18"/>
    </row>
    <row r="41" spans="1:8" ht="19.5" customHeight="1" x14ac:dyDescent="0.35">
      <c r="A41" s="18"/>
      <c r="B41" s="282" t="s">
        <v>377</v>
      </c>
      <c r="C41" s="282"/>
      <c r="D41" s="284" t="str">
        <f>IFERROR(D36/Valuations!C6,"")</f>
        <v/>
      </c>
      <c r="E41" s="284"/>
      <c r="F41" s="284"/>
      <c r="G41" s="138"/>
      <c r="H41" s="18"/>
    </row>
    <row r="42" spans="1:8" ht="19.5" customHeight="1" x14ac:dyDescent="0.35">
      <c r="A42" s="18"/>
      <c r="B42" s="282" t="s">
        <v>378</v>
      </c>
      <c r="C42" s="282"/>
      <c r="D42" s="301"/>
      <c r="E42" s="301"/>
      <c r="F42" s="301"/>
      <c r="G42" s="139"/>
      <c r="H42" s="18"/>
    </row>
    <row r="43" spans="1:8" ht="19.5" customHeight="1" x14ac:dyDescent="0.35">
      <c r="A43" s="18"/>
      <c r="B43" s="282" t="s">
        <v>379</v>
      </c>
      <c r="C43" s="282"/>
      <c r="D43" s="296"/>
      <c r="E43" s="296"/>
      <c r="F43" s="296"/>
      <c r="G43" s="129"/>
      <c r="H43" s="18"/>
    </row>
    <row r="44" spans="1:8" ht="9.75" customHeight="1" x14ac:dyDescent="0.35">
      <c r="A44" s="18"/>
      <c r="B44" s="18"/>
      <c r="C44" s="18"/>
      <c r="D44" s="18"/>
      <c r="E44" s="18"/>
      <c r="F44" s="18"/>
      <c r="G44" s="18"/>
      <c r="H44" s="18"/>
    </row>
    <row r="45" spans="1:8" ht="19.5" customHeight="1" x14ac:dyDescent="0.35">
      <c r="A45" s="18"/>
      <c r="B45" s="302" t="s">
        <v>380</v>
      </c>
      <c r="C45" s="302"/>
      <c r="D45" s="302"/>
      <c r="E45" s="302"/>
      <c r="F45" s="302"/>
      <c r="G45" s="302"/>
      <c r="H45" s="18"/>
    </row>
  </sheetData>
  <mergeCells count="54">
    <mergeCell ref="B45:G45"/>
    <mergeCell ref="B41:C41"/>
    <mergeCell ref="D41:F41"/>
    <mergeCell ref="B42:C42"/>
    <mergeCell ref="D42:F42"/>
    <mergeCell ref="B43:C43"/>
    <mergeCell ref="D43:F43"/>
    <mergeCell ref="B38:C38"/>
    <mergeCell ref="D38:F38"/>
    <mergeCell ref="B39:C39"/>
    <mergeCell ref="D39:F39"/>
    <mergeCell ref="B40:C40"/>
    <mergeCell ref="D40:F40"/>
    <mergeCell ref="B35:C35"/>
    <mergeCell ref="D35:F35"/>
    <mergeCell ref="B36:C36"/>
    <mergeCell ref="D36:F36"/>
    <mergeCell ref="B37:C37"/>
    <mergeCell ref="D37:F37"/>
    <mergeCell ref="C31:D31"/>
    <mergeCell ref="F31:G31"/>
    <mergeCell ref="B33:G33"/>
    <mergeCell ref="B34:C34"/>
    <mergeCell ref="D34:F34"/>
    <mergeCell ref="F26:G26"/>
    <mergeCell ref="F27:G27"/>
    <mergeCell ref="B29:G29"/>
    <mergeCell ref="C30:D30"/>
    <mergeCell ref="F30:G30"/>
    <mergeCell ref="F21:G21"/>
    <mergeCell ref="F22:G22"/>
    <mergeCell ref="F23:G23"/>
    <mergeCell ref="F24:G24"/>
    <mergeCell ref="F25:G25"/>
    <mergeCell ref="C16:D16"/>
    <mergeCell ref="F16:G16"/>
    <mergeCell ref="B18:G18"/>
    <mergeCell ref="F19:G19"/>
    <mergeCell ref="F20:G20"/>
    <mergeCell ref="F12:G12"/>
    <mergeCell ref="F13:G13"/>
    <mergeCell ref="B14:G14"/>
    <mergeCell ref="C15:D15"/>
    <mergeCell ref="F15:G15"/>
    <mergeCell ref="F7:G7"/>
    <mergeCell ref="F8:G8"/>
    <mergeCell ref="F9:G9"/>
    <mergeCell ref="F10:G10"/>
    <mergeCell ref="F11:G11"/>
    <mergeCell ref="A1:H1"/>
    <mergeCell ref="A2:H2"/>
    <mergeCell ref="B4:G4"/>
    <mergeCell ref="F5:G5"/>
    <mergeCell ref="F6:G6"/>
  </mergeCells>
  <pageMargins left="0.75" right="0.75" top="1" bottom="1" header="0.5" footer="0.5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8"/>
  <sheetViews>
    <sheetView showGridLines="0" zoomScale="74" zoomScaleNormal="74" workbookViewId="0">
      <pane ySplit="3" topLeftCell="A4" activePane="bottomLeft" state="frozen"/>
      <selection pane="bottomLeft" activeCell="D4" sqref="D4"/>
    </sheetView>
  </sheetViews>
  <sheetFormatPr defaultColWidth="8.6328125" defaultRowHeight="14.5" x14ac:dyDescent="0.35"/>
  <cols>
    <col min="1" max="1" width="1.453125" customWidth="1"/>
    <col min="2" max="2" width="10" customWidth="1"/>
    <col min="3" max="3" width="12" customWidth="1"/>
    <col min="4" max="4" width="28" customWidth="1"/>
    <col min="5" max="5" width="19.08984375" customWidth="1"/>
    <col min="6" max="6" width="18.453125" customWidth="1"/>
    <col min="7" max="7" width="12" customWidth="1"/>
    <col min="8" max="8" width="11" customWidth="1"/>
    <col min="9" max="9" width="12" customWidth="1"/>
    <col min="10" max="10" width="11" customWidth="1"/>
    <col min="11" max="11" width="12" customWidth="1"/>
    <col min="12" max="12" width="11" customWidth="1"/>
    <col min="13" max="13" width="5.7265625" customWidth="1"/>
  </cols>
  <sheetData>
    <row r="1" spans="1:13" ht="27.75" customHeight="1" x14ac:dyDescent="0.35">
      <c r="A1" s="303" t="s">
        <v>381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</row>
    <row r="2" spans="1:13" ht="15.75" customHeight="1" x14ac:dyDescent="0.35">
      <c r="A2" s="304" t="s">
        <v>382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</row>
    <row r="3" spans="1:13" ht="36" customHeight="1" x14ac:dyDescent="0.35">
      <c r="A3" s="18"/>
      <c r="B3" s="121" t="s">
        <v>272</v>
      </c>
      <c r="C3" s="121" t="s">
        <v>383</v>
      </c>
      <c r="D3" s="121" t="s">
        <v>384</v>
      </c>
      <c r="E3" s="121" t="s">
        <v>385</v>
      </c>
      <c r="F3" s="121" t="s">
        <v>386</v>
      </c>
      <c r="G3" s="121" t="s">
        <v>277</v>
      </c>
      <c r="H3" s="121" t="s">
        <v>278</v>
      </c>
      <c r="I3" s="121" t="s">
        <v>387</v>
      </c>
      <c r="J3" s="121" t="s">
        <v>388</v>
      </c>
      <c r="K3" s="121" t="s">
        <v>389</v>
      </c>
      <c r="L3" s="121" t="s">
        <v>390</v>
      </c>
      <c r="M3" s="121" t="s">
        <v>389</v>
      </c>
    </row>
    <row r="4" spans="1:13" ht="18" customHeight="1" x14ac:dyDescent="0.35">
      <c r="A4" s="18"/>
      <c r="B4" s="140" t="s">
        <v>94</v>
      </c>
      <c r="C4" s="141">
        <f>IFERROR(INDEX('Input Data'!F:F,MATCH(B4,'Input Data'!$C:$C,0)),"")</f>
        <v>107.7</v>
      </c>
      <c r="D4" s="38" t="str">
        <f>IFERROR(INDEX('Input Data'!D:D,MATCH(B4,'Input Data'!$C:$C,0)),"")</f>
        <v>Sydney Smiletree Pty Ltd</v>
      </c>
      <c r="E4" s="142">
        <f>IFERROR(INDEX('Input Data'!J:J,MATCH(B4,'Input Data'!$C:$C,0)),"")</f>
        <v>1395.94</v>
      </c>
      <c r="F4" s="143">
        <v>950</v>
      </c>
      <c r="G4" s="142">
        <f t="shared" ref="G4:G25" si="0">IFERROR(E4-F4,"")</f>
        <v>445.94000000000005</v>
      </c>
      <c r="H4" s="144">
        <f t="shared" ref="H4:H25" si="1">IFERROR((E4-F4)/F4,"")</f>
        <v>0.46941052631578956</v>
      </c>
      <c r="I4" s="145" t="s">
        <v>391</v>
      </c>
      <c r="J4" s="145" t="s">
        <v>392</v>
      </c>
      <c r="K4" s="145" t="s">
        <v>393</v>
      </c>
      <c r="L4" s="145" t="s">
        <v>394</v>
      </c>
      <c r="M4" s="145" t="s">
        <v>395</v>
      </c>
    </row>
    <row r="5" spans="1:13" ht="18" customHeight="1" x14ac:dyDescent="0.35">
      <c r="A5" s="18"/>
      <c r="B5" s="146" t="s">
        <v>103</v>
      </c>
      <c r="C5" s="147">
        <f>IFERROR(INDEX('Input Data'!F:F,MATCH(B5,'Input Data'!$C:$C,0)),"")</f>
        <v>795.5</v>
      </c>
      <c r="D5" s="136" t="str">
        <f>IFERROR(INDEX('Input Data'!D:D,MATCH(B5,'Input Data'!$C:$C,0)),"")</f>
        <v>Fitness First Australia Pty Limited</v>
      </c>
      <c r="E5" s="148">
        <f>IFERROR(INDEX('Input Data'!J:J,MATCH(B5,'Input Data'!$C:$C,0)),"")</f>
        <v>855.7</v>
      </c>
      <c r="F5" s="149">
        <v>870</v>
      </c>
      <c r="G5" s="148">
        <f t="shared" si="0"/>
        <v>-14.299999999999955</v>
      </c>
      <c r="H5" s="150">
        <f t="shared" si="1"/>
        <v>-1.6436781609195351E-2</v>
      </c>
      <c r="I5" s="151" t="s">
        <v>391</v>
      </c>
      <c r="J5" s="151" t="s">
        <v>392</v>
      </c>
      <c r="K5" s="151" t="s">
        <v>393</v>
      </c>
      <c r="L5" s="151" t="s">
        <v>394</v>
      </c>
      <c r="M5" s="151" t="s">
        <v>395</v>
      </c>
    </row>
    <row r="6" spans="1:13" ht="18" customHeight="1" x14ac:dyDescent="0.35">
      <c r="A6" s="18"/>
      <c r="B6" s="140" t="s">
        <v>111</v>
      </c>
      <c r="C6" s="141">
        <f>IFERROR(INDEX('Input Data'!F:F,MATCH(B6,'Input Data'!$C:$C,0)),"")</f>
        <v>1047</v>
      </c>
      <c r="D6" s="38" t="str">
        <f>IFERROR(INDEX('Input Data'!D:D,MATCH(B6,'Input Data'!$C:$C,0)),"")</f>
        <v>Fitness First Australia Pty Limited</v>
      </c>
      <c r="E6" s="142">
        <f>IFERROR(INDEX('Input Data'!J:J,MATCH(B6,'Input Data'!$C:$C,0)),"")</f>
        <v>855.7</v>
      </c>
      <c r="F6" s="143">
        <v>870</v>
      </c>
      <c r="G6" s="142">
        <f t="shared" si="0"/>
        <v>-14.299999999999955</v>
      </c>
      <c r="H6" s="144">
        <f t="shared" si="1"/>
        <v>-1.6436781609195351E-2</v>
      </c>
      <c r="I6" s="145" t="s">
        <v>391</v>
      </c>
      <c r="J6" s="145" t="s">
        <v>392</v>
      </c>
      <c r="K6" s="145" t="s">
        <v>393</v>
      </c>
      <c r="L6" s="145" t="s">
        <v>394</v>
      </c>
      <c r="M6" s="145" t="s">
        <v>395</v>
      </c>
    </row>
    <row r="7" spans="1:13" ht="18" customHeight="1" x14ac:dyDescent="0.35">
      <c r="A7" s="18"/>
      <c r="B7" s="146" t="s">
        <v>116</v>
      </c>
      <c r="C7" s="147">
        <f>IFERROR(INDEX('Input Data'!F:F,MATCH(B7,'Input Data'!$C:$C,0)),"")</f>
        <v>437.1</v>
      </c>
      <c r="D7" s="136" t="str">
        <f>IFERROR(INDEX('Input Data'!D:D,MATCH(B7,'Input Data'!$C:$C,0)),"")</f>
        <v>Fitness First Australia Pty Limited</v>
      </c>
      <c r="E7" s="148">
        <f>IFERROR(INDEX('Input Data'!J:J,MATCH(B7,'Input Data'!$C:$C,0)),"")</f>
        <v>855.7</v>
      </c>
      <c r="F7" s="149">
        <v>870</v>
      </c>
      <c r="G7" s="148">
        <f t="shared" si="0"/>
        <v>-14.299999999999955</v>
      </c>
      <c r="H7" s="150">
        <f t="shared" si="1"/>
        <v>-1.6436781609195351E-2</v>
      </c>
      <c r="I7" s="151" t="s">
        <v>391</v>
      </c>
      <c r="J7" s="151" t="s">
        <v>392</v>
      </c>
      <c r="K7" s="151" t="s">
        <v>393</v>
      </c>
      <c r="L7" s="151" t="s">
        <v>394</v>
      </c>
      <c r="M7" s="151" t="s">
        <v>395</v>
      </c>
    </row>
    <row r="8" spans="1:13" ht="18" customHeight="1" x14ac:dyDescent="0.35">
      <c r="A8" s="18"/>
      <c r="B8" s="140" t="s">
        <v>121</v>
      </c>
      <c r="C8" s="141">
        <f>IFERROR(INDEX('Input Data'!F:F,MATCH(B8,'Input Data'!$C:$C,0)),"")</f>
        <v>229.8</v>
      </c>
      <c r="D8" s="38" t="str">
        <f>IFERROR(INDEX('Input Data'!D:D,MATCH(B8,'Input Data'!$C:$C,0)),"")</f>
        <v>Asterx Pty Ltd</v>
      </c>
      <c r="E8" s="142">
        <f>IFERROR(INDEX('Input Data'!J:J,MATCH(B8,'Input Data'!$C:$C,0)),"")</f>
        <v>985.53</v>
      </c>
      <c r="F8" s="143">
        <v>1005</v>
      </c>
      <c r="G8" s="142">
        <f t="shared" si="0"/>
        <v>-19.470000000000027</v>
      </c>
      <c r="H8" s="144">
        <f t="shared" si="1"/>
        <v>-1.9373134328358237E-2</v>
      </c>
      <c r="I8" s="145" t="s">
        <v>391</v>
      </c>
      <c r="J8" s="145" t="s">
        <v>392</v>
      </c>
      <c r="K8" s="145" t="s">
        <v>393</v>
      </c>
      <c r="L8" s="145" t="s">
        <v>394</v>
      </c>
      <c r="M8" s="145" t="s">
        <v>395</v>
      </c>
    </row>
    <row r="9" spans="1:13" ht="18" customHeight="1" x14ac:dyDescent="0.35">
      <c r="A9" s="18"/>
      <c r="B9" s="146" t="s">
        <v>130</v>
      </c>
      <c r="C9" s="147">
        <f>IFERROR(INDEX('Input Data'!F:F,MATCH(B9,'Input Data'!$C:$C,0)),"")</f>
        <v>413.5</v>
      </c>
      <c r="D9" s="136" t="str">
        <f>IFERROR(INDEX('Input Data'!D:D,MATCH(B9,'Input Data'!$C:$C,0)),"")</f>
        <v>Auctionsplus Pty Ltd</v>
      </c>
      <c r="E9" s="148">
        <f>IFERROR(INDEX('Input Data'!J:J,MATCH(B9,'Input Data'!$C:$C,0)),"")</f>
        <v>1005.89</v>
      </c>
      <c r="F9" s="149">
        <v>1000</v>
      </c>
      <c r="G9" s="148">
        <f t="shared" si="0"/>
        <v>5.8899999999999864</v>
      </c>
      <c r="H9" s="150">
        <f t="shared" si="1"/>
        <v>5.8899999999999864E-3</v>
      </c>
      <c r="I9" s="151" t="s">
        <v>391</v>
      </c>
      <c r="J9" s="151" t="s">
        <v>392</v>
      </c>
      <c r="K9" s="151" t="s">
        <v>393</v>
      </c>
      <c r="L9" s="151" t="s">
        <v>394</v>
      </c>
      <c r="M9" s="151" t="s">
        <v>395</v>
      </c>
    </row>
    <row r="10" spans="1:13" ht="18" customHeight="1" x14ac:dyDescent="0.35">
      <c r="A10" s="18"/>
      <c r="B10" s="140" t="s">
        <v>207</v>
      </c>
      <c r="C10" s="141">
        <f>IFERROR(INDEX('Input Data'!F:F,MATCH(B10,'Input Data'!$C:$C,0)),"")</f>
        <v>186.4</v>
      </c>
      <c r="D10" s="38" t="str">
        <f>IFERROR(INDEX('Input Data'!D:D,MATCH(B10,'Input Data'!$C:$C,0)),"")</f>
        <v>Caldas Constructions Pty Ltd</v>
      </c>
      <c r="E10" s="142">
        <f>IFERROR(INDEX('Input Data'!J:J,MATCH(B10,'Input Data'!$C:$C,0)),"")</f>
        <v>920</v>
      </c>
      <c r="F10" s="143">
        <v>1010</v>
      </c>
      <c r="G10" s="142">
        <f t="shared" si="0"/>
        <v>-90</v>
      </c>
      <c r="H10" s="144">
        <f t="shared" si="1"/>
        <v>-8.9108910891089105E-2</v>
      </c>
      <c r="I10" s="145" t="s">
        <v>391</v>
      </c>
      <c r="J10" s="145" t="s">
        <v>392</v>
      </c>
      <c r="K10" s="145" t="s">
        <v>393</v>
      </c>
      <c r="L10" s="145" t="s">
        <v>394</v>
      </c>
      <c r="M10" s="145" t="s">
        <v>395</v>
      </c>
    </row>
    <row r="11" spans="1:13" ht="18" customHeight="1" x14ac:dyDescent="0.35">
      <c r="A11" s="18"/>
      <c r="B11" s="146" t="s">
        <v>137</v>
      </c>
      <c r="C11" s="147">
        <f>IFERROR(INDEX('Input Data'!F:F,MATCH(B11,'Input Data'!$C:$C,0)),"")</f>
        <v>451.7</v>
      </c>
      <c r="D11" s="136" t="str">
        <f>IFERROR(INDEX('Input Data'!D:D,MATCH(B11,'Input Data'!$C:$C,0)),"")</f>
        <v>Sungrow Australia Group</v>
      </c>
      <c r="E11" s="148">
        <f>IFERROR(INDEX('Input Data'!J:J,MATCH(B11,'Input Data'!$C:$C,0)),"")</f>
        <v>954.5</v>
      </c>
      <c r="F11" s="149">
        <v>1005</v>
      </c>
      <c r="G11" s="148">
        <f t="shared" si="0"/>
        <v>-50.5</v>
      </c>
      <c r="H11" s="150">
        <f t="shared" si="1"/>
        <v>-5.0248756218905476E-2</v>
      </c>
      <c r="I11" s="151" t="s">
        <v>391</v>
      </c>
      <c r="J11" s="151" t="s">
        <v>392</v>
      </c>
      <c r="K11" s="151" t="s">
        <v>393</v>
      </c>
      <c r="L11" s="151" t="s">
        <v>394</v>
      </c>
      <c r="M11" s="151" t="s">
        <v>395</v>
      </c>
    </row>
    <row r="12" spans="1:13" ht="18" customHeight="1" x14ac:dyDescent="0.35">
      <c r="A12" s="18"/>
      <c r="B12" s="140" t="s">
        <v>145</v>
      </c>
      <c r="C12" s="141">
        <f>IFERROR(INDEX('Input Data'!F:F,MATCH(B12,'Input Data'!$C:$C,0)),"")</f>
        <v>189.4</v>
      </c>
      <c r="D12" s="38" t="str">
        <f>IFERROR(INDEX('Input Data'!D:D,MATCH(B12,'Input Data'!$C:$C,0)),"")</f>
        <v>Keeping Company Pty Ltd</v>
      </c>
      <c r="E12" s="142">
        <f>IFERROR(INDEX('Input Data'!J:J,MATCH(B12,'Input Data'!$C:$C,0)),"")</f>
        <v>1055.72</v>
      </c>
      <c r="F12" s="143">
        <v>1010</v>
      </c>
      <c r="G12" s="142">
        <f t="shared" si="0"/>
        <v>45.720000000000027</v>
      </c>
      <c r="H12" s="144">
        <f t="shared" si="1"/>
        <v>4.5267326732673294E-2</v>
      </c>
      <c r="I12" s="145" t="s">
        <v>391</v>
      </c>
      <c r="J12" s="145" t="s">
        <v>392</v>
      </c>
      <c r="K12" s="145" t="s">
        <v>393</v>
      </c>
      <c r="L12" s="145" t="s">
        <v>394</v>
      </c>
      <c r="M12" s="145" t="s">
        <v>395</v>
      </c>
    </row>
    <row r="13" spans="1:13" ht="18" customHeight="1" x14ac:dyDescent="0.35">
      <c r="A13" s="18"/>
      <c r="B13" s="146" t="s">
        <v>151</v>
      </c>
      <c r="C13" s="147">
        <f>IFERROR(INDEX('Input Data'!F:F,MATCH(B13,'Input Data'!$C:$C,0)),"")</f>
        <v>267.89999999999998</v>
      </c>
      <c r="D13" s="136" t="str">
        <f>IFERROR(INDEX('Input Data'!D:D,MATCH(B13,'Input Data'!$C:$C,0)),"")</f>
        <v>Elekta Pty Limited</v>
      </c>
      <c r="E13" s="148">
        <f>IFERROR(INDEX('Input Data'!J:J,MATCH(B13,'Input Data'!$C:$C,0)),"")</f>
        <v>954.5</v>
      </c>
      <c r="F13" s="149">
        <v>1005</v>
      </c>
      <c r="G13" s="148">
        <f t="shared" si="0"/>
        <v>-50.5</v>
      </c>
      <c r="H13" s="150">
        <f t="shared" si="1"/>
        <v>-5.0248756218905476E-2</v>
      </c>
      <c r="I13" s="151" t="s">
        <v>391</v>
      </c>
      <c r="J13" s="151" t="s">
        <v>392</v>
      </c>
      <c r="K13" s="151" t="s">
        <v>393</v>
      </c>
      <c r="L13" s="151" t="s">
        <v>394</v>
      </c>
      <c r="M13" s="151" t="s">
        <v>395</v>
      </c>
    </row>
    <row r="14" spans="1:13" ht="18" customHeight="1" x14ac:dyDescent="0.35">
      <c r="A14" s="18"/>
      <c r="B14" s="140" t="s">
        <v>159</v>
      </c>
      <c r="C14" s="141">
        <f>IFERROR(INDEX('Input Data'!F:F,MATCH(B14,'Input Data'!$C:$C,0)),"")</f>
        <v>484.1</v>
      </c>
      <c r="D14" s="38" t="str">
        <f>IFERROR(INDEX('Input Data'!D:D,MATCH(B14,'Input Data'!$C:$C,0)),"")</f>
        <v>Sungrow Australia Group</v>
      </c>
      <c r="E14" s="142">
        <f>IFERROR(INDEX('Input Data'!J:J,MATCH(B14,'Input Data'!$C:$C,0)),"")</f>
        <v>1911.44</v>
      </c>
      <c r="F14" s="143">
        <v>1015</v>
      </c>
      <c r="G14" s="142">
        <f t="shared" si="0"/>
        <v>896.44</v>
      </c>
      <c r="H14" s="144">
        <f t="shared" si="1"/>
        <v>0.88319211822660104</v>
      </c>
      <c r="I14" s="145" t="s">
        <v>391</v>
      </c>
      <c r="J14" s="145" t="s">
        <v>392</v>
      </c>
      <c r="K14" s="145" t="s">
        <v>393</v>
      </c>
      <c r="L14" s="145" t="s">
        <v>394</v>
      </c>
      <c r="M14" s="145" t="s">
        <v>395</v>
      </c>
    </row>
    <row r="15" spans="1:13" ht="18" customHeight="1" x14ac:dyDescent="0.35">
      <c r="A15" s="18"/>
      <c r="B15" s="146" t="s">
        <v>164</v>
      </c>
      <c r="C15" s="147">
        <f>IFERROR(INDEX('Input Data'!F:F,MATCH(B15,'Input Data'!$C:$C,0)),"")</f>
        <v>365.5</v>
      </c>
      <c r="D15" s="136" t="str">
        <f>IFERROR(INDEX('Input Data'!D:D,MATCH(B15,'Input Data'!$C:$C,0)),"")</f>
        <v>Sungrow Australia Group</v>
      </c>
      <c r="E15" s="148">
        <f>IFERROR(INDEX('Input Data'!J:J,MATCH(B15,'Input Data'!$C:$C,0)),"")</f>
        <v>0</v>
      </c>
      <c r="F15" s="149">
        <v>1015</v>
      </c>
      <c r="G15" s="148">
        <f t="shared" si="0"/>
        <v>-1015</v>
      </c>
      <c r="H15" s="150">
        <f t="shared" si="1"/>
        <v>-1</v>
      </c>
      <c r="I15" s="151" t="s">
        <v>391</v>
      </c>
      <c r="J15" s="151" t="s">
        <v>392</v>
      </c>
      <c r="K15" s="151" t="s">
        <v>393</v>
      </c>
      <c r="L15" s="151" t="s">
        <v>394</v>
      </c>
      <c r="M15" s="151" t="s">
        <v>395</v>
      </c>
    </row>
    <row r="16" spans="1:13" ht="18" customHeight="1" x14ac:dyDescent="0.35">
      <c r="A16" s="18"/>
      <c r="B16" s="140" t="s">
        <v>171</v>
      </c>
      <c r="C16" s="141">
        <f>IFERROR(INDEX('Input Data'!F:F,MATCH(B16,'Input Data'!$C:$C,0)),"")</f>
        <v>686.7</v>
      </c>
      <c r="D16" s="38" t="str">
        <f>IFERROR(INDEX('Input Data'!D:D,MATCH(B16,'Input Data'!$C:$C,0)),"")</f>
        <v>Vanderlande Industries Australia Pty Ltd</v>
      </c>
      <c r="E16" s="142">
        <f>IFERROR(INDEX('Input Data'!J:J,MATCH(B16,'Input Data'!$C:$C,0)),"")</f>
        <v>1029.25</v>
      </c>
      <c r="F16" s="143">
        <v>1015</v>
      </c>
      <c r="G16" s="142">
        <f t="shared" si="0"/>
        <v>14.25</v>
      </c>
      <c r="H16" s="144">
        <f t="shared" si="1"/>
        <v>1.4039408866995074E-2</v>
      </c>
      <c r="I16" s="145" t="s">
        <v>391</v>
      </c>
      <c r="J16" s="145" t="s">
        <v>392</v>
      </c>
      <c r="K16" s="145" t="s">
        <v>393</v>
      </c>
      <c r="L16" s="145" t="s">
        <v>394</v>
      </c>
      <c r="M16" s="145" t="s">
        <v>395</v>
      </c>
    </row>
    <row r="17" spans="1:13" ht="18" customHeight="1" x14ac:dyDescent="0.35">
      <c r="A17" s="18"/>
      <c r="B17" s="146" t="s">
        <v>177</v>
      </c>
      <c r="C17" s="147">
        <f>IFERROR(INDEX('Input Data'!F:F,MATCH(B17,'Input Data'!$C:$C,0)),"")</f>
        <v>116.3</v>
      </c>
      <c r="D17" s="136" t="str">
        <f>IFERROR(INDEX('Input Data'!D:D,MATCH(B17,'Input Data'!$C:$C,0)),"")</f>
        <v>Can Too Foundation Limited</v>
      </c>
      <c r="E17" s="148">
        <f>IFERROR(INDEX('Input Data'!J:J,MATCH(B17,'Input Data'!$C:$C,0)),"")</f>
        <v>1027.1199999999999</v>
      </c>
      <c r="F17" s="149">
        <v>1020</v>
      </c>
      <c r="G17" s="148">
        <f t="shared" si="0"/>
        <v>7.1199999999998909</v>
      </c>
      <c r="H17" s="150">
        <f t="shared" si="1"/>
        <v>6.9803921568626385E-3</v>
      </c>
      <c r="I17" s="151" t="s">
        <v>391</v>
      </c>
      <c r="J17" s="151" t="s">
        <v>392</v>
      </c>
      <c r="K17" s="151" t="s">
        <v>393</v>
      </c>
      <c r="L17" s="151" t="s">
        <v>394</v>
      </c>
      <c r="M17" s="151" t="s">
        <v>395</v>
      </c>
    </row>
    <row r="18" spans="1:13" ht="18" customHeight="1" x14ac:dyDescent="0.35">
      <c r="A18" s="18"/>
      <c r="B18" s="140" t="s">
        <v>184</v>
      </c>
      <c r="C18" s="141">
        <f>IFERROR(INDEX('Input Data'!F:F,MATCH(B18,'Input Data'!$C:$C,0)),"")</f>
        <v>453.3</v>
      </c>
      <c r="D18" s="38" t="str">
        <f>IFERROR(INDEX('Input Data'!D:D,MATCH(B18,'Input Data'!$C:$C,0)),"")</f>
        <v>Pitt &amp; Sherry (Operations) Pty Ltd</v>
      </c>
      <c r="E18" s="142">
        <f>IFERROR(INDEX('Input Data'!J:J,MATCH(B18,'Input Data'!$C:$C,0)),"")</f>
        <v>1065.96</v>
      </c>
      <c r="F18" s="143">
        <v>1030</v>
      </c>
      <c r="G18" s="142">
        <f t="shared" si="0"/>
        <v>35.960000000000036</v>
      </c>
      <c r="H18" s="144">
        <f t="shared" si="1"/>
        <v>3.4912621359223336E-2</v>
      </c>
      <c r="I18" s="145" t="s">
        <v>391</v>
      </c>
      <c r="J18" s="145" t="s">
        <v>392</v>
      </c>
      <c r="K18" s="145" t="s">
        <v>393</v>
      </c>
      <c r="L18" s="145" t="s">
        <v>394</v>
      </c>
      <c r="M18" s="145" t="s">
        <v>395</v>
      </c>
    </row>
    <row r="19" spans="1:13" ht="18" customHeight="1" x14ac:dyDescent="0.35">
      <c r="A19" s="18"/>
      <c r="B19" s="146" t="s">
        <v>196</v>
      </c>
      <c r="C19" s="147">
        <f>IFERROR(INDEX('Input Data'!F:F,MATCH(B19,'Input Data'!$C:$C,0)),"")</f>
        <v>344.5</v>
      </c>
      <c r="D19" s="136" t="str">
        <f>IFERROR(INDEX('Input Data'!D:D,MATCH(B19,'Input Data'!$C:$C,0)),"")</f>
        <v>Smile Partners Australia</v>
      </c>
      <c r="E19" s="148">
        <f>IFERROR(INDEX('Input Data'!J:J,MATCH(B19,'Input Data'!$C:$C,0)),"")</f>
        <v>990.29</v>
      </c>
      <c r="F19" s="149">
        <v>1030</v>
      </c>
      <c r="G19" s="148">
        <f t="shared" si="0"/>
        <v>-39.710000000000036</v>
      </c>
      <c r="H19" s="150">
        <f t="shared" si="1"/>
        <v>-3.8553398058252461E-2</v>
      </c>
      <c r="I19" s="151" t="s">
        <v>391</v>
      </c>
      <c r="J19" s="151" t="s">
        <v>392</v>
      </c>
      <c r="K19" s="151" t="s">
        <v>393</v>
      </c>
      <c r="L19" s="151" t="s">
        <v>394</v>
      </c>
      <c r="M19" s="151" t="s">
        <v>395</v>
      </c>
    </row>
    <row r="20" spans="1:13" ht="18" customHeight="1" x14ac:dyDescent="0.35">
      <c r="A20" s="18"/>
      <c r="B20" s="152">
        <v>10.01</v>
      </c>
      <c r="C20" s="153" t="str">
        <f>IFERROR(INDEX('Input Data'!F:F,MATCH(B20,'Input Data'!$C:$C,0)),"")</f>
        <v/>
      </c>
      <c r="D20" s="50" t="str">
        <f>IFERROR(INDEX('Input Data'!D:D,MATCH(B20,'Input Data'!$C:$C,0)),"")</f>
        <v/>
      </c>
      <c r="E20" s="154" t="str">
        <f>IFERROR(INDEX('Input Data'!J:J,MATCH(B20,'Input Data'!$C:$C,0)),"")</f>
        <v/>
      </c>
      <c r="F20" s="143">
        <v>1040</v>
      </c>
      <c r="G20" s="154" t="str">
        <f t="shared" si="0"/>
        <v/>
      </c>
      <c r="H20" s="155" t="str">
        <f t="shared" si="1"/>
        <v/>
      </c>
      <c r="I20" s="145" t="s">
        <v>391</v>
      </c>
      <c r="J20" s="145" t="s">
        <v>392</v>
      </c>
      <c r="K20" s="145" t="s">
        <v>393</v>
      </c>
      <c r="L20" s="145" t="s">
        <v>394</v>
      </c>
      <c r="M20" s="145" t="s">
        <v>395</v>
      </c>
    </row>
    <row r="21" spans="1:13" ht="18" customHeight="1" x14ac:dyDescent="0.35">
      <c r="A21" s="18"/>
      <c r="B21" s="146">
        <v>10.02</v>
      </c>
      <c r="C21" s="147" t="str">
        <f>IFERROR(INDEX('Input Data'!F:F,MATCH(B21,'Input Data'!$C:$C,0)),"")</f>
        <v/>
      </c>
      <c r="D21" s="136" t="str">
        <f>IFERROR(INDEX('Input Data'!D:D,MATCH(B21,'Input Data'!$C:$C,0)),"")</f>
        <v/>
      </c>
      <c r="E21" s="148" t="str">
        <f>IFERROR(INDEX('Input Data'!J:J,MATCH(B21,'Input Data'!$C:$C,0)),"")</f>
        <v/>
      </c>
      <c r="F21" s="149">
        <v>1040</v>
      </c>
      <c r="G21" s="148" t="str">
        <f t="shared" si="0"/>
        <v/>
      </c>
      <c r="H21" s="150" t="str">
        <f t="shared" si="1"/>
        <v/>
      </c>
      <c r="I21" s="151" t="s">
        <v>391</v>
      </c>
      <c r="J21" s="151" t="s">
        <v>392</v>
      </c>
      <c r="K21" s="151" t="s">
        <v>393</v>
      </c>
      <c r="L21" s="151" t="s">
        <v>394</v>
      </c>
      <c r="M21" s="151" t="s">
        <v>395</v>
      </c>
    </row>
    <row r="22" spans="1:13" ht="18" customHeight="1" x14ac:dyDescent="0.35">
      <c r="A22" s="18"/>
      <c r="B22" s="152">
        <v>11.01</v>
      </c>
      <c r="C22" s="153" t="str">
        <f>IFERROR(INDEX('Input Data'!F:F,MATCH(B22,'Input Data'!$C:$C,0)),"")</f>
        <v/>
      </c>
      <c r="D22" s="50" t="str">
        <f>IFERROR(INDEX('Input Data'!D:D,MATCH(B22,'Input Data'!$C:$C,0)),"")</f>
        <v/>
      </c>
      <c r="E22" s="154" t="str">
        <f>IFERROR(INDEX('Input Data'!J:J,MATCH(B22,'Input Data'!$C:$C,0)),"")</f>
        <v/>
      </c>
      <c r="F22" s="143">
        <v>1045</v>
      </c>
      <c r="G22" s="154" t="str">
        <f t="shared" si="0"/>
        <v/>
      </c>
      <c r="H22" s="155" t="str">
        <f t="shared" si="1"/>
        <v/>
      </c>
      <c r="I22" s="145" t="s">
        <v>391</v>
      </c>
      <c r="J22" s="145" t="s">
        <v>392</v>
      </c>
      <c r="K22" s="145" t="s">
        <v>393</v>
      </c>
      <c r="L22" s="145" t="s">
        <v>394</v>
      </c>
      <c r="M22" s="145" t="s">
        <v>395</v>
      </c>
    </row>
    <row r="23" spans="1:13" ht="18" customHeight="1" x14ac:dyDescent="0.35">
      <c r="A23" s="18"/>
      <c r="B23" s="146">
        <v>11.02</v>
      </c>
      <c r="C23" s="147">
        <v>536</v>
      </c>
      <c r="D23" s="136" t="str">
        <f>IFERROR(INDEX('Input Data'!D:D,MATCH(B23,'Input Data'!$C:$C,0)),"")</f>
        <v/>
      </c>
      <c r="E23" s="148" t="str">
        <f>IFERROR(INDEX('Input Data'!J:J,MATCH(B23,'Input Data'!$C:$C,0)),"")</f>
        <v/>
      </c>
      <c r="F23" s="149">
        <v>1040</v>
      </c>
      <c r="G23" s="148" t="str">
        <f t="shared" si="0"/>
        <v/>
      </c>
      <c r="H23" s="150" t="str">
        <f t="shared" si="1"/>
        <v/>
      </c>
      <c r="I23" s="151" t="s">
        <v>391</v>
      </c>
      <c r="J23" s="151" t="s">
        <v>392</v>
      </c>
      <c r="K23" s="151" t="s">
        <v>393</v>
      </c>
      <c r="L23" s="151" t="s">
        <v>394</v>
      </c>
      <c r="M23" s="151" t="s">
        <v>395</v>
      </c>
    </row>
    <row r="24" spans="1:13" ht="18" customHeight="1" x14ac:dyDescent="0.35">
      <c r="A24" s="18"/>
      <c r="B24" s="140" t="s">
        <v>191</v>
      </c>
      <c r="C24" s="141">
        <f>IFERROR(INDEX('Input Data'!F:F,MATCH(B24,'Input Data'!$C:$C,0)),"")</f>
        <v>251</v>
      </c>
      <c r="D24" s="38" t="str">
        <f>IFERROR(INDEX('Input Data'!D:D,MATCH(B24,'Input Data'!$C:$C,0)),"")</f>
        <v>Hulsbosch Design Pty Ltd</v>
      </c>
      <c r="E24" s="142">
        <f>IFERROR(INDEX('Input Data'!J:J,MATCH(B24,'Input Data'!$C:$C,0)),"")</f>
        <v>985</v>
      </c>
      <c r="F24" s="143">
        <v>1045</v>
      </c>
      <c r="G24" s="142">
        <f t="shared" si="0"/>
        <v>-60</v>
      </c>
      <c r="H24" s="144">
        <f t="shared" si="1"/>
        <v>-5.7416267942583733E-2</v>
      </c>
      <c r="I24" s="145">
        <v>0.24</v>
      </c>
      <c r="J24" s="145">
        <v>0.27</v>
      </c>
      <c r="K24" s="145">
        <v>0.3</v>
      </c>
      <c r="L24" s="145">
        <v>0.22</v>
      </c>
      <c r="M24" s="145">
        <v>0.27</v>
      </c>
    </row>
    <row r="25" spans="1:13" ht="18" customHeight="1" x14ac:dyDescent="0.35">
      <c r="A25" s="18"/>
      <c r="B25" s="146" t="s">
        <v>201</v>
      </c>
      <c r="C25" s="147">
        <f>IFERROR(INDEX('Input Data'!F:F,MATCH(B25,'Input Data'!$C:$C,0)),"")</f>
        <v>536</v>
      </c>
      <c r="D25" s="136" t="str">
        <f>IFERROR(INDEX('Input Data'!D:D,MATCH(B25,'Input Data'!$C:$C,0)),"")</f>
        <v>AEI Insurance Group Pty Ltd</v>
      </c>
      <c r="E25" s="148">
        <f>IFERROR(INDEX('Input Data'!J:J,MATCH(B25,'Input Data'!$C:$C,0)),"")</f>
        <v>988</v>
      </c>
      <c r="F25" s="149">
        <v>1050</v>
      </c>
      <c r="G25" s="148">
        <f t="shared" si="0"/>
        <v>-62</v>
      </c>
      <c r="H25" s="150">
        <f t="shared" si="1"/>
        <v>-5.904761904761905E-2</v>
      </c>
      <c r="I25" s="151">
        <v>0.24</v>
      </c>
      <c r="J25" s="151">
        <v>0.27</v>
      </c>
      <c r="K25" s="151">
        <v>0.3</v>
      </c>
      <c r="L25" s="151">
        <v>0.22</v>
      </c>
      <c r="M25" s="151">
        <v>0.27</v>
      </c>
    </row>
    <row r="26" spans="1:13" ht="19.5" customHeight="1" x14ac:dyDescent="0.35">
      <c r="A26" s="18"/>
      <c r="B26" s="133" t="s">
        <v>396</v>
      </c>
      <c r="C26" s="86"/>
      <c r="D26" s="86"/>
      <c r="E26" s="156">
        <f>IFERROR(SUMPRODUCT(C4:C25,E4:E25)/SUM(C4:C25),"")</f>
        <v>905.69309605792841</v>
      </c>
      <c r="F26" s="157">
        <f>IFERROR(SUMPRODUCT(C4:C25,F4:F25)/SUM(C4:C25),"")</f>
        <v>976.65791072739694</v>
      </c>
      <c r="G26" s="86"/>
      <c r="H26" s="86"/>
      <c r="I26" s="86"/>
      <c r="J26" s="86"/>
      <c r="K26" s="86"/>
      <c r="L26" s="86"/>
      <c r="M26" s="86"/>
    </row>
    <row r="27" spans="1:13" ht="9.75" customHeight="1" x14ac:dyDescent="0.3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ht="18" customHeight="1" x14ac:dyDescent="0.35">
      <c r="A28" s="18"/>
      <c r="B28" s="291" t="s">
        <v>397</v>
      </c>
      <c r="C28" s="291"/>
      <c r="D28" s="291"/>
      <c r="E28" s="291"/>
      <c r="F28" s="291"/>
      <c r="G28" s="291"/>
      <c r="H28" s="291"/>
      <c r="I28" s="291"/>
      <c r="J28" s="291"/>
      <c r="K28" s="291"/>
      <c r="L28" s="291"/>
      <c r="M28" s="18"/>
    </row>
  </sheetData>
  <mergeCells count="3">
    <mergeCell ref="A1:M1"/>
    <mergeCell ref="A2:M2"/>
    <mergeCell ref="B28:L28"/>
  </mergeCells>
  <pageMargins left="0.75" right="0.75" top="1" bottom="1" header="0.5" footer="0.5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2"/>
  <sheetViews>
    <sheetView showGridLines="0" topLeftCell="A2" zoomScaleNormal="100" workbookViewId="0">
      <selection activeCell="C30" sqref="C30"/>
    </sheetView>
  </sheetViews>
  <sheetFormatPr defaultColWidth="8.6328125" defaultRowHeight="14.5" x14ac:dyDescent="0.35"/>
  <cols>
    <col min="1" max="1" width="1.453125" customWidth="1"/>
    <col min="2" max="2" width="8" customWidth="1"/>
    <col min="3" max="3" width="30" customWidth="1"/>
    <col min="4" max="4" width="10" customWidth="1"/>
    <col min="5" max="6" width="12" customWidth="1"/>
    <col min="7" max="7" width="9" customWidth="1"/>
    <col min="8" max="8" width="12" customWidth="1"/>
    <col min="9" max="9" width="11" customWidth="1"/>
    <col min="10" max="10" width="14" customWidth="1"/>
    <col min="11" max="11" width="10" customWidth="1"/>
    <col min="12" max="12" width="9" customWidth="1"/>
    <col min="13" max="13" width="14" customWidth="1"/>
    <col min="14" max="14" width="12" customWidth="1"/>
  </cols>
  <sheetData>
    <row r="1" spans="1:14" ht="27.75" customHeight="1" x14ac:dyDescent="0.35">
      <c r="A1" s="303" t="s">
        <v>398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</row>
    <row r="2" spans="1:14" ht="24" customHeight="1" x14ac:dyDescent="0.35">
      <c r="A2" s="18"/>
      <c r="B2" s="23" t="s">
        <v>61</v>
      </c>
      <c r="C2" s="23" t="s">
        <v>399</v>
      </c>
      <c r="D2" s="23" t="s">
        <v>65</v>
      </c>
      <c r="E2" s="23" t="s">
        <v>66</v>
      </c>
      <c r="F2" s="23" t="s">
        <v>67</v>
      </c>
      <c r="G2" s="23" t="s">
        <v>68</v>
      </c>
      <c r="H2" s="23" t="s">
        <v>400</v>
      </c>
      <c r="I2" s="23" t="s">
        <v>69</v>
      </c>
      <c r="J2" s="23" t="s">
        <v>318</v>
      </c>
      <c r="K2" s="23" t="s">
        <v>258</v>
      </c>
      <c r="L2" s="23" t="s">
        <v>401</v>
      </c>
      <c r="M2" s="23" t="s">
        <v>78</v>
      </c>
      <c r="N2" s="23" t="s">
        <v>84</v>
      </c>
    </row>
    <row r="3" spans="1:14" ht="18" customHeight="1" x14ac:dyDescent="0.35">
      <c r="A3" s="18"/>
      <c r="B3" s="259" t="s">
        <v>402</v>
      </c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</row>
    <row r="4" spans="1:14" ht="15.75" customHeight="1" x14ac:dyDescent="0.35">
      <c r="A4" s="18"/>
      <c r="B4" s="58" t="str">
        <f>'Input Data'!B10</f>
        <v>L06</v>
      </c>
      <c r="C4" s="59" t="str">
        <f>IFERROR('Input Data'!D10&amp;" ("&amp;'Input Data'!C10&amp;")","—")</f>
        <v>Keeping Company Pty Ltd (6.03)</v>
      </c>
      <c r="D4" s="60">
        <f>'Input Data'!F10</f>
        <v>189.4</v>
      </c>
      <c r="E4" s="24">
        <f>IFERROR('Input Data'!G10,"")</f>
        <v>44713</v>
      </c>
      <c r="F4" s="24">
        <f>IFERROR('Input Data'!H10,"")</f>
        <v>46538</v>
      </c>
      <c r="G4" s="61">
        <f>'Input Data'!I10</f>
        <v>5</v>
      </c>
      <c r="H4" s="64">
        <f ca="1">'Input Data'!V10</f>
        <v>0.62149212867898695</v>
      </c>
      <c r="I4" s="62">
        <f>'Input Data'!J10</f>
        <v>1055.72</v>
      </c>
      <c r="J4" s="62">
        <f>'Input Data'!Q10</f>
        <v>219057.03800000003</v>
      </c>
      <c r="K4" s="58">
        <f>IFERROR(YEAR('Input Data'!H10),"VACANT")</f>
        <v>2027</v>
      </c>
      <c r="L4" s="58">
        <f>'Input Data'!R10</f>
        <v>2</v>
      </c>
      <c r="M4" s="63" t="str">
        <f>'Input Data'!S10</f>
        <v>FIXED 3.5%</v>
      </c>
      <c r="N4" s="62">
        <f>'Input Data'!Y10</f>
        <v>65.720000000000027</v>
      </c>
    </row>
    <row r="5" spans="1:14" ht="15.75" customHeight="1" x14ac:dyDescent="0.35">
      <c r="A5" s="18"/>
      <c r="B5" s="58" t="str">
        <f>'Input Data'!B16</f>
        <v>L09</v>
      </c>
      <c r="C5" s="59" t="str">
        <f>IFERROR('Input Data'!D16&amp;" ("&amp;'Input Data'!C16&amp;")","—")</f>
        <v>Pitt &amp; Sherry (Operations) Pty Ltd (9.01)</v>
      </c>
      <c r="D5" s="60">
        <f>'Input Data'!F16</f>
        <v>453.3</v>
      </c>
      <c r="E5" s="24">
        <f>IFERROR('Input Data'!G16,"")</f>
        <v>44746</v>
      </c>
      <c r="F5" s="24">
        <f>IFERROR('Input Data'!H16,"")</f>
        <v>46571</v>
      </c>
      <c r="G5" s="61">
        <f>'Input Data'!I16</f>
        <v>5</v>
      </c>
      <c r="H5" s="64">
        <f ca="1">'Input Data'!V16</f>
        <v>0.7118412046543463</v>
      </c>
      <c r="I5" s="62">
        <f>'Input Data'!J16</f>
        <v>1065.96</v>
      </c>
      <c r="J5" s="62">
        <f>'Input Data'!Q16</f>
        <v>403784.50799999991</v>
      </c>
      <c r="K5" s="58">
        <f>IFERROR(YEAR('Input Data'!H16),"VACANT")</f>
        <v>2027</v>
      </c>
      <c r="L5" s="58">
        <f>'Input Data'!R16</f>
        <v>1</v>
      </c>
      <c r="M5" s="63" t="str">
        <f>'Input Data'!S16</f>
        <v>FIXED 3.75%</v>
      </c>
      <c r="N5" s="62">
        <f>'Input Data'!Y16</f>
        <v>25.960000000000036</v>
      </c>
    </row>
    <row r="6" spans="1:14" ht="18" customHeight="1" x14ac:dyDescent="0.35">
      <c r="A6" s="18"/>
      <c r="B6" s="9" t="s">
        <v>403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ht="15.75" customHeight="1" x14ac:dyDescent="0.35">
      <c r="A7" s="18"/>
      <c r="B7" s="106" t="str">
        <f>'Input Data'!B14</f>
        <v>L08</v>
      </c>
      <c r="C7" s="158" t="str">
        <f>IFERROR('Input Data'!D14&amp;" ("&amp;'Input Data'!C14&amp;")","—")</f>
        <v>Vanderlande Industries Australia Pty Ltd (8.01)</v>
      </c>
      <c r="D7" s="108">
        <f>'Input Data'!F14</f>
        <v>686.7</v>
      </c>
      <c r="E7" s="159">
        <f>IFERROR('Input Data'!G14,"")</f>
        <v>43282</v>
      </c>
      <c r="F7" s="159">
        <f>IFERROR('Input Data'!H14,"")</f>
        <v>46934</v>
      </c>
      <c r="G7" s="160">
        <f>'Input Data'!I14</f>
        <v>10</v>
      </c>
      <c r="H7" s="161">
        <f ca="1">'Input Data'!V14</f>
        <v>1.7056810403832992</v>
      </c>
      <c r="I7" s="109">
        <f>'Input Data'!J14</f>
        <v>1029.25</v>
      </c>
      <c r="J7" s="109">
        <f>'Input Data'!Q14</f>
        <v>577101.85500000021</v>
      </c>
      <c r="K7" s="106">
        <f>IFERROR(YEAR('Input Data'!H14),"VACANT")</f>
        <v>2028</v>
      </c>
      <c r="L7" s="106">
        <f>'Input Data'!R14</f>
        <v>0</v>
      </c>
      <c r="M7" s="107" t="str">
        <f>'Input Data'!S14</f>
        <v>FIXED 4%</v>
      </c>
      <c r="N7" s="109">
        <f>'Input Data'!Y14</f>
        <v>39.25</v>
      </c>
    </row>
    <row r="8" spans="1:14" ht="15.75" customHeight="1" x14ac:dyDescent="0.35">
      <c r="A8" s="18"/>
      <c r="B8" s="106" t="str">
        <f>'Input Data'!B3</f>
        <v>L03</v>
      </c>
      <c r="C8" s="158" t="str">
        <f>IFERROR('Input Data'!D3&amp;" ("&amp;'Input Data'!C3&amp;")","—")</f>
        <v>Sydney Smiletree Pty Ltd (3.01)</v>
      </c>
      <c r="D8" s="108">
        <f>'Input Data'!F3</f>
        <v>107.7</v>
      </c>
      <c r="E8" s="159">
        <f>IFERROR('Input Data'!G3,"")</f>
        <v>44013</v>
      </c>
      <c r="F8" s="159">
        <f>IFERROR('Input Data'!H3,"")</f>
        <v>47118</v>
      </c>
      <c r="G8" s="160">
        <f>'Input Data'!I3</f>
        <v>8.5</v>
      </c>
      <c r="H8" s="161">
        <f ca="1">'Input Data'!V3</f>
        <v>2.2094455852156059</v>
      </c>
      <c r="I8" s="109">
        <f>'Input Data'!J3</f>
        <v>1395.94</v>
      </c>
      <c r="J8" s="109">
        <f>'Input Data'!Q3</f>
        <v>171561.37800000003</v>
      </c>
      <c r="K8" s="106">
        <f>IFERROR(YEAR('Input Data'!H3),"VACANT")</f>
        <v>2028</v>
      </c>
      <c r="L8" s="106">
        <f>'Input Data'!R3</f>
        <v>1</v>
      </c>
      <c r="M8" s="107" t="str">
        <f>'Input Data'!S3</f>
        <v>FIXED 4%</v>
      </c>
      <c r="N8" s="109">
        <f>'Input Data'!Y3</f>
        <v>445.94000000000005</v>
      </c>
    </row>
    <row r="9" spans="1:14" ht="18" customHeight="1" x14ac:dyDescent="0.35">
      <c r="A9" s="18"/>
      <c r="B9" s="259" t="s">
        <v>404</v>
      </c>
      <c r="C9" s="259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</row>
    <row r="10" spans="1:14" ht="15.75" customHeight="1" x14ac:dyDescent="0.35">
      <c r="A10" s="18"/>
      <c r="B10" s="26" t="str">
        <f>'Input Data'!B8</f>
        <v>L05</v>
      </c>
      <c r="C10" s="38" t="str">
        <f>IFERROR('Input Data'!D8&amp;" ("&amp;'Input Data'!C8&amp;")","—")</f>
        <v>Auctionsplus Pty Ltd (5.04)</v>
      </c>
      <c r="D10" s="39">
        <f>'Input Data'!F8</f>
        <v>413.5</v>
      </c>
      <c r="E10" s="40">
        <f>IFERROR('Input Data'!G8,"")</f>
        <v>45352</v>
      </c>
      <c r="F10" s="40">
        <f>IFERROR('Input Data'!H8,"")</f>
        <v>47177</v>
      </c>
      <c r="G10" s="41">
        <f>'Input Data'!I8</f>
        <v>5</v>
      </c>
      <c r="H10" s="43">
        <f ca="1">'Input Data'!V8</f>
        <v>2.3709787816563996</v>
      </c>
      <c r="I10" s="42">
        <f>'Input Data'!J8</f>
        <v>1005.89</v>
      </c>
      <c r="J10" s="42">
        <f>'Input Data'!Q8</f>
        <v>366667.89499999996</v>
      </c>
      <c r="K10" s="26">
        <f>IFERROR(YEAR('Input Data'!H8),"VACANT")</f>
        <v>2029</v>
      </c>
      <c r="L10" s="26">
        <f>'Input Data'!R8</f>
        <v>1</v>
      </c>
      <c r="M10" s="27" t="str">
        <f>'Input Data'!S8</f>
        <v>FIXED 4%</v>
      </c>
      <c r="N10" s="42">
        <f>'Input Data'!Y8</f>
        <v>15.889999999999986</v>
      </c>
    </row>
    <row r="11" spans="1:14" ht="15.75" customHeight="1" x14ac:dyDescent="0.35">
      <c r="A11" s="18"/>
      <c r="B11" s="26" t="str">
        <f>'Input Data'!B7</f>
        <v>L05</v>
      </c>
      <c r="C11" s="38" t="str">
        <f>IFERROR('Input Data'!D7&amp;" ("&amp;'Input Data'!C7&amp;")","—")</f>
        <v>Asterx Pty Ltd (5.03)</v>
      </c>
      <c r="D11" s="39">
        <f>'Input Data'!F7</f>
        <v>229.8</v>
      </c>
      <c r="E11" s="40">
        <f>IFERROR('Input Data'!G7,"")</f>
        <v>45474</v>
      </c>
      <c r="F11" s="40">
        <f>IFERROR('Input Data'!H7,"")</f>
        <v>47299</v>
      </c>
      <c r="G11" s="41">
        <f>'Input Data'!I7</f>
        <v>5</v>
      </c>
      <c r="H11" s="43">
        <f ca="1">'Input Data'!V7</f>
        <v>2.7049965776865159</v>
      </c>
      <c r="I11" s="42">
        <f>'Input Data'!J7</f>
        <v>985.53</v>
      </c>
      <c r="J11" s="42">
        <f>'Input Data'!Q7</f>
        <v>205033.43400000001</v>
      </c>
      <c r="K11" s="26">
        <f>IFERROR(YEAR('Input Data'!H7),"VACANT")</f>
        <v>2029</v>
      </c>
      <c r="L11" s="26">
        <f>'Input Data'!R7</f>
        <v>1</v>
      </c>
      <c r="M11" s="27" t="str">
        <f>'Input Data'!S7</f>
        <v>FIXED 3.5%</v>
      </c>
      <c r="N11" s="42">
        <f>'Input Data'!Y7</f>
        <v>35.529999999999973</v>
      </c>
    </row>
    <row r="12" spans="1:14" ht="15.75" customHeight="1" x14ac:dyDescent="0.35">
      <c r="A12" s="18"/>
      <c r="B12" s="26" t="str">
        <f>'Input Data'!B9</f>
        <v>L06</v>
      </c>
      <c r="C12" s="38" t="str">
        <f>IFERROR('Input Data'!D9&amp;" ("&amp;'Input Data'!C9&amp;")","—")</f>
        <v>Sungrow Australia Group (6.02)</v>
      </c>
      <c r="D12" s="39">
        <f>'Input Data'!F9</f>
        <v>451.7</v>
      </c>
      <c r="E12" s="40">
        <f>IFERROR('Input Data'!G9,"")</f>
        <v>45762</v>
      </c>
      <c r="F12" s="40">
        <f>IFERROR('Input Data'!H9,"")</f>
        <v>47375</v>
      </c>
      <c r="G12" s="41">
        <f>'Input Data'!I9</f>
        <v>4.4000000000000004</v>
      </c>
      <c r="H12" s="43">
        <f ca="1">'Input Data'!V9</f>
        <v>2.9130732375085557</v>
      </c>
      <c r="I12" s="42">
        <f>'Input Data'!J9</f>
        <v>954.5</v>
      </c>
      <c r="J12" s="42">
        <f>'Input Data'!Q9</f>
        <v>283260.34999999998</v>
      </c>
      <c r="K12" s="26">
        <f>IFERROR(YEAR('Input Data'!H9),"VACANT")</f>
        <v>2029</v>
      </c>
      <c r="L12" s="26">
        <f>'Input Data'!R9</f>
        <v>1</v>
      </c>
      <c r="M12" s="27" t="str">
        <f>'Input Data'!S9</f>
        <v>FIXED 3.75%</v>
      </c>
      <c r="N12" s="42">
        <f>'Input Data'!Y9</f>
        <v>-0.5</v>
      </c>
    </row>
    <row r="13" spans="1:14" ht="15.75" customHeight="1" x14ac:dyDescent="0.35">
      <c r="A13" s="18"/>
      <c r="B13" s="26" t="str">
        <f>'Input Data'!B12</f>
        <v>L07</v>
      </c>
      <c r="C13" s="38" t="str">
        <f>IFERROR('Input Data'!D12&amp;" ("&amp;'Input Data'!C12&amp;")","—")</f>
        <v>Sungrow Australia Group (7.01)</v>
      </c>
      <c r="D13" s="39">
        <f>'Input Data'!F12</f>
        <v>484.1</v>
      </c>
      <c r="E13" s="40">
        <f>IFERROR('Input Data'!G12,"")</f>
        <v>45184</v>
      </c>
      <c r="F13" s="40">
        <f>IFERROR('Input Data'!H12,"")</f>
        <v>47375</v>
      </c>
      <c r="G13" s="41">
        <f>'Input Data'!I12</f>
        <v>6</v>
      </c>
      <c r="H13" s="43">
        <f ca="1">'Input Data'!V12</f>
        <v>2.9130732375085557</v>
      </c>
      <c r="I13" s="42">
        <f>'Input Data'!J12</f>
        <v>1911.44</v>
      </c>
      <c r="J13" s="42">
        <f>'Input Data'!Q12</f>
        <v>693732.304</v>
      </c>
      <c r="K13" s="26">
        <f>IFERROR(YEAR('Input Data'!H12),"VACANT")</f>
        <v>2029</v>
      </c>
      <c r="L13" s="26">
        <f>'Input Data'!R12</f>
        <v>2</v>
      </c>
      <c r="M13" s="27" t="str">
        <f>'Input Data'!S12</f>
        <v>FIXED 3.75%</v>
      </c>
      <c r="N13" s="42">
        <f>'Input Data'!Y12</f>
        <v>891.44</v>
      </c>
    </row>
    <row r="14" spans="1:14" ht="15.75" customHeight="1" x14ac:dyDescent="0.35">
      <c r="A14" s="18"/>
      <c r="B14" s="26" t="str">
        <f>'Input Data'!B13</f>
        <v>L07</v>
      </c>
      <c r="C14" s="38" t="str">
        <f>IFERROR('Input Data'!D13&amp;" ("&amp;'Input Data'!C13&amp;")","—")</f>
        <v>Sungrow Australia Group (7.02)</v>
      </c>
      <c r="D14" s="39">
        <f>'Input Data'!F13</f>
        <v>365.5</v>
      </c>
      <c r="E14" s="40">
        <f>IFERROR('Input Data'!G13,"")</f>
        <v>45184</v>
      </c>
      <c r="F14" s="40">
        <f>IFERROR('Input Data'!H13,"")</f>
        <v>47375</v>
      </c>
      <c r="G14" s="41">
        <f>'Input Data'!I13</f>
        <v>6</v>
      </c>
      <c r="H14" s="43">
        <f ca="1">'Input Data'!V13</f>
        <v>2.9130732375085557</v>
      </c>
      <c r="I14" s="42">
        <f>'Input Data'!J13</f>
        <v>0</v>
      </c>
      <c r="J14" s="42">
        <f>'Input Data'!Q13</f>
        <v>37146.720000000001</v>
      </c>
      <c r="K14" s="26">
        <f>IFERROR(YEAR('Input Data'!H13),"VACANT")</f>
        <v>2029</v>
      </c>
      <c r="L14" s="26">
        <f>'Input Data'!R13</f>
        <v>0</v>
      </c>
      <c r="M14" s="27" t="str">
        <f>'Input Data'!S13</f>
        <v>FIXED 3.75%</v>
      </c>
      <c r="N14" s="42">
        <f>'Input Data'!Y13</f>
        <v>0</v>
      </c>
    </row>
    <row r="15" spans="1:14" ht="15.75" customHeight="1" x14ac:dyDescent="0.35">
      <c r="A15" s="18"/>
      <c r="B15" s="26" t="str">
        <f>'Input Data'!B17</f>
        <v>L12</v>
      </c>
      <c r="C15" s="38" t="str">
        <f>IFERROR('Input Data'!D17&amp;" ("&amp;'Input Data'!C17&amp;")","—")</f>
        <v>Hulsbosch Design Pty Ltd (12.01)</v>
      </c>
      <c r="D15" s="39">
        <f>'Input Data'!F17</f>
        <v>251</v>
      </c>
      <c r="E15" s="40">
        <f>IFERROR('Input Data'!G17,"")</f>
        <v>45962</v>
      </c>
      <c r="F15" s="40">
        <f>IFERROR('Input Data'!H17,"")</f>
        <v>47787</v>
      </c>
      <c r="G15" s="41">
        <f>'Input Data'!I17</f>
        <v>5</v>
      </c>
      <c r="H15" s="43">
        <f ca="1">'Input Data'!V17</f>
        <v>4.0410677618069819</v>
      </c>
      <c r="I15" s="42">
        <f>'Input Data'!J17</f>
        <v>985</v>
      </c>
      <c r="J15" s="42">
        <f>'Input Data'!Q17</f>
        <v>191159.6</v>
      </c>
      <c r="K15" s="26">
        <f>IFERROR(YEAR('Input Data'!H17),"VACANT")</f>
        <v>2030</v>
      </c>
      <c r="L15" s="26">
        <f>'Input Data'!R17</f>
        <v>0</v>
      </c>
      <c r="M15" s="27" t="str">
        <f>'Input Data'!S17</f>
        <v>FIXED 3.5%</v>
      </c>
      <c r="N15" s="42">
        <f>'Input Data'!Y17</f>
        <v>-55</v>
      </c>
    </row>
    <row r="16" spans="1:14" ht="18" customHeight="1" x14ac:dyDescent="0.35">
      <c r="A16" s="18"/>
      <c r="B16" s="9" t="s">
        <v>405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ht="15.75" customHeight="1" x14ac:dyDescent="0.35">
      <c r="A17" s="18"/>
      <c r="B17" s="26" t="str">
        <f>'Input Data'!B15</f>
        <v>L08</v>
      </c>
      <c r="C17" s="38" t="str">
        <f>IFERROR('Input Data'!D15&amp;" ("&amp;'Input Data'!C15&amp;")","—")</f>
        <v>Can Too Foundation Limited (8.03)</v>
      </c>
      <c r="D17" s="39">
        <f>'Input Data'!F15</f>
        <v>116.3</v>
      </c>
      <c r="E17" s="40">
        <f>IFERROR('Input Data'!G15,"")</f>
        <v>45809</v>
      </c>
      <c r="F17" s="40">
        <f>IFERROR('Input Data'!H15,"")</f>
        <v>47787</v>
      </c>
      <c r="G17" s="41">
        <f>'Input Data'!I15</f>
        <v>5.4</v>
      </c>
      <c r="H17" s="43">
        <f ca="1">'Input Data'!V15</f>
        <v>4.0410677618069819</v>
      </c>
      <c r="I17" s="42">
        <f>'Input Data'!J15</f>
        <v>1027.1199999999999</v>
      </c>
      <c r="J17" s="42">
        <f>'Input Data'!Q15</f>
        <v>76042.555999999982</v>
      </c>
      <c r="K17" s="26">
        <f>IFERROR(YEAR('Input Data'!H15),"VACANT")</f>
        <v>2030</v>
      </c>
      <c r="L17" s="26">
        <f>'Input Data'!R15</f>
        <v>0</v>
      </c>
      <c r="M17" s="27" t="str">
        <f>'Input Data'!S15</f>
        <v>FIXED 3.75%</v>
      </c>
      <c r="N17" s="42">
        <f>'Input Data'!Y15</f>
        <v>37.119999999999891</v>
      </c>
    </row>
    <row r="18" spans="1:14" ht="15.75" customHeight="1" x14ac:dyDescent="0.35">
      <c r="A18" s="18"/>
      <c r="B18" s="26" t="str">
        <f>'Input Data'!B18</f>
        <v>L09</v>
      </c>
      <c r="C18" s="38" t="str">
        <f>IFERROR('Input Data'!D18&amp;" ("&amp;'Input Data'!C18&amp;")","—")</f>
        <v>Smile Partners Australia (9.02)</v>
      </c>
      <c r="D18" s="39">
        <f>'Input Data'!F18</f>
        <v>344.5</v>
      </c>
      <c r="E18" s="40">
        <f>IFERROR('Input Data'!G18,"")</f>
        <v>45992</v>
      </c>
      <c r="F18" s="40">
        <f>IFERROR('Input Data'!H18,"")</f>
        <v>47483</v>
      </c>
      <c r="G18" s="41">
        <f>'Input Data'!I18</f>
        <v>4.0999999999999996</v>
      </c>
      <c r="H18" s="43">
        <f ca="1">'Input Data'!V18</f>
        <v>3.2087611225188226</v>
      </c>
      <c r="I18" s="42">
        <f>'Input Data'!J18</f>
        <v>990.29</v>
      </c>
      <c r="J18" s="42">
        <f>'Input Data'!Q18</f>
        <v>224063.82499999998</v>
      </c>
      <c r="K18" s="26">
        <f>IFERROR(YEAR('Input Data'!H18),"VACANT")</f>
        <v>2029</v>
      </c>
      <c r="L18" s="26">
        <f>'Input Data'!R18</f>
        <v>2</v>
      </c>
      <c r="M18" s="27" t="str">
        <f>'Input Data'!S18</f>
        <v>FIXED 3.5%</v>
      </c>
      <c r="N18" s="42">
        <f>'Input Data'!Y18</f>
        <v>0.28999999999996362</v>
      </c>
    </row>
    <row r="19" spans="1:14" ht="15.75" customHeight="1" x14ac:dyDescent="0.35">
      <c r="A19" s="18"/>
      <c r="B19" s="26" t="str">
        <f>'Input Data'!B19</f>
        <v>L12</v>
      </c>
      <c r="C19" s="38" t="str">
        <f>IFERROR('Input Data'!D19&amp;" ("&amp;'Input Data'!C19&amp;")","—")</f>
        <v>AEI Insurance Group Pty Ltd (12.02)</v>
      </c>
      <c r="D19" s="39">
        <f>'Input Data'!F19</f>
        <v>536</v>
      </c>
      <c r="E19" s="40">
        <f>IFERROR('Input Data'!G19,"")</f>
        <v>45642</v>
      </c>
      <c r="F19" s="40">
        <f>IFERROR('Input Data'!H19,"")</f>
        <v>47832</v>
      </c>
      <c r="G19" s="41">
        <f>'Input Data'!I19</f>
        <v>6</v>
      </c>
      <c r="H19" s="43">
        <f ca="1">'Input Data'!V19</f>
        <v>4.1642710472279258</v>
      </c>
      <c r="I19" s="42">
        <f>'Input Data'!J19</f>
        <v>988</v>
      </c>
      <c r="J19" s="42">
        <f>'Input Data'!Q19</f>
        <v>638733.19999999995</v>
      </c>
      <c r="K19" s="26">
        <f>IFERROR(YEAR('Input Data'!H19),"VACANT")</f>
        <v>2030</v>
      </c>
      <c r="L19" s="26">
        <f>'Input Data'!R19</f>
        <v>10</v>
      </c>
      <c r="M19" s="27" t="str">
        <f>'Input Data'!S19</f>
        <v>FIXED 4%</v>
      </c>
      <c r="N19" s="42">
        <f>'Input Data'!Y19</f>
        <v>-22</v>
      </c>
    </row>
    <row r="20" spans="1:14" ht="18" customHeight="1" x14ac:dyDescent="0.35">
      <c r="A20" s="18"/>
      <c r="B20" s="9" t="s">
        <v>406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ht="15.75" customHeight="1" x14ac:dyDescent="0.35">
      <c r="A21" s="18"/>
      <c r="B21" s="26" t="str">
        <f>'Input Data'!B4</f>
        <v>L03</v>
      </c>
      <c r="C21" s="38" t="str">
        <f>IFERROR('Input Data'!D4&amp;" ("&amp;'Input Data'!C4&amp;")","—")</f>
        <v>Fitness First Australia Pty Limited (3.02)</v>
      </c>
      <c r="D21" s="39">
        <f>'Input Data'!F4</f>
        <v>795.5</v>
      </c>
      <c r="E21" s="40">
        <f>IFERROR('Input Data'!G4,"")</f>
        <v>44378</v>
      </c>
      <c r="F21" s="40">
        <f>IFERROR('Input Data'!H4,"")</f>
        <v>48029</v>
      </c>
      <c r="G21" s="41">
        <f>'Input Data'!I4</f>
        <v>10</v>
      </c>
      <c r="H21" s="43">
        <f ca="1">'Input Data'!V4</f>
        <v>4.7036276522929503</v>
      </c>
      <c r="I21" s="42">
        <f>'Input Data'!J4</f>
        <v>855.7</v>
      </c>
      <c r="J21" s="42">
        <f>'Input Data'!Q4</f>
        <v>680709.35000000009</v>
      </c>
      <c r="K21" s="26">
        <f>IFERROR(YEAR('Input Data'!H4),"VACANT")</f>
        <v>2031</v>
      </c>
      <c r="L21" s="26">
        <f>'Input Data'!R4</f>
        <v>0</v>
      </c>
      <c r="M21" s="27" t="str">
        <f>'Input Data'!S4</f>
        <v>FIXED 4%</v>
      </c>
      <c r="N21" s="42">
        <f>'Input Data'!Y4</f>
        <v>-14.299999999999955</v>
      </c>
    </row>
    <row r="22" spans="1:14" ht="15.75" customHeight="1" x14ac:dyDescent="0.35">
      <c r="A22" s="18"/>
      <c r="B22" s="26" t="str">
        <f>'Input Data'!B5</f>
        <v>L04</v>
      </c>
      <c r="C22" s="38" t="str">
        <f>IFERROR('Input Data'!D5&amp;" ("&amp;'Input Data'!C5&amp;")","—")</f>
        <v>Fitness First Australia Pty Limited (4.01)</v>
      </c>
      <c r="D22" s="39">
        <f>'Input Data'!F5</f>
        <v>1047</v>
      </c>
      <c r="E22" s="40">
        <f>IFERROR('Input Data'!G5,"")</f>
        <v>44378</v>
      </c>
      <c r="F22" s="40">
        <f>IFERROR('Input Data'!H5,"")</f>
        <v>48029</v>
      </c>
      <c r="G22" s="41">
        <f>'Input Data'!I5</f>
        <v>10</v>
      </c>
      <c r="H22" s="43">
        <f ca="1">'Input Data'!V5</f>
        <v>4.7036276522929503</v>
      </c>
      <c r="I22" s="42">
        <f>'Input Data'!J5</f>
        <v>855.7</v>
      </c>
      <c r="J22" s="42">
        <f>'Input Data'!Q5</f>
        <v>906078.3</v>
      </c>
      <c r="K22" s="26">
        <f>IFERROR(YEAR('Input Data'!H5),"VACANT")</f>
        <v>2031</v>
      </c>
      <c r="L22" s="26">
        <f>'Input Data'!R5</f>
        <v>1</v>
      </c>
      <c r="M22" s="27" t="str">
        <f>'Input Data'!S5</f>
        <v>FIXED 4%</v>
      </c>
      <c r="N22" s="42">
        <f>'Input Data'!Y5</f>
        <v>-14.299999999999955</v>
      </c>
    </row>
    <row r="23" spans="1:14" ht="15.75" customHeight="1" x14ac:dyDescent="0.35">
      <c r="A23" s="18"/>
      <c r="B23" s="26" t="str">
        <f>'Input Data'!B6</f>
        <v>L05</v>
      </c>
      <c r="C23" s="38" t="str">
        <f>IFERROR('Input Data'!D6&amp;" ("&amp;'Input Data'!C6&amp;")","—")</f>
        <v>Fitness First Australia Pty Limited (5.01)</v>
      </c>
      <c r="D23" s="39">
        <f>'Input Data'!F6</f>
        <v>437.1</v>
      </c>
      <c r="E23" s="40">
        <f>IFERROR('Input Data'!G6,"")</f>
        <v>44378</v>
      </c>
      <c r="F23" s="40">
        <f>IFERROR('Input Data'!H6,"")</f>
        <v>48029</v>
      </c>
      <c r="G23" s="41">
        <f>'Input Data'!I6</f>
        <v>10</v>
      </c>
      <c r="H23" s="43">
        <f ca="1">'Input Data'!V6</f>
        <v>4.7036276522929503</v>
      </c>
      <c r="I23" s="42">
        <f>'Input Data'!J6</f>
        <v>855.7</v>
      </c>
      <c r="J23" s="42">
        <f>'Input Data'!Q6</f>
        <v>377056.47000000003</v>
      </c>
      <c r="K23" s="26">
        <f>IFERROR(YEAR('Input Data'!H6),"VACANT")</f>
        <v>2031</v>
      </c>
      <c r="L23" s="26">
        <f>'Input Data'!R6</f>
        <v>0</v>
      </c>
      <c r="M23" s="27" t="str">
        <f>'Input Data'!S6</f>
        <v>FIXED 4%</v>
      </c>
      <c r="N23" s="42">
        <f>'Input Data'!Y6</f>
        <v>-14.299999999999955</v>
      </c>
    </row>
    <row r="24" spans="1:14" ht="15.75" customHeight="1" x14ac:dyDescent="0.35">
      <c r="A24" s="18"/>
      <c r="B24" s="26" t="str">
        <f>'Input Data'!B11</f>
        <v>L06</v>
      </c>
      <c r="C24" s="38" t="str">
        <f>IFERROR('Input Data'!D11&amp;" ("&amp;'Input Data'!C11&amp;")","—")</f>
        <v>Elekta Pty Limited (6.04)</v>
      </c>
      <c r="D24" s="39">
        <f>'Input Data'!F11</f>
        <v>267.89999999999998</v>
      </c>
      <c r="E24" s="40">
        <f>IFERROR('Input Data'!G11,"")</f>
        <v>45870</v>
      </c>
      <c r="F24" s="40">
        <f>IFERROR('Input Data'!H11,"")</f>
        <v>48426</v>
      </c>
      <c r="G24" s="41">
        <f>'Input Data'!I11</f>
        <v>7</v>
      </c>
      <c r="H24" s="43">
        <f ca="1">'Input Data'!V11</f>
        <v>5.7905544147843946</v>
      </c>
      <c r="I24" s="42">
        <f>'Input Data'!J11</f>
        <v>954.5</v>
      </c>
      <c r="J24" s="42">
        <f>'Input Data'!Q11</f>
        <v>171546.74999999997</v>
      </c>
      <c r="K24" s="26">
        <f>IFERROR(YEAR('Input Data'!H11),"VACANT")</f>
        <v>2032</v>
      </c>
      <c r="L24" s="26">
        <f>'Input Data'!R11</f>
        <v>1</v>
      </c>
      <c r="M24" s="27" t="str">
        <f>'Input Data'!S11</f>
        <v>FIXED (3.75%)</v>
      </c>
      <c r="N24" s="42">
        <f>'Input Data'!Y11</f>
        <v>-0.5</v>
      </c>
    </row>
    <row r="25" spans="1:14" ht="18" customHeight="1" x14ac:dyDescent="0.35">
      <c r="A25" s="18"/>
      <c r="B25" s="162" t="str">
        <f>'Input Data'!B24</f>
        <v>L11</v>
      </c>
      <c r="C25" s="162" t="str">
        <f>IFERROR('Input Data'!D24&amp;" ("&amp;'Input Data'!C24&amp;")","—")</f>
        <v>Haskoning Australia Pty Ltd (11.02)</v>
      </c>
      <c r="D25" s="163">
        <f>'Input Data'!F24</f>
        <v>548</v>
      </c>
      <c r="E25" s="164">
        <f>IFERROR('Input Data'!G24,"")</f>
        <v>46296</v>
      </c>
      <c r="F25" s="164">
        <f>IFERROR('Input Data'!H24,"")</f>
        <v>48487</v>
      </c>
      <c r="G25" s="165">
        <f>'Input Data'!I24</f>
        <v>6</v>
      </c>
      <c r="H25" s="166">
        <f ca="1">'Input Data'!V24</f>
        <v>5.9575633127994525</v>
      </c>
      <c r="I25" s="167">
        <f>'Input Data'!J24</f>
        <v>1040</v>
      </c>
      <c r="J25" s="167">
        <f>'Input Data'!Q24</f>
        <v>458074.66666666669</v>
      </c>
      <c r="K25" s="162">
        <f>IFERROR(YEAR('Input Data'!H24),"VACANT")</f>
        <v>2032</v>
      </c>
      <c r="L25" s="162">
        <f>'Input Data'!R24</f>
        <v>0</v>
      </c>
      <c r="M25" s="162" t="str">
        <f>'Input Data'!S24</f>
        <v>FIXED 3.5%</v>
      </c>
      <c r="N25" s="167">
        <f>'Input Data'!Y24</f>
        <v>0</v>
      </c>
    </row>
    <row r="26" spans="1:14" ht="15.75" customHeight="1" x14ac:dyDescent="0.35">
      <c r="A26" s="18"/>
      <c r="B26" s="26" t="str">
        <f>'Input Data'!B20</f>
        <v>L06</v>
      </c>
      <c r="C26" s="38" t="str">
        <f>IFERROR('Input Data'!D20&amp;" ("&amp;'Input Data'!C20&amp;")","—")</f>
        <v>Caldas Constructions Pty Ltd (6.01)</v>
      </c>
      <c r="D26" s="39">
        <f>'Input Data'!F20</f>
        <v>186.4</v>
      </c>
      <c r="E26" s="40">
        <f>IFERROR('Input Data'!G20,"")</f>
        <v>46204</v>
      </c>
      <c r="F26" s="40">
        <f>IFERROR('Input Data'!H20,"")</f>
        <v>48395</v>
      </c>
      <c r="G26" s="41">
        <f>'Input Data'!I20</f>
        <v>6</v>
      </c>
      <c r="H26" s="43">
        <f ca="1">'Input Data'!V20</f>
        <v>5.7056810403832987</v>
      </c>
      <c r="I26" s="42">
        <f>'Input Data'!J20</f>
        <v>920</v>
      </c>
      <c r="J26" s="42">
        <f>'Input Data'!Q20</f>
        <v>-340767</v>
      </c>
      <c r="K26" s="26">
        <f>IFERROR(YEAR('Input Data'!H20),"VACANT")</f>
        <v>2032</v>
      </c>
      <c r="L26" s="26">
        <f>'Input Data'!R20</f>
        <v>0</v>
      </c>
      <c r="M26" s="27">
        <f>'Input Data'!S20</f>
        <v>0</v>
      </c>
      <c r="N26" s="42">
        <f>'Input Data'!Y20</f>
        <v>920</v>
      </c>
    </row>
    <row r="27" spans="1:14" ht="15.75" customHeight="1" x14ac:dyDescent="0.35">
      <c r="A27" s="18"/>
      <c r="B27" s="162" t="str">
        <f>'Input Data'!B23</f>
        <v>L11</v>
      </c>
      <c r="C27" s="162" t="str">
        <f>IFERROR('Input Data'!D23&amp;" ("&amp;'Input Data'!C23&amp;")","—")</f>
        <v>Luxasia (11.01)</v>
      </c>
      <c r="D27" s="163">
        <f>'Input Data'!F23</f>
        <v>242.5</v>
      </c>
      <c r="E27" s="164">
        <f>IFERROR('Input Data'!G23,"")</f>
        <v>46296</v>
      </c>
      <c r="F27" s="164">
        <f>IFERROR('Input Data'!H23,"")</f>
        <v>48121</v>
      </c>
      <c r="G27" s="165">
        <f>'Input Data'!I23</f>
        <v>5</v>
      </c>
      <c r="H27" s="166">
        <f ca="1">'Input Data'!V23</f>
        <v>4.9555099247091032</v>
      </c>
      <c r="I27" s="167">
        <f>'Input Data'!J23</f>
        <v>1060</v>
      </c>
      <c r="J27" s="167">
        <f>'Input Data'!Q23</f>
        <v>266749.52</v>
      </c>
      <c r="K27" s="162">
        <f>IFERROR(YEAR('Input Data'!H23),"VACANT")</f>
        <v>2031</v>
      </c>
      <c r="L27" s="162">
        <f>'Input Data'!R23</f>
        <v>2</v>
      </c>
      <c r="M27" s="162" t="str">
        <f>'Input Data'!S23</f>
        <v>FIXED 3.75%</v>
      </c>
      <c r="N27" s="167">
        <f>'Input Data'!Y23</f>
        <v>0</v>
      </c>
    </row>
    <row r="28" spans="1:14" ht="15.75" customHeight="1" x14ac:dyDescent="0.35">
      <c r="A28" s="18"/>
      <c r="B28" s="168" t="s">
        <v>407</v>
      </c>
      <c r="C28" s="18"/>
      <c r="D28" s="169"/>
      <c r="E28" s="170"/>
      <c r="F28" s="170"/>
      <c r="G28" s="18"/>
      <c r="H28" s="171"/>
      <c r="I28" s="18"/>
      <c r="J28" s="172"/>
      <c r="K28" s="18"/>
      <c r="L28" s="18"/>
      <c r="M28" s="18"/>
      <c r="N28" s="172"/>
    </row>
    <row r="29" spans="1:14" ht="15.75" customHeight="1" x14ac:dyDescent="0.35">
      <c r="A29" s="18"/>
      <c r="B29" s="66" t="str">
        <f>'Input Data'!B21</f>
        <v>L10</v>
      </c>
      <c r="C29" s="67" t="str">
        <f>"VACANT — Suite "&amp;'Input Data'!C21</f>
        <v>VACANT — Suite 10.01</v>
      </c>
      <c r="D29" s="68">
        <f>'Input Data'!F21</f>
        <v>438</v>
      </c>
      <c r="E29" s="87"/>
      <c r="F29" s="87"/>
      <c r="G29" s="87"/>
      <c r="H29" s="87"/>
      <c r="I29" s="87"/>
      <c r="J29" s="87"/>
      <c r="K29" s="66" t="s">
        <v>214</v>
      </c>
      <c r="L29" s="87"/>
      <c r="M29" s="87"/>
      <c r="N29" s="69">
        <f>'Input Data'!X21</f>
        <v>0</v>
      </c>
    </row>
    <row r="30" spans="1:14" ht="14.25" customHeight="1" x14ac:dyDescent="0.35">
      <c r="A30" s="18"/>
      <c r="B30" s="66" t="str">
        <f>'Input Data'!B22</f>
        <v>L10</v>
      </c>
      <c r="C30" s="67" t="str">
        <f>"VACANT — Suite "&amp;'Input Data'!C22</f>
        <v>VACANT — Suite 10.02</v>
      </c>
      <c r="D30" s="68">
        <f>'Input Data'!F22</f>
        <v>349</v>
      </c>
      <c r="E30" s="173"/>
      <c r="F30" s="173"/>
      <c r="G30" s="87"/>
      <c r="H30" s="174"/>
      <c r="I30" s="87"/>
      <c r="J30" s="175"/>
      <c r="K30" s="66" t="s">
        <v>214</v>
      </c>
      <c r="L30" s="87"/>
      <c r="M30" s="87"/>
      <c r="N30" s="69">
        <f>'Input Data'!X22</f>
        <v>0</v>
      </c>
    </row>
    <row r="31" spans="1:14" ht="19.5" customHeight="1" x14ac:dyDescent="0.35">
      <c r="A31" s="18"/>
      <c r="B31" s="18"/>
      <c r="D31" s="169"/>
      <c r="E31" s="170"/>
      <c r="F31" s="170"/>
      <c r="G31" s="176"/>
      <c r="H31" s="171"/>
      <c r="I31" s="172"/>
      <c r="J31" s="172"/>
      <c r="K31" s="18"/>
      <c r="L31" s="18"/>
      <c r="M31" s="18"/>
      <c r="N31" s="172"/>
    </row>
    <row r="32" spans="1:14" ht="14.25" customHeight="1" x14ac:dyDescent="0.35">
      <c r="A32" s="18"/>
      <c r="B32" s="78" t="s">
        <v>408</v>
      </c>
      <c r="C32" s="18"/>
      <c r="D32" s="122">
        <f>SUM('Input Data'!F3:F24)</f>
        <v>8940.9000000000015</v>
      </c>
      <c r="E32" s="86"/>
      <c r="F32" s="86"/>
      <c r="G32" s="86"/>
      <c r="H32" s="86"/>
      <c r="I32" s="177">
        <f>SUMPRODUCT(('Input Data'!H3:H24&lt;&gt;"")*'Input Data'!J3:J24*'Input Data'!F3:F24)/SUMPRODUCT(('Input Data'!H3:H24&lt;&gt;"")*'Input Data'!F3:F24)</f>
        <v>978.84472988385926</v>
      </c>
      <c r="J32" s="80">
        <f>SUM('Input Data'!Q3:Q24)</f>
        <v>6606792.7196666664</v>
      </c>
      <c r="K32" s="86"/>
      <c r="L32" s="86"/>
      <c r="M32" s="86"/>
      <c r="N32" s="86"/>
    </row>
  </sheetData>
  <mergeCells count="6">
    <mergeCell ref="B20:N20"/>
    <mergeCell ref="A1:N1"/>
    <mergeCell ref="B3:N3"/>
    <mergeCell ref="B6:N6"/>
    <mergeCell ref="B9:N9"/>
    <mergeCell ref="B16:N16"/>
  </mergeCells>
  <pageMargins left="0.75" right="0.75" top="1" bottom="1" header="0.5" footer="0.5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32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7" customWidth="1"/>
    <col min="2" max="2" width="8" customWidth="1"/>
    <col min="3" max="3" width="30" customWidth="1"/>
    <col min="4" max="4" width="26" customWidth="1"/>
    <col min="5" max="5" width="10" customWidth="1"/>
    <col min="6" max="7" width="12" customWidth="1"/>
    <col min="8" max="8" width="9" customWidth="1"/>
    <col min="9" max="9" width="10" customWidth="1"/>
    <col min="10" max="11" width="11" customWidth="1"/>
    <col min="12" max="12" width="15" customWidth="1"/>
    <col min="13" max="13" width="14" customWidth="1"/>
    <col min="14" max="15" width="13" customWidth="1"/>
    <col min="16" max="16" width="15" customWidth="1"/>
    <col min="17" max="17" width="9" customWidth="1"/>
    <col min="18" max="18" width="14" customWidth="1"/>
    <col min="19" max="19" width="12" customWidth="1"/>
    <col min="20" max="20" width="11" customWidth="1"/>
    <col min="21" max="21" width="13" customWidth="1"/>
    <col min="22" max="22" width="11" customWidth="1"/>
    <col min="23" max="23" width="12" customWidth="1"/>
    <col min="24" max="24" width="25" customWidth="1"/>
  </cols>
  <sheetData>
    <row r="1" spans="1:24" ht="27.75" customHeight="1" x14ac:dyDescent="0.35">
      <c r="A1" s="303" t="s">
        <v>409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303"/>
      <c r="S1" s="303"/>
      <c r="T1" s="303"/>
      <c r="U1" s="303"/>
      <c r="V1" s="303"/>
      <c r="W1" s="303"/>
      <c r="X1" s="303"/>
    </row>
    <row r="2" spans="1:24" ht="31.5" customHeight="1" x14ac:dyDescent="0.35">
      <c r="A2" s="23" t="s">
        <v>61</v>
      </c>
      <c r="B2" s="23" t="s">
        <v>62</v>
      </c>
      <c r="C2" s="23" t="s">
        <v>63</v>
      </c>
      <c r="D2" s="23" t="s">
        <v>64</v>
      </c>
      <c r="E2" s="23" t="s">
        <v>65</v>
      </c>
      <c r="F2" s="23" t="s">
        <v>66</v>
      </c>
      <c r="G2" s="23" t="s">
        <v>67</v>
      </c>
      <c r="H2" s="23" t="s">
        <v>68</v>
      </c>
      <c r="I2" s="23" t="s">
        <v>400</v>
      </c>
      <c r="J2" s="23" t="s">
        <v>69</v>
      </c>
      <c r="K2" s="23" t="s">
        <v>410</v>
      </c>
      <c r="L2" s="23" t="s">
        <v>318</v>
      </c>
      <c r="M2" s="23" t="s">
        <v>71</v>
      </c>
      <c r="N2" s="23" t="s">
        <v>72</v>
      </c>
      <c r="O2" s="23" t="s">
        <v>73</v>
      </c>
      <c r="P2" s="23" t="s">
        <v>411</v>
      </c>
      <c r="Q2" s="23" t="s">
        <v>401</v>
      </c>
      <c r="R2" s="23" t="s">
        <v>78</v>
      </c>
      <c r="S2" s="23" t="s">
        <v>79</v>
      </c>
      <c r="T2" s="23" t="s">
        <v>80</v>
      </c>
      <c r="U2" s="23" t="s">
        <v>277</v>
      </c>
      <c r="V2" s="23" t="s">
        <v>278</v>
      </c>
      <c r="W2" s="23" t="s">
        <v>412</v>
      </c>
      <c r="X2" s="23" t="s">
        <v>87</v>
      </c>
    </row>
    <row r="3" spans="1:24" ht="18" customHeight="1" x14ac:dyDescent="0.35">
      <c r="A3" s="259" t="s">
        <v>402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</row>
    <row r="4" spans="1:24" ht="15.75" customHeight="1" x14ac:dyDescent="0.35">
      <c r="A4" s="58" t="str">
        <f>'Input Data'!B10</f>
        <v>L06</v>
      </c>
      <c r="B4" s="58" t="str">
        <f>'Input Data'!C10</f>
        <v>6.03</v>
      </c>
      <c r="C4" s="59" t="str">
        <f>'Input Data'!D10</f>
        <v>Keeping Company Pty Ltd</v>
      </c>
      <c r="D4" s="59" t="str">
        <f>'Input Data'!E10</f>
        <v>Keeping Company Pty Ltd</v>
      </c>
      <c r="E4" s="60">
        <f>'Input Data'!F10</f>
        <v>189.4</v>
      </c>
      <c r="F4" s="24">
        <f>'Input Data'!G10</f>
        <v>44713</v>
      </c>
      <c r="G4" s="24">
        <f>'Input Data'!H10</f>
        <v>46538</v>
      </c>
      <c r="H4" s="61">
        <f>'Input Data'!I10</f>
        <v>5</v>
      </c>
      <c r="I4" s="64">
        <f ca="1">'Input Data'!V10</f>
        <v>0.62149212867898695</v>
      </c>
      <c r="J4" s="62">
        <f>'Input Data'!J10</f>
        <v>1055.72</v>
      </c>
      <c r="K4" s="62">
        <f>'Input Data'!X10</f>
        <v>990</v>
      </c>
      <c r="L4" s="62">
        <f>'Input Data'!Q10</f>
        <v>219057.03800000003</v>
      </c>
      <c r="M4" s="62">
        <f>'Input Data'!L10</f>
        <v>-23525.37</v>
      </c>
      <c r="N4" s="62">
        <f>'Input Data'!M10</f>
        <v>19249.32</v>
      </c>
      <c r="O4" s="62">
        <f>'Input Data'!N10</f>
        <v>3136.44</v>
      </c>
      <c r="P4" s="62">
        <f>'Input Data'!O10+'Input Data'!P10</f>
        <v>20243.28</v>
      </c>
      <c r="Q4" s="58">
        <f>'Input Data'!R10</f>
        <v>2</v>
      </c>
      <c r="R4" s="63" t="str">
        <f>'Input Data'!S10</f>
        <v>FIXED 3.5%</v>
      </c>
      <c r="S4" s="24">
        <f>IFERROR('Input Data'!T10,"")</f>
        <v>46539</v>
      </c>
      <c r="T4" s="63" t="str">
        <f>'Input Data'!U10</f>
        <v>Semi-Gross</v>
      </c>
      <c r="U4" s="62">
        <f>'Input Data'!Y10</f>
        <v>65.720000000000027</v>
      </c>
      <c r="V4" s="65">
        <f>'Input Data'!Z10</f>
        <v>6.6383838383838406E-2</v>
      </c>
      <c r="W4" s="60">
        <f ca="1">'Input Data'!W10</f>
        <v>117.71060917180013</v>
      </c>
      <c r="X4" s="63" t="str">
        <f>'Input Data'!AB10</f>
        <v>2 car spaces. BG: $110,739. Incentive: fitout $177,810 + abatement. Base year FY2021.</v>
      </c>
    </row>
    <row r="5" spans="1:24" ht="15.75" customHeight="1" x14ac:dyDescent="0.35">
      <c r="A5" s="58" t="str">
        <f>'Input Data'!B16</f>
        <v>L09</v>
      </c>
      <c r="B5" s="58" t="str">
        <f>'Input Data'!C16</f>
        <v>9.01</v>
      </c>
      <c r="C5" s="59" t="str">
        <f>'Input Data'!D16</f>
        <v>Pitt &amp; Sherry (Operations) Pty Ltd</v>
      </c>
      <c r="D5" s="59" t="str">
        <f>'Input Data'!E16</f>
        <v>Pitt &amp; Sherry (Operations) Pty Ltd</v>
      </c>
      <c r="E5" s="60">
        <f>'Input Data'!F16</f>
        <v>453.3</v>
      </c>
      <c r="F5" s="24">
        <f>'Input Data'!G16</f>
        <v>44746</v>
      </c>
      <c r="G5" s="24">
        <f>'Input Data'!H16</f>
        <v>46571</v>
      </c>
      <c r="H5" s="61">
        <f>'Input Data'!I16</f>
        <v>5</v>
      </c>
      <c r="I5" s="64">
        <f ca="1">'Input Data'!V16</f>
        <v>0.7118412046543463</v>
      </c>
      <c r="J5" s="62">
        <f>'Input Data'!J16</f>
        <v>1065.96</v>
      </c>
      <c r="K5" s="62">
        <f>'Input Data'!X16</f>
        <v>1040</v>
      </c>
      <c r="L5" s="62">
        <f>'Input Data'!Q16</f>
        <v>403784.50799999991</v>
      </c>
      <c r="M5" s="62">
        <f>'Input Data'!L16</f>
        <v>-145962.6</v>
      </c>
      <c r="N5" s="62">
        <f>'Input Data'!M16</f>
        <v>46069.68</v>
      </c>
      <c r="O5" s="62">
        <f>'Input Data'!N16</f>
        <v>7506.6</v>
      </c>
      <c r="P5" s="62">
        <f>'Input Data'!O16+'Input Data'!P16</f>
        <v>12971.16</v>
      </c>
      <c r="Q5" s="58">
        <f>'Input Data'!R16</f>
        <v>1</v>
      </c>
      <c r="R5" s="63" t="str">
        <f>'Input Data'!S16</f>
        <v>FIXED 3.75%</v>
      </c>
      <c r="S5" s="24">
        <f>IFERROR('Input Data'!T16,"")</f>
        <v>46572</v>
      </c>
      <c r="T5" s="63" t="str">
        <f>'Input Data'!U16</f>
        <v>Semi-Gross</v>
      </c>
      <c r="U5" s="62">
        <f>'Input Data'!Y16</f>
        <v>25.960000000000036</v>
      </c>
      <c r="V5" s="65">
        <f>'Input Data'!Z16</f>
        <v>2.4961538461538497E-2</v>
      </c>
      <c r="W5" s="60">
        <f ca="1">'Input Data'!W16</f>
        <v>322.6776180698152</v>
      </c>
      <c r="X5" s="63" t="str">
        <f>'Input Data'!AB16</f>
        <v>Option: 5 yrs (04/07/27-03/07/32). BG: $281,758. Base year FY2021 5%.</v>
      </c>
    </row>
    <row r="6" spans="1:24" ht="18" customHeight="1" x14ac:dyDescent="0.35">
      <c r="A6" s="9" t="s">
        <v>403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4" ht="15.75" customHeight="1" x14ac:dyDescent="0.35">
      <c r="A7" s="106" t="str">
        <f>'Input Data'!B14</f>
        <v>L08</v>
      </c>
      <c r="B7" s="106" t="str">
        <f>'Input Data'!C14</f>
        <v>8.01</v>
      </c>
      <c r="C7" s="158" t="str">
        <f>'Input Data'!D14</f>
        <v>Vanderlande Industries Australia Pty Ltd</v>
      </c>
      <c r="D7" s="158" t="str">
        <f>'Input Data'!E14</f>
        <v>Vanderlande Industries Australia Pty Ltd</v>
      </c>
      <c r="E7" s="108">
        <f>'Input Data'!F14</f>
        <v>686.7</v>
      </c>
      <c r="F7" s="159">
        <f>'Input Data'!G14</f>
        <v>43282</v>
      </c>
      <c r="G7" s="159">
        <f>'Input Data'!H14</f>
        <v>46934</v>
      </c>
      <c r="H7" s="160">
        <f>'Input Data'!I14</f>
        <v>10</v>
      </c>
      <c r="I7" s="161">
        <f ca="1">'Input Data'!V14</f>
        <v>1.7056810403832992</v>
      </c>
      <c r="J7" s="109">
        <f>'Input Data'!J14</f>
        <v>1029.25</v>
      </c>
      <c r="K7" s="109">
        <f>'Input Data'!X14</f>
        <v>990</v>
      </c>
      <c r="L7" s="109">
        <f>'Input Data'!Q14</f>
        <v>577101.85500000021</v>
      </c>
      <c r="M7" s="109">
        <f>'Input Data'!L14</f>
        <v>-219915.72</v>
      </c>
      <c r="N7" s="109">
        <f>'Input Data'!M14</f>
        <v>78859.8</v>
      </c>
      <c r="O7" s="109">
        <f>'Input Data'!N14</f>
        <v>11371.8</v>
      </c>
      <c r="P7" s="109">
        <f>'Input Data'!O14+'Input Data'!P14</f>
        <v>0</v>
      </c>
      <c r="Q7" s="106">
        <f>'Input Data'!R14</f>
        <v>0</v>
      </c>
      <c r="R7" s="107" t="str">
        <f>'Input Data'!S14</f>
        <v>FIXED 4%</v>
      </c>
      <c r="S7" s="159">
        <f>IFERROR('Input Data'!T14,"")</f>
        <v>46569</v>
      </c>
      <c r="T7" s="107" t="str">
        <f>'Input Data'!U14</f>
        <v>Semi-Gross</v>
      </c>
      <c r="U7" s="109">
        <f>'Input Data'!Y14</f>
        <v>39.25</v>
      </c>
      <c r="V7" s="110">
        <f>'Input Data'!Z14</f>
        <v>3.9646464646464645E-2</v>
      </c>
      <c r="W7" s="108">
        <f ca="1">'Input Data'!W14</f>
        <v>1171.2911704312116</v>
      </c>
      <c r="X7" s="107" t="str">
        <f>'Input Data'!AB14</f>
        <v>Base year FY2015 7.57%. BG: $288,500. Make good: full open plan. Cleaning $15 psm.</v>
      </c>
    </row>
    <row r="8" spans="1:24" ht="15.75" customHeight="1" x14ac:dyDescent="0.35">
      <c r="A8" s="106" t="str">
        <f>'Input Data'!B3</f>
        <v>L03</v>
      </c>
      <c r="B8" s="106" t="str">
        <f>'Input Data'!C3</f>
        <v>3.01</v>
      </c>
      <c r="C8" s="158" t="str">
        <f>'Input Data'!D3</f>
        <v>Sydney Smiletree Pty Ltd</v>
      </c>
      <c r="D8" s="158" t="str">
        <f>'Input Data'!E3</f>
        <v>The Trustee for Sydney Smiletree Unit Trust</v>
      </c>
      <c r="E8" s="108">
        <f>'Input Data'!F3</f>
        <v>107.7</v>
      </c>
      <c r="F8" s="159">
        <f>'Input Data'!G3</f>
        <v>44013</v>
      </c>
      <c r="G8" s="159">
        <f>'Input Data'!H3</f>
        <v>47118</v>
      </c>
      <c r="H8" s="160">
        <f>'Input Data'!I3</f>
        <v>8.5</v>
      </c>
      <c r="I8" s="161">
        <f ca="1">'Input Data'!V3</f>
        <v>2.2094455852156059</v>
      </c>
      <c r="J8" s="109">
        <f>'Input Data'!J3</f>
        <v>1395.94</v>
      </c>
      <c r="K8" s="109">
        <f>'Input Data'!X3</f>
        <v>950</v>
      </c>
      <c r="L8" s="109">
        <f>'Input Data'!Q3</f>
        <v>171561.37800000003</v>
      </c>
      <c r="M8" s="109">
        <f>'Input Data'!L3</f>
        <v>0</v>
      </c>
      <c r="N8" s="109">
        <f>'Input Data'!M3</f>
        <v>9156</v>
      </c>
      <c r="O8" s="109">
        <f>'Input Data'!N3</f>
        <v>0</v>
      </c>
      <c r="P8" s="109">
        <f>'Input Data'!O3+'Input Data'!P3</f>
        <v>12062.64</v>
      </c>
      <c r="Q8" s="106">
        <f>'Input Data'!R3</f>
        <v>1</v>
      </c>
      <c r="R8" s="107" t="str">
        <f>'Input Data'!S3</f>
        <v>FIXED 4%</v>
      </c>
      <c r="S8" s="159">
        <f>IFERROR('Input Data'!T3,"")</f>
        <v>46569</v>
      </c>
      <c r="T8" s="107" t="str">
        <f>'Input Data'!U3</f>
        <v>Net</v>
      </c>
      <c r="U8" s="109">
        <f>'Input Data'!Y3</f>
        <v>445.94000000000005</v>
      </c>
      <c r="V8" s="110">
        <f>'Input Data'!Z3</f>
        <v>0.46941052631578956</v>
      </c>
      <c r="W8" s="108">
        <f ca="1">'Input Data'!W3</f>
        <v>237.95728952772075</v>
      </c>
      <c r="X8" s="107" t="str">
        <f>'Input Data'!AB3</f>
        <v>Option: 5 yrs. BG: $86,814. Car Space 16.</v>
      </c>
    </row>
    <row r="9" spans="1:24" ht="18" customHeight="1" x14ac:dyDescent="0.35">
      <c r="A9" s="259" t="s">
        <v>404</v>
      </c>
      <c r="B9" s="259"/>
      <c r="C9" s="259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</row>
    <row r="10" spans="1:24" ht="15.75" customHeight="1" x14ac:dyDescent="0.35">
      <c r="A10" s="26" t="str">
        <f>'Input Data'!B8</f>
        <v>L05</v>
      </c>
      <c r="B10" s="26" t="str">
        <f>'Input Data'!C8</f>
        <v>5.04</v>
      </c>
      <c r="C10" s="38" t="str">
        <f>'Input Data'!D8</f>
        <v>Auctionsplus Pty Ltd</v>
      </c>
      <c r="D10" s="38" t="str">
        <f>'Input Data'!E8</f>
        <v>Auctionsplus Pty Ltd</v>
      </c>
      <c r="E10" s="39">
        <f>'Input Data'!F8</f>
        <v>413.5</v>
      </c>
      <c r="F10" s="40">
        <f>'Input Data'!G8</f>
        <v>45352</v>
      </c>
      <c r="G10" s="40">
        <f>'Input Data'!H8</f>
        <v>47177</v>
      </c>
      <c r="H10" s="41">
        <f>'Input Data'!I8</f>
        <v>5</v>
      </c>
      <c r="I10" s="43">
        <f ca="1">'Input Data'!V8</f>
        <v>2.3709787816563996</v>
      </c>
      <c r="J10" s="42">
        <f>'Input Data'!J8</f>
        <v>1005.89</v>
      </c>
      <c r="K10" s="42">
        <f>'Input Data'!X8</f>
        <v>990</v>
      </c>
      <c r="L10" s="42">
        <f>'Input Data'!Q8</f>
        <v>366667.89499999996</v>
      </c>
      <c r="M10" s="42">
        <f>'Input Data'!L8</f>
        <v>-104594.82</v>
      </c>
      <c r="N10" s="42">
        <f>'Input Data'!M8</f>
        <v>40068.6</v>
      </c>
      <c r="O10" s="42">
        <f>'Input Data'!N8</f>
        <v>6847.56</v>
      </c>
      <c r="P10" s="42">
        <f>'Input Data'!O8+'Input Data'!P8</f>
        <v>8411.0400000000009</v>
      </c>
      <c r="Q10" s="26">
        <f>'Input Data'!R8</f>
        <v>1</v>
      </c>
      <c r="R10" s="27" t="str">
        <f>'Input Data'!S8</f>
        <v>FIXED 4%</v>
      </c>
      <c r="S10" s="40">
        <f>IFERROR('Input Data'!T8,"")</f>
        <v>46447</v>
      </c>
      <c r="T10" s="27" t="str">
        <f>'Input Data'!U8</f>
        <v>Semi-Gross</v>
      </c>
      <c r="U10" s="42">
        <f>'Input Data'!Y8</f>
        <v>15.889999999999986</v>
      </c>
      <c r="V10" s="44">
        <f>'Input Data'!Z8</f>
        <v>1.6050505050505037E-2</v>
      </c>
      <c r="W10" s="39">
        <f ca="1">'Input Data'!W8</f>
        <v>980.3997262149212</v>
      </c>
      <c r="X10" s="27" t="str">
        <f>'Input Data'!AB8</f>
        <v>Semi-gross base year FY24 2.4%. BG equiv $199,187 incl GST. Incentive: fitout contribution $672,971.</v>
      </c>
    </row>
    <row r="11" spans="1:24" ht="15.75" customHeight="1" x14ac:dyDescent="0.35">
      <c r="A11" s="26" t="str">
        <f>'Input Data'!B7</f>
        <v>L05</v>
      </c>
      <c r="B11" s="26" t="str">
        <f>'Input Data'!C7</f>
        <v>5.03</v>
      </c>
      <c r="C11" s="38" t="str">
        <f>'Input Data'!D7</f>
        <v>Asterx Pty Ltd</v>
      </c>
      <c r="D11" s="38" t="str">
        <f>'Input Data'!E7</f>
        <v>Asterx Pty Ltd (MediRecords)</v>
      </c>
      <c r="E11" s="39">
        <f>'Input Data'!F7</f>
        <v>229.8</v>
      </c>
      <c r="F11" s="40">
        <f>'Input Data'!G7</f>
        <v>45474</v>
      </c>
      <c r="G11" s="40">
        <f>'Input Data'!H7</f>
        <v>47299</v>
      </c>
      <c r="H11" s="41">
        <f>'Input Data'!I7</f>
        <v>5</v>
      </c>
      <c r="I11" s="43">
        <f ca="1">'Input Data'!V7</f>
        <v>2.7049965776865159</v>
      </c>
      <c r="J11" s="42">
        <f>'Input Data'!J7</f>
        <v>985.53</v>
      </c>
      <c r="K11" s="42">
        <f>'Input Data'!X7</f>
        <v>950</v>
      </c>
      <c r="L11" s="42">
        <f>'Input Data'!Q7</f>
        <v>205033.43400000001</v>
      </c>
      <c r="M11" s="42">
        <f>'Input Data'!L7</f>
        <v>-46511.519999999997</v>
      </c>
      <c r="N11" s="42">
        <f>'Input Data'!M7</f>
        <v>10521.96</v>
      </c>
      <c r="O11" s="42">
        <f>'Input Data'!N7</f>
        <v>3805.44</v>
      </c>
      <c r="P11" s="42">
        <f>'Input Data'!O7+'Input Data'!P7</f>
        <v>10742.76</v>
      </c>
      <c r="Q11" s="26">
        <f>'Input Data'!R7</f>
        <v>1</v>
      </c>
      <c r="R11" s="27" t="str">
        <f>'Input Data'!S7</f>
        <v>FIXED 3.5%</v>
      </c>
      <c r="S11" s="40">
        <f>IFERROR('Input Data'!T7,"")</f>
        <v>46569</v>
      </c>
      <c r="T11" s="27" t="str">
        <f>'Input Data'!U7</f>
        <v>Semi-Gross</v>
      </c>
      <c r="U11" s="42">
        <f>'Input Data'!Y7</f>
        <v>35.529999999999973</v>
      </c>
      <c r="V11" s="44">
        <f>'Input Data'!Z7</f>
        <v>3.7399999999999968E-2</v>
      </c>
      <c r="W11" s="39">
        <f ca="1">'Input Data'!W7</f>
        <v>621.60821355236135</v>
      </c>
      <c r="X11" s="27" t="str">
        <f>'Input Data'!AB7</f>
        <v>Semi-gross base year FY24. BG: $135,234. 1 car space. Lease start/expiry corrected to 01/07/24–30/06/29 per Sept26 TS (previously recorded as 01/06/24–31/05/29). Abatement, car park rent, cleaning and outgoings all confirmed/updated per Sept26 TS.</v>
      </c>
    </row>
    <row r="12" spans="1:24" ht="15.75" customHeight="1" x14ac:dyDescent="0.35">
      <c r="A12" s="26" t="str">
        <f>'Input Data'!B9</f>
        <v>L06</v>
      </c>
      <c r="B12" s="26" t="str">
        <f>'Input Data'!C9</f>
        <v>6.02</v>
      </c>
      <c r="C12" s="38" t="str">
        <f>'Input Data'!D9</f>
        <v>Sungrow Australia Group</v>
      </c>
      <c r="D12" s="38" t="str">
        <f>'Input Data'!E9</f>
        <v>Sungrow Australia Group Pty Ltd</v>
      </c>
      <c r="E12" s="39">
        <f>'Input Data'!F9</f>
        <v>451.7</v>
      </c>
      <c r="F12" s="40">
        <f>'Input Data'!G9</f>
        <v>45762</v>
      </c>
      <c r="G12" s="40">
        <f>'Input Data'!H9</f>
        <v>47375</v>
      </c>
      <c r="H12" s="41">
        <f>'Input Data'!I9</f>
        <v>4.4000000000000004</v>
      </c>
      <c r="I12" s="43">
        <f ca="1">'Input Data'!V9</f>
        <v>2.9130732375085557</v>
      </c>
      <c r="J12" s="42">
        <f>'Input Data'!J9</f>
        <v>954.5</v>
      </c>
      <c r="K12" s="42">
        <f>'Input Data'!X9</f>
        <v>955</v>
      </c>
      <c r="L12" s="42">
        <f>'Input Data'!Q9</f>
        <v>283260.34999999998</v>
      </c>
      <c r="M12" s="42">
        <f>'Input Data'!L9</f>
        <v>-211720.82</v>
      </c>
      <c r="N12" s="42">
        <f>'Input Data'!M9</f>
        <v>45907.32</v>
      </c>
      <c r="O12" s="42">
        <f>'Input Data'!N9</f>
        <v>7480.2</v>
      </c>
      <c r="P12" s="42">
        <f>'Input Data'!O9+'Input Data'!P9</f>
        <v>10446</v>
      </c>
      <c r="Q12" s="26">
        <f>'Input Data'!R9</f>
        <v>1</v>
      </c>
      <c r="R12" s="27" t="str">
        <f>'Input Data'!S9</f>
        <v>FIXED 3.75%</v>
      </c>
      <c r="S12" s="40">
        <f>IFERROR('Input Data'!T9,"")</f>
        <v>46492</v>
      </c>
      <c r="T12" s="27" t="str">
        <f>'Input Data'!U9</f>
        <v>Semi-Gross</v>
      </c>
      <c r="U12" s="42">
        <f>'Input Data'!Y9</f>
        <v>-0.5</v>
      </c>
      <c r="V12" s="44">
        <f>'Input Data'!Z9</f>
        <v>-5.2356020942408382E-4</v>
      </c>
      <c r="W12" s="39">
        <f ca="1">'Input Data'!W9</f>
        <v>1315.8351813826146</v>
      </c>
      <c r="X12" s="27" t="str">
        <f>'Input Data'!AB9</f>
        <v>BG: $291,050 (6 mths last yr gross rent). Incentive: 50% of rent as abatement. Make Good: $200 psm.</v>
      </c>
    </row>
    <row r="13" spans="1:24" ht="15.75" customHeight="1" x14ac:dyDescent="0.35">
      <c r="A13" s="26" t="str">
        <f>'Input Data'!B12</f>
        <v>L07</v>
      </c>
      <c r="B13" s="26" t="str">
        <f>'Input Data'!C12</f>
        <v>7.01</v>
      </c>
      <c r="C13" s="38" t="str">
        <f>'Input Data'!D12</f>
        <v>Sungrow Australia Group</v>
      </c>
      <c r="D13" s="38" t="str">
        <f>'Input Data'!E12</f>
        <v>Sungrow Australia Group Pty Ltd</v>
      </c>
      <c r="E13" s="39">
        <f>'Input Data'!F12</f>
        <v>484.1</v>
      </c>
      <c r="F13" s="40">
        <f>'Input Data'!G12</f>
        <v>45184</v>
      </c>
      <c r="G13" s="40">
        <f>'Input Data'!H12</f>
        <v>47375</v>
      </c>
      <c r="H13" s="41">
        <f>'Input Data'!I12</f>
        <v>6</v>
      </c>
      <c r="I13" s="43">
        <f ca="1">'Input Data'!V12</f>
        <v>2.9130732375085557</v>
      </c>
      <c r="J13" s="42">
        <f>'Input Data'!J12</f>
        <v>1911.44</v>
      </c>
      <c r="K13" s="42">
        <f>'Input Data'!X12</f>
        <v>1020</v>
      </c>
      <c r="L13" s="42">
        <f>'Input Data'!Q12</f>
        <v>693732.304</v>
      </c>
      <c r="M13" s="42">
        <f>'Input Data'!L12</f>
        <v>-319000.32000000001</v>
      </c>
      <c r="N13" s="42">
        <f>'Input Data'!M12</f>
        <v>49200.480000000003</v>
      </c>
      <c r="O13" s="42">
        <f>'Input Data'!N12</f>
        <v>14069.4</v>
      </c>
      <c r="P13" s="42">
        <f>'Input Data'!O12+'Input Data'!P12</f>
        <v>24134.639999999999</v>
      </c>
      <c r="Q13" s="26">
        <f>'Input Data'!R12</f>
        <v>2</v>
      </c>
      <c r="R13" s="27" t="str">
        <f>'Input Data'!S12</f>
        <v>FIXED 3.75%</v>
      </c>
      <c r="S13" s="40">
        <f>IFERROR('Input Data'!T12,"")</f>
        <v>46645</v>
      </c>
      <c r="T13" s="27" t="str">
        <f>'Input Data'!U12</f>
        <v>Semi-Gross</v>
      </c>
      <c r="U13" s="42">
        <f>'Input Data'!Y12</f>
        <v>891.44</v>
      </c>
      <c r="V13" s="44">
        <f>'Input Data'!Z12</f>
        <v>0.87396078431372559</v>
      </c>
      <c r="W13" s="39">
        <f ca="1">'Input Data'!W12</f>
        <v>1410.218754277892</v>
      </c>
      <c r="X13" s="27" t="str">
        <f>'Input Data'!AB12</f>
        <v>Tandem bays x2. BG: $536,314. Base year FY2021 9.41%. Sept26 TS shows office rent reset to a combined total of $925,326 pa across 7.01+7.02 (849.6 sqm) — PSM above is a blended rate ($925,326/484.1 sqm) to keep this in the existing K=PSM×NLA formula; not a genuine per-sqm market rate, so Var to Mkt for this row is not meaningful. This is an 82% jump on the prior $508k combined rent — flagging for verification against the lease before relying on it.</v>
      </c>
    </row>
    <row r="14" spans="1:24" ht="15.75" customHeight="1" x14ac:dyDescent="0.35">
      <c r="A14" s="26" t="str">
        <f>'Input Data'!B13</f>
        <v>L07</v>
      </c>
      <c r="B14" s="26" t="str">
        <f>'Input Data'!C13</f>
        <v>7.02</v>
      </c>
      <c r="C14" s="38" t="str">
        <f>'Input Data'!D13</f>
        <v>Sungrow Australia Group</v>
      </c>
      <c r="D14" s="38" t="str">
        <f>'Input Data'!E13</f>
        <v>Additional Space (Sungrow)</v>
      </c>
      <c r="E14" s="39">
        <f>'Input Data'!F13</f>
        <v>365.5</v>
      </c>
      <c r="F14" s="40">
        <f>'Input Data'!G13</f>
        <v>45184</v>
      </c>
      <c r="G14" s="40">
        <f>'Input Data'!H13</f>
        <v>47375</v>
      </c>
      <c r="H14" s="41">
        <f>'Input Data'!I13</f>
        <v>6</v>
      </c>
      <c r="I14" s="43">
        <f ca="1">'Input Data'!V13</f>
        <v>2.9130732375085557</v>
      </c>
      <c r="J14" s="42">
        <f>'Input Data'!J13</f>
        <v>0</v>
      </c>
      <c r="K14" s="42">
        <f>'Input Data'!X13</f>
        <v>1020</v>
      </c>
      <c r="L14" s="42">
        <f>'Input Data'!Q13</f>
        <v>37146.720000000001</v>
      </c>
      <c r="M14" s="42">
        <f>'Input Data'!L13</f>
        <v>0</v>
      </c>
      <c r="N14" s="42">
        <f>'Input Data'!M13</f>
        <v>37146.720000000001</v>
      </c>
      <c r="O14" s="42">
        <f>'Input Data'!N13</f>
        <v>0</v>
      </c>
      <c r="P14" s="42">
        <f>'Input Data'!O13+'Input Data'!P13</f>
        <v>0</v>
      </c>
      <c r="Q14" s="26">
        <f>'Input Data'!R13</f>
        <v>0</v>
      </c>
      <c r="R14" s="27" t="str">
        <f>'Input Data'!S13</f>
        <v>FIXED 3.75%</v>
      </c>
      <c r="S14" s="40">
        <f>IFERROR('Input Data'!T13,"")</f>
        <v>46645</v>
      </c>
      <c r="T14" s="27" t="str">
        <f>'Input Data'!U13</f>
        <v>Semi-Gross</v>
      </c>
      <c r="U14" s="42">
        <f>'Input Data'!Y13</f>
        <v>0</v>
      </c>
      <c r="V14" s="44">
        <f>'Input Data'!Z13</f>
        <v>0</v>
      </c>
      <c r="W14" s="39">
        <f ca="1">'Input Data'!W13</f>
        <v>1064.7282683093772</v>
      </c>
      <c r="X14" s="27" t="str">
        <f>'Input Data'!AB13</f>
        <v>Additional space - office rent included in Suite 7.01 totals (same lease). Sept26 TS now shows a separate Outgoings Recoverable charge of $37,146.72 pa billed against this suite.</v>
      </c>
    </row>
    <row r="15" spans="1:24" ht="15.75" customHeight="1" x14ac:dyDescent="0.35">
      <c r="A15" s="26" t="str">
        <f>'Input Data'!B17</f>
        <v>L12</v>
      </c>
      <c r="B15" s="26" t="str">
        <f>'Input Data'!C17</f>
        <v>12.01</v>
      </c>
      <c r="C15" s="38" t="str">
        <f>'Input Data'!D17</f>
        <v>Hulsbosch Design Pty Ltd</v>
      </c>
      <c r="D15" s="38" t="str">
        <f>'Input Data'!E17</f>
        <v>Hulsbosch Design Pty Ltd</v>
      </c>
      <c r="E15" s="39">
        <f>'Input Data'!F17</f>
        <v>251</v>
      </c>
      <c r="F15" s="40">
        <f>'Input Data'!G17</f>
        <v>45962</v>
      </c>
      <c r="G15" s="40">
        <f>'Input Data'!H17</f>
        <v>47787</v>
      </c>
      <c r="H15" s="41">
        <f>'Input Data'!I17</f>
        <v>5</v>
      </c>
      <c r="I15" s="43">
        <f ca="1">'Input Data'!V17</f>
        <v>4.0410677618069819</v>
      </c>
      <c r="J15" s="42">
        <f>'Input Data'!J17</f>
        <v>985</v>
      </c>
      <c r="K15" s="42">
        <f>'Input Data'!X17</f>
        <v>1040</v>
      </c>
      <c r="L15" s="42">
        <f>'Input Data'!Q17</f>
        <v>191159.6</v>
      </c>
      <c r="M15" s="42">
        <f>'Input Data'!L17</f>
        <v>-66750.12</v>
      </c>
      <c r="N15" s="42">
        <f>'Input Data'!M17</f>
        <v>6518.16</v>
      </c>
      <c r="O15" s="42">
        <f>'Input Data'!N17</f>
        <v>4156.5600000000004</v>
      </c>
      <c r="P15" s="42">
        <f>'Input Data'!O17+'Input Data'!P17</f>
        <v>0</v>
      </c>
      <c r="Q15" s="26">
        <f>'Input Data'!R17</f>
        <v>0</v>
      </c>
      <c r="R15" s="27" t="str">
        <f>'Input Data'!S17</f>
        <v>FIXED 3.5%</v>
      </c>
      <c r="S15" s="40">
        <f>IFERROR('Input Data'!T17,"")</f>
        <v>46327</v>
      </c>
      <c r="T15" s="27" t="str">
        <f>'Input Data'!U17</f>
        <v>Semi-Gross</v>
      </c>
      <c r="U15" s="42">
        <f>'Input Data'!Y17</f>
        <v>-55</v>
      </c>
      <c r="V15" s="44">
        <f>'Input Data'!Z17</f>
        <v>-5.2884615384615384E-2</v>
      </c>
      <c r="W15" s="39">
        <f ca="1">'Input Data'!W17</f>
        <v>1014.3080082135525</v>
      </c>
      <c r="X15" s="27" t="str">
        <f>'Input Data'!AB17</f>
        <v>Base year FY25 3.8%. Corrected per Sept26 TS: this row's NLA/financials were previously swapped with Smile Partners (0902) in the master file. Suite 1201 (Hulsbosch) is actually 251 sqm, 01/11/25–31/10/30, 5 yr term — not 344.5 sqm/4.1 yrs as previously recorded. No car park charges shown for this suite on the TS.</v>
      </c>
    </row>
    <row r="16" spans="1:24" ht="18" customHeight="1" x14ac:dyDescent="0.35">
      <c r="A16" s="9" t="s">
        <v>405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15.75" customHeight="1" x14ac:dyDescent="0.35">
      <c r="A17" s="26" t="str">
        <f>'Input Data'!B15</f>
        <v>L08</v>
      </c>
      <c r="B17" s="26" t="str">
        <f>'Input Data'!C15</f>
        <v>8.03</v>
      </c>
      <c r="C17" s="38" t="str">
        <f>'Input Data'!D15</f>
        <v>Can Too Foundation Limited</v>
      </c>
      <c r="D17" s="38" t="str">
        <f>'Input Data'!E15</f>
        <v>Can Too Foundation Limited</v>
      </c>
      <c r="E17" s="39">
        <f>'Input Data'!F15</f>
        <v>116.3</v>
      </c>
      <c r="F17" s="40">
        <f>'Input Data'!G15</f>
        <v>45809</v>
      </c>
      <c r="G17" s="40">
        <f>'Input Data'!H15</f>
        <v>47787</v>
      </c>
      <c r="H17" s="41">
        <f>'Input Data'!I15</f>
        <v>5.4</v>
      </c>
      <c r="I17" s="43">
        <f ca="1">'Input Data'!V15</f>
        <v>4.0410677618069819</v>
      </c>
      <c r="J17" s="42">
        <f>'Input Data'!J15</f>
        <v>1027.1199999999999</v>
      </c>
      <c r="K17" s="42">
        <f>'Input Data'!X15</f>
        <v>990</v>
      </c>
      <c r="L17" s="42">
        <f>'Input Data'!Q15</f>
        <v>76042.555999999982</v>
      </c>
      <c r="M17" s="42">
        <f>'Input Data'!L15</f>
        <v>-48357.54</v>
      </c>
      <c r="N17" s="42">
        <f>'Input Data'!M15</f>
        <v>3020.16</v>
      </c>
      <c r="O17" s="42">
        <f>'Input Data'!N15</f>
        <v>1925.88</v>
      </c>
      <c r="P17" s="42">
        <f>'Input Data'!O15+'Input Data'!P15</f>
        <v>0</v>
      </c>
      <c r="Q17" s="26">
        <f>'Input Data'!R15</f>
        <v>0</v>
      </c>
      <c r="R17" s="27" t="str">
        <f>'Input Data'!S15</f>
        <v>FIXED 3.75%</v>
      </c>
      <c r="S17" s="40">
        <f>IFERROR('Input Data'!T15,"")</f>
        <v>46539</v>
      </c>
      <c r="T17" s="27" t="str">
        <f>'Input Data'!U15</f>
        <v>Semi-Gross</v>
      </c>
      <c r="U17" s="42">
        <f>'Input Data'!Y15</f>
        <v>37.119999999999891</v>
      </c>
      <c r="V17" s="44">
        <f>'Input Data'!Z15</f>
        <v>3.7494949494949387E-2</v>
      </c>
      <c r="W17" s="39">
        <f ca="1">'Input Data'!W15</f>
        <v>469.97618069815201</v>
      </c>
      <c r="X17" s="27" t="str">
        <f>'Input Data'!AB15</f>
        <v>BG: $74,934. Base year 2025 1.29%. Cleaning $15.77 psm.</v>
      </c>
    </row>
    <row r="18" spans="1:24" ht="15.75" customHeight="1" x14ac:dyDescent="0.35">
      <c r="A18" s="26" t="str">
        <f>'Input Data'!B18</f>
        <v>L09</v>
      </c>
      <c r="B18" s="26" t="str">
        <f>'Input Data'!C18</f>
        <v>9.02</v>
      </c>
      <c r="C18" s="38" t="str">
        <f>'Input Data'!D18</f>
        <v>Smile Partners Australia</v>
      </c>
      <c r="D18" s="38" t="str">
        <f>'Input Data'!E18</f>
        <v>Smile Partners Australia Pty Ltd</v>
      </c>
      <c r="E18" s="39">
        <f>'Input Data'!F18</f>
        <v>344.5</v>
      </c>
      <c r="F18" s="40">
        <f>'Input Data'!G18</f>
        <v>45992</v>
      </c>
      <c r="G18" s="40">
        <f>'Input Data'!H18</f>
        <v>47483</v>
      </c>
      <c r="H18" s="41">
        <f>'Input Data'!I18</f>
        <v>4.0999999999999996</v>
      </c>
      <c r="I18" s="43">
        <f ca="1">'Input Data'!V18</f>
        <v>3.2087611225188226</v>
      </c>
      <c r="J18" s="42">
        <f>'Input Data'!J18</f>
        <v>990.29</v>
      </c>
      <c r="K18" s="42">
        <f>'Input Data'!X18</f>
        <v>990</v>
      </c>
      <c r="L18" s="42">
        <f>'Input Data'!Q18</f>
        <v>224063.82499999998</v>
      </c>
      <c r="M18" s="42">
        <f>'Input Data'!L18</f>
        <v>-137802.12</v>
      </c>
      <c r="N18" s="42">
        <f>'Input Data'!M18</f>
        <v>8946.1200000000008</v>
      </c>
      <c r="O18" s="42">
        <f>'Input Data'!N18</f>
        <v>5704.92</v>
      </c>
      <c r="P18" s="42">
        <f>'Input Data'!O18+'Input Data'!P18</f>
        <v>6060</v>
      </c>
      <c r="Q18" s="26">
        <f>'Input Data'!R18</f>
        <v>2</v>
      </c>
      <c r="R18" s="27" t="str">
        <f>'Input Data'!S18</f>
        <v>FIXED 3.5%</v>
      </c>
      <c r="S18" s="40">
        <f>IFERROR('Input Data'!T18,"")</f>
        <v>46357</v>
      </c>
      <c r="T18" s="27" t="str">
        <f>'Input Data'!U18</f>
        <v>Semi-Gross</v>
      </c>
      <c r="U18" s="42">
        <f>'Input Data'!Y18</f>
        <v>0.28999999999996362</v>
      </c>
      <c r="V18" s="44">
        <f>'Input Data'!Z18</f>
        <v>2.929292929292562E-4</v>
      </c>
      <c r="W18" s="39">
        <f ca="1">'Input Data'!W18</f>
        <v>1105.4182067077345</v>
      </c>
      <c r="X18" s="27" t="str">
        <f>'Input Data'!AB18</f>
        <v>Corrected per Sept26 TS: this row's NLA/financials were previously swapped with Hulsbosch Design (1201) in the master file. Suite 0902 (Smile Partners) is actually 344.5 sqm, 01/12/25–31/12/29, 4.1 yr term, 2 car spaces ($6,060 pa levy) — not 251 sqm/5 yrs/no car parks as previously recorded.</v>
      </c>
    </row>
    <row r="19" spans="1:24" ht="15.75" customHeight="1" x14ac:dyDescent="0.35">
      <c r="A19" s="26" t="str">
        <f>'Input Data'!B19</f>
        <v>L12</v>
      </c>
      <c r="B19" s="26" t="str">
        <f>'Input Data'!C19</f>
        <v>12.02</v>
      </c>
      <c r="C19" s="38" t="str">
        <f>'Input Data'!D19</f>
        <v>AEI Insurance Group Pty Ltd</v>
      </c>
      <c r="D19" s="38" t="str">
        <f>'Input Data'!E19</f>
        <v>AEI Insurance Group Pty Ltd</v>
      </c>
      <c r="E19" s="39">
        <f>'Input Data'!F19</f>
        <v>536</v>
      </c>
      <c r="F19" s="40">
        <f>'Input Data'!G19</f>
        <v>45642</v>
      </c>
      <c r="G19" s="40">
        <f>'Input Data'!H19</f>
        <v>47832</v>
      </c>
      <c r="H19" s="41">
        <f>'Input Data'!I19</f>
        <v>6</v>
      </c>
      <c r="I19" s="43">
        <f ca="1">'Input Data'!V19</f>
        <v>4.1642710472279258</v>
      </c>
      <c r="J19" s="42">
        <f>'Input Data'!J19</f>
        <v>988</v>
      </c>
      <c r="K19" s="42">
        <f>'Input Data'!X19</f>
        <v>1010</v>
      </c>
      <c r="L19" s="42">
        <f>'Input Data'!Q19</f>
        <v>638733.19999999995</v>
      </c>
      <c r="M19" s="42">
        <f>'Input Data'!L19</f>
        <v>-51200.76</v>
      </c>
      <c r="N19" s="42">
        <f>'Input Data'!M19</f>
        <v>24542.16</v>
      </c>
      <c r="O19" s="42">
        <f>'Input Data'!N19</f>
        <v>8876.16</v>
      </c>
      <c r="P19" s="42">
        <f>'Input Data'!O19+'Input Data'!P19</f>
        <v>126947.64</v>
      </c>
      <c r="Q19" s="26">
        <f>'Input Data'!R19</f>
        <v>10</v>
      </c>
      <c r="R19" s="27" t="str">
        <f>'Input Data'!S19</f>
        <v>FIXED 4%</v>
      </c>
      <c r="S19" s="40">
        <f>IFERROR('Input Data'!T19,"")</f>
        <v>46372</v>
      </c>
      <c r="T19" s="27" t="str">
        <f>'Input Data'!U19</f>
        <v>Semi-Gross</v>
      </c>
      <c r="U19" s="42">
        <f>'Input Data'!Y19</f>
        <v>-22</v>
      </c>
      <c r="V19" s="44">
        <f>'Input Data'!Z19</f>
        <v>-2.1782178217821781E-2</v>
      </c>
      <c r="W19" s="39">
        <f ca="1">'Input Data'!W19</f>
        <v>2232.0492813141682</v>
      </c>
      <c r="X19" s="27" t="str">
        <f>'Input Data'!AB19</f>
        <v>Option: 6 mths. BG: $440,704 (no expiry). 10 car spaces. Formerly Austbrokers.</v>
      </c>
    </row>
    <row r="20" spans="1:24" ht="18" customHeight="1" x14ac:dyDescent="0.35">
      <c r="A20" s="9" t="s">
        <v>406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ht="15.75" customHeight="1" x14ac:dyDescent="0.35">
      <c r="A21" s="26" t="str">
        <f>'Input Data'!B4</f>
        <v>L03</v>
      </c>
      <c r="B21" s="26" t="str">
        <f>'Input Data'!C4</f>
        <v>3.02</v>
      </c>
      <c r="C21" s="38" t="str">
        <f>'Input Data'!D4</f>
        <v>Fitness First Australia Pty Limited</v>
      </c>
      <c r="D21" s="38" t="str">
        <f>'Input Data'!E4</f>
        <v>Fitness First Australia Pty Limited</v>
      </c>
      <c r="E21" s="39">
        <f>'Input Data'!F4</f>
        <v>795.5</v>
      </c>
      <c r="F21" s="40">
        <f>'Input Data'!G4</f>
        <v>44378</v>
      </c>
      <c r="G21" s="40">
        <f>'Input Data'!H4</f>
        <v>48029</v>
      </c>
      <c r="H21" s="41">
        <f>'Input Data'!I4</f>
        <v>10</v>
      </c>
      <c r="I21" s="43">
        <f ca="1">'Input Data'!V4</f>
        <v>4.7036276522929503</v>
      </c>
      <c r="J21" s="42">
        <f>'Input Data'!J4</f>
        <v>855.7</v>
      </c>
      <c r="K21" s="42">
        <f>'Input Data'!X4</f>
        <v>870</v>
      </c>
      <c r="L21" s="42">
        <f>'Input Data'!Q4</f>
        <v>680709.35000000009</v>
      </c>
      <c r="M21" s="42">
        <f>'Input Data'!L4</f>
        <v>0</v>
      </c>
      <c r="N21" s="42">
        <f>'Input Data'!M4</f>
        <v>0</v>
      </c>
      <c r="O21" s="42">
        <f>'Input Data'!N4</f>
        <v>0</v>
      </c>
      <c r="P21" s="42">
        <f>'Input Data'!O4+'Input Data'!P4</f>
        <v>0</v>
      </c>
      <c r="Q21" s="26">
        <f>'Input Data'!R4</f>
        <v>0</v>
      </c>
      <c r="R21" s="27" t="str">
        <f>'Input Data'!S4</f>
        <v>FIXED 4%</v>
      </c>
      <c r="S21" s="40">
        <f>IFERROR('Input Data'!T4,"")</f>
        <v>46204</v>
      </c>
      <c r="T21" s="27" t="str">
        <f>'Input Data'!U4</f>
        <v>Gross</v>
      </c>
      <c r="U21" s="42">
        <f>'Input Data'!Y4</f>
        <v>-14.299999999999955</v>
      </c>
      <c r="V21" s="44">
        <f>'Input Data'!Z4</f>
        <v>-1.6436781609195351E-2</v>
      </c>
      <c r="W21" s="39">
        <f ca="1">'Input Data'!W4</f>
        <v>3741.735797399042</v>
      </c>
      <c r="X21" s="27" t="str">
        <f>'Input Data'!AB4</f>
        <v>Gross lease - Nil outgoings. Includes direct AC recovery $108.09 psm. Option: 5 yrs (01/07/26-30/06/31).</v>
      </c>
    </row>
    <row r="22" spans="1:24" ht="15.75" customHeight="1" x14ac:dyDescent="0.35">
      <c r="A22" s="26" t="str">
        <f>'Input Data'!B5</f>
        <v>L04</v>
      </c>
      <c r="B22" s="26" t="str">
        <f>'Input Data'!C5</f>
        <v>4.01</v>
      </c>
      <c r="C22" s="38" t="str">
        <f>'Input Data'!D5</f>
        <v>Fitness First Australia Pty Limited</v>
      </c>
      <c r="D22" s="38" t="str">
        <f>'Input Data'!E5</f>
        <v>Fitness First Australia Pty Limited</v>
      </c>
      <c r="E22" s="39">
        <f>'Input Data'!F5</f>
        <v>1047</v>
      </c>
      <c r="F22" s="40">
        <f>'Input Data'!G5</f>
        <v>44378</v>
      </c>
      <c r="G22" s="40">
        <f>'Input Data'!H5</f>
        <v>48029</v>
      </c>
      <c r="H22" s="41">
        <f>'Input Data'!I5</f>
        <v>10</v>
      </c>
      <c r="I22" s="43">
        <f ca="1">'Input Data'!V5</f>
        <v>4.7036276522929503</v>
      </c>
      <c r="J22" s="42">
        <f>'Input Data'!J5</f>
        <v>855.7</v>
      </c>
      <c r="K22" s="42">
        <f>'Input Data'!X5</f>
        <v>870</v>
      </c>
      <c r="L22" s="42">
        <f>'Input Data'!Q5</f>
        <v>906078.3</v>
      </c>
      <c r="M22" s="42">
        <f>'Input Data'!L5</f>
        <v>0</v>
      </c>
      <c r="N22" s="42">
        <f>'Input Data'!M5</f>
        <v>0</v>
      </c>
      <c r="O22" s="42">
        <f>'Input Data'!N5</f>
        <v>0</v>
      </c>
      <c r="P22" s="42">
        <f>'Input Data'!O5+'Input Data'!P5</f>
        <v>10160.4</v>
      </c>
      <c r="Q22" s="26">
        <f>'Input Data'!R5</f>
        <v>1</v>
      </c>
      <c r="R22" s="27" t="str">
        <f>'Input Data'!S5</f>
        <v>FIXED 4%</v>
      </c>
      <c r="S22" s="40">
        <f>IFERROR('Input Data'!T5,"")</f>
        <v>46204</v>
      </c>
      <c r="T22" s="27" t="str">
        <f>'Input Data'!U5</f>
        <v>Gross</v>
      </c>
      <c r="U22" s="42">
        <f>'Input Data'!Y5</f>
        <v>-14.299999999999955</v>
      </c>
      <c r="V22" s="44">
        <f>'Input Data'!Z5</f>
        <v>-1.6436781609195351E-2</v>
      </c>
      <c r="W22" s="39">
        <f ca="1">'Input Data'!W5</f>
        <v>4924.698151950719</v>
      </c>
      <c r="X22" s="27" t="str">
        <f>'Input Data'!AB5</f>
        <v>Gross lease - Nil outgoings. 1 car space.</v>
      </c>
    </row>
    <row r="23" spans="1:24" ht="15.75" customHeight="1" x14ac:dyDescent="0.35">
      <c r="A23" s="26" t="str">
        <f>'Input Data'!B6</f>
        <v>L05</v>
      </c>
      <c r="B23" s="26" t="str">
        <f>'Input Data'!C6</f>
        <v>5.01</v>
      </c>
      <c r="C23" s="38" t="str">
        <f>'Input Data'!D6</f>
        <v>Fitness First Australia Pty Limited</v>
      </c>
      <c r="D23" s="38" t="str">
        <f>'Input Data'!E6</f>
        <v>Fitness First North Sydney</v>
      </c>
      <c r="E23" s="39">
        <f>'Input Data'!F6</f>
        <v>437.1</v>
      </c>
      <c r="F23" s="40">
        <f>'Input Data'!G6</f>
        <v>44378</v>
      </c>
      <c r="G23" s="40">
        <f>'Input Data'!H6</f>
        <v>48029</v>
      </c>
      <c r="H23" s="41">
        <f>'Input Data'!I6</f>
        <v>10</v>
      </c>
      <c r="I23" s="43">
        <f ca="1">'Input Data'!V6</f>
        <v>4.7036276522929503</v>
      </c>
      <c r="J23" s="42">
        <f>'Input Data'!J6</f>
        <v>855.7</v>
      </c>
      <c r="K23" s="42">
        <f>'Input Data'!X6</f>
        <v>870</v>
      </c>
      <c r="L23" s="42">
        <f>'Input Data'!Q6</f>
        <v>377056.47000000003</v>
      </c>
      <c r="M23" s="42">
        <f>'Input Data'!L6</f>
        <v>0</v>
      </c>
      <c r="N23" s="42">
        <f>'Input Data'!M6</f>
        <v>0</v>
      </c>
      <c r="O23" s="42">
        <f>'Input Data'!N6</f>
        <v>0</v>
      </c>
      <c r="P23" s="42">
        <f>'Input Data'!O6+'Input Data'!P6</f>
        <v>3030</v>
      </c>
      <c r="Q23" s="26">
        <f>'Input Data'!R6</f>
        <v>0</v>
      </c>
      <c r="R23" s="27" t="str">
        <f>'Input Data'!S6</f>
        <v>FIXED 4%</v>
      </c>
      <c r="S23" s="40">
        <f>IFERROR('Input Data'!T6,"")</f>
        <v>46204</v>
      </c>
      <c r="T23" s="27" t="str">
        <f>'Input Data'!U6</f>
        <v>Gross</v>
      </c>
      <c r="U23" s="42">
        <f>'Input Data'!Y6</f>
        <v>-14.299999999999955</v>
      </c>
      <c r="V23" s="44">
        <f>'Input Data'!Z6</f>
        <v>-1.6436781609195351E-2</v>
      </c>
      <c r="W23" s="39">
        <f ca="1">'Input Data'!W6</f>
        <v>2055.9556468172486</v>
      </c>
      <c r="X23" s="27" t="str">
        <f>'Input Data'!AB6</f>
        <v>Gross lease - Nil outgoings. Car park levy only.</v>
      </c>
    </row>
    <row r="24" spans="1:24" ht="15.75" customHeight="1" x14ac:dyDescent="0.35">
      <c r="A24" s="26" t="str">
        <f>'Input Data'!B11</f>
        <v>L06</v>
      </c>
      <c r="B24" s="26" t="str">
        <f>'Input Data'!C11</f>
        <v>6.04</v>
      </c>
      <c r="C24" s="38" t="str">
        <f>'Input Data'!D11</f>
        <v>Elekta Pty Limited</v>
      </c>
      <c r="D24" s="38" t="str">
        <f>'Input Data'!E11</f>
        <v>Elekta Pty Limited</v>
      </c>
      <c r="E24" s="39">
        <f>'Input Data'!F11</f>
        <v>267.89999999999998</v>
      </c>
      <c r="F24" s="40">
        <f>'Input Data'!G11</f>
        <v>45870</v>
      </c>
      <c r="G24" s="40">
        <f>'Input Data'!H11</f>
        <v>48426</v>
      </c>
      <c r="H24" s="41">
        <f>'Input Data'!I11</f>
        <v>7</v>
      </c>
      <c r="I24" s="43">
        <f ca="1">'Input Data'!V11</f>
        <v>5.7905544147843946</v>
      </c>
      <c r="J24" s="42">
        <f>'Input Data'!J11</f>
        <v>954.5</v>
      </c>
      <c r="K24" s="42">
        <f>'Input Data'!X11</f>
        <v>955</v>
      </c>
      <c r="L24" s="42">
        <f>'Input Data'!Q11</f>
        <v>171546.74999999997</v>
      </c>
      <c r="M24" s="42">
        <f>'Input Data'!L11</f>
        <v>-98587.199999999997</v>
      </c>
      <c r="N24" s="42">
        <f>'Input Data'!M11</f>
        <v>6957</v>
      </c>
      <c r="O24" s="42">
        <f>'Input Data'!N11</f>
        <v>4436.3999999999996</v>
      </c>
      <c r="P24" s="42">
        <f>'Input Data'!O11+'Input Data'!P11</f>
        <v>3030</v>
      </c>
      <c r="Q24" s="26">
        <f>'Input Data'!R11</f>
        <v>1</v>
      </c>
      <c r="R24" s="27" t="str">
        <f>'Input Data'!S11</f>
        <v>FIXED (3.75%)</v>
      </c>
      <c r="S24" s="40">
        <f>IFERROR('Input Data'!T11,"")</f>
        <v>46600</v>
      </c>
      <c r="T24" s="27" t="str">
        <f>'Input Data'!U11</f>
        <v>Semi-Gross</v>
      </c>
      <c r="U24" s="42">
        <f>'Input Data'!Y11</f>
        <v>-0.5</v>
      </c>
      <c r="V24" s="44">
        <f>'Input Data'!Z11</f>
        <v>-5.2356020942408382E-4</v>
      </c>
      <c r="W24" s="39">
        <f ca="1">'Input Data'!W11</f>
        <v>1551.2895277207392</v>
      </c>
      <c r="X24" s="27" t="str">
        <f>'Input Data'!AB11</f>
        <v>New lease 01/08/25. BG: $210,969. Abatement: $2,576 psm over term. Outgoings 2.95% base FY2025.</v>
      </c>
    </row>
    <row r="25" spans="1:24" ht="18" customHeight="1" x14ac:dyDescent="0.35">
      <c r="A25" s="162" t="str">
        <f>'Input Data'!B24</f>
        <v>L11</v>
      </c>
      <c r="B25" s="162" t="str">
        <f>'Input Data'!C24</f>
        <v>11.02</v>
      </c>
      <c r="C25" s="162" t="str">
        <f>'Input Data'!D24</f>
        <v>Haskoning Australia Pty Ltd</v>
      </c>
      <c r="D25" s="162" t="str">
        <f>'Input Data'!E24</f>
        <v>Haskoning Australia Pty Ltd</v>
      </c>
      <c r="E25" s="163">
        <f>'Input Data'!F24</f>
        <v>548</v>
      </c>
      <c r="F25" s="164">
        <f>'Input Data'!G24</f>
        <v>46296</v>
      </c>
      <c r="G25" s="164">
        <f>'Input Data'!H24</f>
        <v>48487</v>
      </c>
      <c r="H25" s="165">
        <f>'Input Data'!I24</f>
        <v>6</v>
      </c>
      <c r="I25" s="166">
        <f ca="1">'Input Data'!V24</f>
        <v>5.9575633127994525</v>
      </c>
      <c r="J25" s="167">
        <f>'Input Data'!J24</f>
        <v>1040</v>
      </c>
      <c r="K25" s="167">
        <f>'Input Data'!X24</f>
        <v>1040</v>
      </c>
      <c r="L25" s="167">
        <f>'Input Data'!Q24</f>
        <v>458074.66666666669</v>
      </c>
      <c r="M25" s="167">
        <f>'Input Data'!L24</f>
        <v>-111845.33333333333</v>
      </c>
      <c r="N25" s="167">
        <f>'Input Data'!M24</f>
        <v>0</v>
      </c>
      <c r="O25" s="167">
        <f>'Input Data'!N24</f>
        <v>0</v>
      </c>
      <c r="P25" s="162">
        <f>'Input Data'!O24+'Input Data'!P24</f>
        <v>0</v>
      </c>
      <c r="Q25" s="162">
        <f>'Input Data'!R24</f>
        <v>0</v>
      </c>
      <c r="R25" s="162" t="str">
        <f>'Input Data'!S24</f>
        <v>FIXED 3.5%</v>
      </c>
      <c r="S25" s="164">
        <f>IFERROR('Input Data'!T24,"")</f>
        <v>46661</v>
      </c>
      <c r="T25" s="167">
        <f>'Input Data'!Y24</f>
        <v>0</v>
      </c>
      <c r="U25" s="178">
        <f>'Input Data'!Z24</f>
        <v>0</v>
      </c>
      <c r="V25" s="163">
        <f ca="1">'Input Data'!W24</f>
        <v>3264.7446954141001</v>
      </c>
      <c r="W25" s="162" t="str">
        <f>'Input Data'!AB24</f>
        <v>Haskoning Australia Pty Ltd — new lease commencing 01/10/26, 6 yr term, $1,040 psm, fixed 3.5% review. Fitout contribution $750,400 (landlord funded). Outgoings/cleaning/car park TBC pending TS confirmation. Next review date estimated.</v>
      </c>
      <c r="X25" s="18"/>
    </row>
    <row r="26" spans="1:24" ht="15.75" customHeight="1" x14ac:dyDescent="0.35">
      <c r="A26" s="26" t="str">
        <f>'Input Data'!B23</f>
        <v>L11</v>
      </c>
      <c r="B26" s="26" t="str">
        <f>'Input Data'!C23</f>
        <v>11.01</v>
      </c>
      <c r="C26" s="38" t="str">
        <f>'Input Data'!D23</f>
        <v>Luxasia</v>
      </c>
      <c r="D26" s="38" t="str">
        <f>'Input Data'!E23</f>
        <v>LUXASIA</v>
      </c>
      <c r="E26" s="39">
        <f>'Input Data'!F23</f>
        <v>242.5</v>
      </c>
      <c r="F26" s="40">
        <f>'Input Data'!G23</f>
        <v>46296</v>
      </c>
      <c r="G26" s="40">
        <f>'Input Data'!H23</f>
        <v>48121</v>
      </c>
      <c r="H26" s="41">
        <f>'Input Data'!I23</f>
        <v>5</v>
      </c>
      <c r="I26" s="43">
        <f ca="1">'Input Data'!V23</f>
        <v>4.9555099247091032</v>
      </c>
      <c r="J26" s="42">
        <f>'Input Data'!J23</f>
        <v>1060</v>
      </c>
      <c r="K26" s="42">
        <f>'Input Data'!X23</f>
        <v>1060</v>
      </c>
      <c r="L26" s="42">
        <f>'Input Data'!Q23</f>
        <v>266749.52</v>
      </c>
      <c r="M26" s="42">
        <f>'Input Data'!L23</f>
        <v>-25705</v>
      </c>
      <c r="N26" s="42">
        <f>'Input Data'!M23</f>
        <v>9728.7199999999993</v>
      </c>
      <c r="O26" s="42">
        <f>'Input Data'!N23</f>
        <v>4015.8</v>
      </c>
      <c r="P26" s="42">
        <f>'Input Data'!O23+'Input Data'!P23</f>
        <v>21660</v>
      </c>
      <c r="Q26" s="26">
        <f>'Input Data'!R23</f>
        <v>2</v>
      </c>
      <c r="R26" s="27" t="str">
        <f>'Input Data'!S23</f>
        <v>FIXED 3.75%</v>
      </c>
      <c r="S26" s="40">
        <f>IFERROR('Input Data'!T23,"")</f>
        <v>46661</v>
      </c>
      <c r="T26" s="27" t="str">
        <f>'Input Data'!U23</f>
        <v>Semi-Gross</v>
      </c>
      <c r="U26" s="42">
        <f>'Input Data'!Y23</f>
        <v>0</v>
      </c>
      <c r="V26" s="44">
        <f>'Input Data'!Z23</f>
        <v>0</v>
      </c>
      <c r="W26" s="39">
        <f ca="1">'Input Data'!W23</f>
        <v>1201.7111567419574</v>
      </c>
      <c r="X26" s="27" t="str">
        <f>'Input Data'!AB23</f>
        <v>Break at 3 years. Lease commenced 1/10/26, 5 yr term, $1,060 psm. Incentive: landlord fitout contribution $369,812.50 (see Fitout Costs register) + rent abatement totalling $192,787.50 over the term — Yr 1-3 $25,705 pa (reflected in Abatement PA), Yr 4-5 $57,836.25 pa. Abatement PA will need manual updating to -$57,836.25 from the Yr 4 anniversary (1/10/29).</v>
      </c>
    </row>
    <row r="27" spans="1:24" ht="15.75" customHeight="1" x14ac:dyDescent="0.35">
      <c r="A27" s="162" t="str">
        <f>'Input Data'!B20</f>
        <v>L06</v>
      </c>
      <c r="B27" s="162" t="str">
        <f>'Input Data'!C20</f>
        <v>6.01</v>
      </c>
      <c r="C27" s="162" t="str">
        <f>'Input Data'!D20</f>
        <v>Caldas Constructions Pty Ltd</v>
      </c>
      <c r="D27" s="162" t="str">
        <f>'Input Data'!E20</f>
        <v>Caldas Constructions Pty Ltd</v>
      </c>
      <c r="E27" s="163">
        <f>'Input Data'!F20</f>
        <v>186.4</v>
      </c>
      <c r="F27" s="164">
        <f>'Input Data'!G20</f>
        <v>46204</v>
      </c>
      <c r="G27" s="164">
        <f>'Input Data'!H20</f>
        <v>48395</v>
      </c>
      <c r="H27" s="165">
        <f>'Input Data'!I20</f>
        <v>6</v>
      </c>
      <c r="I27" s="166">
        <f ca="1">'Input Data'!V20</f>
        <v>5.7056810403832987</v>
      </c>
      <c r="J27" s="167">
        <f>'Input Data'!J20</f>
        <v>920</v>
      </c>
      <c r="K27" s="167">
        <f>'Input Data'!X20</f>
        <v>0</v>
      </c>
      <c r="L27" s="167">
        <f>'Input Data'!Q20</f>
        <v>-340767</v>
      </c>
      <c r="M27" s="167">
        <f>'Input Data'!L20</f>
        <v>-512255</v>
      </c>
      <c r="N27" s="167">
        <f>'Input Data'!M20</f>
        <v>0</v>
      </c>
      <c r="O27" s="167">
        <f>'Input Data'!N20</f>
        <v>0</v>
      </c>
      <c r="P27" s="162">
        <f>'Input Data'!O20+'Input Data'!P20</f>
        <v>0</v>
      </c>
      <c r="Q27" s="162">
        <f>'Input Data'!R20</f>
        <v>0</v>
      </c>
      <c r="R27" s="162">
        <f>'Input Data'!S20</f>
        <v>0</v>
      </c>
      <c r="S27" s="164">
        <f>IFERROR('Input Data'!T20,"")</f>
        <v>0</v>
      </c>
      <c r="T27" s="167">
        <f>'Input Data'!U20</f>
        <v>0</v>
      </c>
      <c r="U27" s="178">
        <f>'Input Data'!Y20</f>
        <v>920</v>
      </c>
      <c r="V27" s="163">
        <f>'Input Data'!Z20</f>
        <v>0</v>
      </c>
      <c r="W27" s="163">
        <f ca="1">'Input Data'!W20</f>
        <v>1063.538945927447</v>
      </c>
      <c r="X27" s="18" t="str">
        <f>'Input Data'!AB20</f>
        <v>Caldas Constructions — new lease 01/07/26 (corrected from 30/06/26), 6 yr term, $920 psm. Prepaid rent held (no BG). Outgoings/cleaning/car park still TBC pending TS confirmation (still NIL on Sept26 TS). Tenant legal name corrected to "Caldas" (previously "Caladas").</v>
      </c>
    </row>
    <row r="28" spans="1:24" ht="15.75" customHeight="1" x14ac:dyDescent="0.35">
      <c r="A28" s="66" t="s">
        <v>413</v>
      </c>
      <c r="B28" s="66"/>
      <c r="C28" s="67"/>
      <c r="D28" s="66"/>
      <c r="E28" s="68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179"/>
    </row>
    <row r="29" spans="1:24" ht="15.75" customHeight="1" x14ac:dyDescent="0.35">
      <c r="A29" s="66" t="str">
        <f>'Input Data'!B21</f>
        <v>L10</v>
      </c>
      <c r="B29" s="66" t="str">
        <f>'Input Data'!C21</f>
        <v>10.01</v>
      </c>
      <c r="C29" s="67" t="str">
        <f>'Input Data'!D21</f>
        <v>VACANT</v>
      </c>
      <c r="D29" s="66">
        <f>'Input Data'!E21</f>
        <v>0</v>
      </c>
      <c r="E29" s="68">
        <f>'Input Data'!F21</f>
        <v>438</v>
      </c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179">
        <f>'Input Data'!AB21</f>
        <v>0</v>
      </c>
    </row>
    <row r="30" spans="1:24" ht="19.5" customHeight="1" x14ac:dyDescent="0.35">
      <c r="A30" s="66" t="str">
        <f>'Input Data'!B22</f>
        <v>L10</v>
      </c>
      <c r="B30" s="66" t="str">
        <f>'Input Data'!C22</f>
        <v>10.02</v>
      </c>
      <c r="C30" s="67" t="str">
        <f>'Input Data'!D22</f>
        <v>VACANT</v>
      </c>
      <c r="D30" s="66">
        <f>'Input Data'!E22</f>
        <v>0</v>
      </c>
      <c r="E30" s="68">
        <f>'Input Data'!F22</f>
        <v>349</v>
      </c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179">
        <f>'Input Data'!AB22</f>
        <v>0</v>
      </c>
    </row>
    <row r="31" spans="1:24" ht="14.25" customHeight="1" x14ac:dyDescent="0.35">
      <c r="A31" s="180"/>
      <c r="B31" s="181"/>
      <c r="C31" s="181"/>
      <c r="D31" s="181"/>
      <c r="E31" s="182"/>
      <c r="F31" s="170"/>
      <c r="G31" s="170"/>
      <c r="H31" s="18"/>
      <c r="I31" s="171"/>
      <c r="J31" s="18"/>
      <c r="K31" s="18"/>
      <c r="L31" s="172"/>
      <c r="M31" s="18"/>
      <c r="N31" s="18"/>
      <c r="O31" s="18"/>
      <c r="P31" s="18"/>
      <c r="Q31" s="18"/>
      <c r="R31" s="18"/>
      <c r="S31" s="18"/>
      <c r="T31" s="18"/>
      <c r="U31" s="172"/>
      <c r="V31" s="183"/>
      <c r="W31" s="169"/>
      <c r="X31" s="184"/>
    </row>
    <row r="32" spans="1:24" ht="14.25" customHeight="1" x14ac:dyDescent="0.35">
      <c r="A32" s="78" t="s">
        <v>408</v>
      </c>
      <c r="B32" s="18"/>
      <c r="C32" s="18"/>
      <c r="D32" s="18"/>
      <c r="E32" s="79">
        <f>SUM('Input Data'!F3:F24)</f>
        <v>8940.9000000000015</v>
      </c>
      <c r="F32" s="86"/>
      <c r="G32" s="86"/>
      <c r="H32" s="86"/>
      <c r="I32" s="185">
        <f ca="1">IFERROR(SUMPRODUCT(('Input Data'!H3:H24&lt;&gt;"")*'Input Data'!F3:F24*MAX(('Input Data'!H3:H24-TODAY())/365.25,0))/SUMPRODUCT(('Input Data'!H3:H24&lt;&gt;"")*'Input Data'!F3:F24),0)</f>
        <v>5.9575633127994525</v>
      </c>
      <c r="J32" s="177">
        <f>SUMPRODUCT(('Input Data'!H3:H24&lt;&gt;"")*'Input Data'!J3:J24*'Input Data'!F3:F24)/SUMPRODUCT(('Input Data'!H3:H24&lt;&gt;"")*'Input Data'!F3:F24)</f>
        <v>978.84472988385926</v>
      </c>
      <c r="K32" s="86"/>
      <c r="L32" s="80">
        <f>SUM('Input Data'!Q3:Q24)</f>
        <v>6606792.7196666664</v>
      </c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</row>
  </sheetData>
  <mergeCells count="6">
    <mergeCell ref="A20:X20"/>
    <mergeCell ref="A1:X1"/>
    <mergeCell ref="A3:X3"/>
    <mergeCell ref="A6:X6"/>
    <mergeCell ref="A9:X9"/>
    <mergeCell ref="A16:X16"/>
  </mergeCells>
  <pageMargins left="0.75" right="0.75" top="1" bottom="1" header="0.5" footer="0.5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5"/>
  <sheetViews>
    <sheetView showGridLines="0" topLeftCell="C8" zoomScaleNormal="100" workbookViewId="0">
      <selection activeCell="N15" sqref="N15"/>
    </sheetView>
  </sheetViews>
  <sheetFormatPr defaultColWidth="8.6328125" defaultRowHeight="14.5" x14ac:dyDescent="0.35"/>
  <cols>
    <col min="1" max="1" width="1.54296875" customWidth="1"/>
    <col min="2" max="2" width="8" customWidth="1"/>
    <col min="3" max="3" width="14.6328125" customWidth="1"/>
    <col min="4" max="4" width="28" customWidth="1"/>
    <col min="5" max="6" width="12" customWidth="1"/>
    <col min="7" max="7" width="14" customWidth="1"/>
    <col min="8" max="9" width="12" customWidth="1"/>
    <col min="10" max="10" width="14" customWidth="1"/>
    <col min="11" max="13" width="13" customWidth="1"/>
    <col min="14" max="14" width="42.36328125" customWidth="1"/>
    <col min="15" max="15" width="1.54296875" customWidth="1"/>
    <col min="16" max="16" width="50.26953125" customWidth="1"/>
  </cols>
  <sheetData>
    <row r="1" spans="1:16" ht="30" customHeight="1" x14ac:dyDescent="0.35">
      <c r="A1" s="305" t="s">
        <v>414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</row>
    <row r="2" spans="1:16" ht="15.75" customHeight="1" x14ac:dyDescent="0.35">
      <c r="A2" s="306" t="s">
        <v>415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</row>
    <row r="3" spans="1:16" ht="7.5" customHeight="1" x14ac:dyDescent="0.35"/>
    <row r="4" spans="1:16" ht="19.5" customHeight="1" x14ac:dyDescent="0.35">
      <c r="B4" s="307" t="s">
        <v>416</v>
      </c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</row>
    <row r="5" spans="1:16" ht="21.75" customHeight="1" x14ac:dyDescent="0.35">
      <c r="B5" s="308" t="s">
        <v>417</v>
      </c>
      <c r="C5" s="308"/>
      <c r="E5" s="308" t="s">
        <v>418</v>
      </c>
      <c r="F5" s="308"/>
      <c r="H5" s="308" t="s">
        <v>419</v>
      </c>
      <c r="I5" s="308"/>
      <c r="K5" s="308" t="s">
        <v>420</v>
      </c>
      <c r="L5" s="308"/>
    </row>
    <row r="6" spans="1:16" ht="21.75" customHeight="1" x14ac:dyDescent="0.35">
      <c r="B6" s="309">
        <f>COUNTIF(G10:G32,"Yes")</f>
        <v>10</v>
      </c>
      <c r="C6" s="309"/>
      <c r="E6" s="310">
        <f>SUMIF(G10:G32,"Yes",H10:H32)</f>
        <v>0</v>
      </c>
      <c r="F6" s="310"/>
      <c r="H6" s="309">
        <f ca="1">COUNTIF(L10:L32,"Overdue")+COUNTIF(L10:L32,"Due &lt; 6 Mths")</f>
        <v>0</v>
      </c>
      <c r="I6" s="309"/>
      <c r="K6" s="309" t="s">
        <v>421</v>
      </c>
      <c r="L6" s="309"/>
    </row>
    <row r="7" spans="1:16" ht="7.5" customHeight="1" x14ac:dyDescent="0.35"/>
    <row r="8" spans="1:16" ht="19.5" customHeight="1" x14ac:dyDescent="0.35">
      <c r="B8" s="311" t="s">
        <v>422</v>
      </c>
      <c r="C8" s="311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</row>
    <row r="9" spans="1:16" ht="36" customHeight="1" x14ac:dyDescent="0.35">
      <c r="B9" s="186" t="s">
        <v>61</v>
      </c>
      <c r="C9" s="186" t="s">
        <v>272</v>
      </c>
      <c r="D9" s="186" t="s">
        <v>63</v>
      </c>
      <c r="E9" s="186" t="s">
        <v>423</v>
      </c>
      <c r="F9" s="186" t="s">
        <v>424</v>
      </c>
      <c r="G9" s="186" t="s">
        <v>425</v>
      </c>
      <c r="H9" s="186" t="s">
        <v>426</v>
      </c>
      <c r="I9" s="186" t="s">
        <v>427</v>
      </c>
      <c r="J9" s="186" t="s">
        <v>428</v>
      </c>
      <c r="K9" s="186" t="s">
        <v>429</v>
      </c>
      <c r="L9" s="186" t="s">
        <v>430</v>
      </c>
      <c r="M9" s="186" t="s">
        <v>431</v>
      </c>
      <c r="N9" s="186" t="s">
        <v>432</v>
      </c>
      <c r="P9" s="186" t="s">
        <v>433</v>
      </c>
    </row>
    <row r="10" spans="1:16" ht="30" customHeight="1" x14ac:dyDescent="0.35">
      <c r="B10" s="187" t="s">
        <v>93</v>
      </c>
      <c r="C10" s="187" t="s">
        <v>92</v>
      </c>
      <c r="D10" s="188" t="str">
        <f>IFERROR(INDEX('Input Data'!D:D,MATCH("0301",'Input Data'!$A:$A,0)),"")</f>
        <v>Sydney Smiletree Pty Ltd</v>
      </c>
      <c r="E10" s="189">
        <f>IFERROR(INDEX('Input Data'!H:H,MATCH("0301",'Input Data'!$A:$A,0)),"")</f>
        <v>47118</v>
      </c>
      <c r="F10" s="190" t="s">
        <v>434</v>
      </c>
      <c r="G10" s="187" t="s">
        <v>435</v>
      </c>
      <c r="H10" s="191"/>
      <c r="I10" s="192">
        <f>IFERROR(H10/INDEX('Input Data'!F:F,MATCH("0301",'Input Data'!$A:$A,0)),"")</f>
        <v>0</v>
      </c>
      <c r="J10" s="191"/>
      <c r="K10" s="187" t="s">
        <v>436</v>
      </c>
      <c r="L10" s="187" t="str">
        <f t="shared" ref="L10:L32" ca="1" si="0">IF(OR(E10="—",E10="N/A",E10="",F10="N/A"),"N/A",IF(NOT(ISNUMBER(E10)),"N/A",IF(E10&lt;TODAY(),"Overdue",IF(E10&lt;TODAY()+183,"Due &lt; 6 Mths",IF(E10&lt;TODAY()+365,"Due &lt; 12 Mths","Not Due")))))</f>
        <v>Not Due</v>
      </c>
      <c r="M10" s="187" t="s">
        <v>437</v>
      </c>
      <c r="N10" s="193" t="s">
        <v>438</v>
      </c>
      <c r="P10" s="194" t="s">
        <v>438</v>
      </c>
    </row>
    <row r="11" spans="1:16" ht="30" customHeight="1" x14ac:dyDescent="0.35">
      <c r="B11" s="25" t="s">
        <v>93</v>
      </c>
      <c r="C11" s="25" t="s">
        <v>102</v>
      </c>
      <c r="D11" s="134" t="str">
        <f>IFERROR(INDEX('Input Data'!D:D,MATCH("0302",'Input Data'!$A:$A,0)),"")</f>
        <v>Fitness First Australia Pty Limited</v>
      </c>
      <c r="E11" s="195">
        <f>IFERROR(INDEX('Input Data'!H:H,MATCH("0302",'Input Data'!$A:$A,0)),"")</f>
        <v>48029</v>
      </c>
      <c r="F11" s="25" t="s">
        <v>309</v>
      </c>
      <c r="G11" s="25" t="s">
        <v>309</v>
      </c>
      <c r="H11" s="191"/>
      <c r="I11" s="192">
        <f>IFERROR(H11/INDEX('Input Data'!F:F,MATCH("0302",'Input Data'!$A:$A,0)),"")</f>
        <v>0</v>
      </c>
      <c r="J11" s="191"/>
      <c r="K11" s="25" t="s">
        <v>436</v>
      </c>
      <c r="L11" s="25" t="str">
        <f t="shared" ca="1" si="0"/>
        <v>Not Due</v>
      </c>
      <c r="M11" s="25" t="s">
        <v>437</v>
      </c>
      <c r="N11" s="196" t="s">
        <v>439</v>
      </c>
      <c r="P11" s="194"/>
    </row>
    <row r="12" spans="1:16" ht="30" customHeight="1" x14ac:dyDescent="0.35">
      <c r="B12" s="187" t="s">
        <v>110</v>
      </c>
      <c r="C12" s="187" t="s">
        <v>109</v>
      </c>
      <c r="D12" s="188" t="str">
        <f>IFERROR(INDEX('Input Data'!D:D,MATCH("0401",'Input Data'!$A:$A,0)),"")</f>
        <v>Fitness First Australia Pty Limited</v>
      </c>
      <c r="E12" s="189">
        <f>IFERROR(INDEX('Input Data'!H:H,MATCH("0401",'Input Data'!$A:$A,0)),"")</f>
        <v>48029</v>
      </c>
      <c r="F12" s="187" t="s">
        <v>309</v>
      </c>
      <c r="G12" s="187" t="s">
        <v>309</v>
      </c>
      <c r="H12" s="191"/>
      <c r="I12" s="192">
        <f>IFERROR(H12/INDEX('Input Data'!F:F,MATCH("0401",'Input Data'!$A:$A,0)),"")</f>
        <v>0</v>
      </c>
      <c r="J12" s="191"/>
      <c r="K12" s="187" t="s">
        <v>436</v>
      </c>
      <c r="L12" s="187" t="str">
        <f t="shared" ca="1" si="0"/>
        <v>Not Due</v>
      </c>
      <c r="M12" s="187" t="s">
        <v>437</v>
      </c>
      <c r="N12" s="193" t="s">
        <v>439</v>
      </c>
      <c r="P12" s="194"/>
    </row>
    <row r="13" spans="1:16" ht="30" customHeight="1" x14ac:dyDescent="0.35">
      <c r="B13" s="25" t="s">
        <v>115</v>
      </c>
      <c r="C13" s="25" t="s">
        <v>114</v>
      </c>
      <c r="D13" s="134" t="str">
        <f>IFERROR(INDEX('Input Data'!D:D,MATCH("0501",'Input Data'!$A:$A,0)),"")</f>
        <v>Fitness First Australia Pty Limited</v>
      </c>
      <c r="E13" s="195">
        <f>IFERROR(INDEX('Input Data'!H:H,MATCH("0501",'Input Data'!$A:$A,0)),"")</f>
        <v>48029</v>
      </c>
      <c r="F13" s="25" t="s">
        <v>309</v>
      </c>
      <c r="G13" s="25" t="s">
        <v>309</v>
      </c>
      <c r="H13" s="191"/>
      <c r="I13" s="192">
        <f>IFERROR(H13/INDEX('Input Data'!F:F,MATCH("0501",'Input Data'!$A:$A,0)),"")</f>
        <v>0</v>
      </c>
      <c r="J13" s="191"/>
      <c r="K13" s="25" t="s">
        <v>436</v>
      </c>
      <c r="L13" s="25" t="str">
        <f t="shared" ca="1" si="0"/>
        <v>Not Due</v>
      </c>
      <c r="M13" s="25" t="s">
        <v>437</v>
      </c>
      <c r="N13" s="196" t="s">
        <v>440</v>
      </c>
      <c r="P13" s="194"/>
    </row>
    <row r="14" spans="1:16" ht="45" customHeight="1" x14ac:dyDescent="0.35">
      <c r="B14" s="187" t="s">
        <v>115</v>
      </c>
      <c r="C14" s="187" t="s">
        <v>120</v>
      </c>
      <c r="D14" s="188" t="str">
        <f>IFERROR(INDEX('Input Data'!D:D,MATCH("0503",'Input Data'!$A:$A,0)),"")</f>
        <v>Asterx Pty Ltd</v>
      </c>
      <c r="E14" s="189">
        <f>IFERROR(INDEX('Input Data'!H:H,MATCH("0503",'Input Data'!$A:$A,0)),"")</f>
        <v>47299</v>
      </c>
      <c r="F14" s="187" t="s">
        <v>309</v>
      </c>
      <c r="G14" s="187" t="s">
        <v>435</v>
      </c>
      <c r="H14" s="191"/>
      <c r="I14" s="192">
        <f>IFERROR(H14/INDEX('Input Data'!F:F,MATCH("0503",'Input Data'!$A:$A,0)),"")</f>
        <v>0</v>
      </c>
      <c r="J14" s="191"/>
      <c r="K14" s="187" t="s">
        <v>436</v>
      </c>
      <c r="L14" s="187" t="str">
        <f t="shared" ca="1" si="0"/>
        <v>Not Due</v>
      </c>
      <c r="M14" s="187" t="s">
        <v>437</v>
      </c>
      <c r="N14" s="193" t="s">
        <v>441</v>
      </c>
      <c r="P14" s="194" t="s">
        <v>442</v>
      </c>
    </row>
    <row r="15" spans="1:16" ht="30" customHeight="1" x14ac:dyDescent="0.35">
      <c r="B15" s="25" t="s">
        <v>115</v>
      </c>
      <c r="C15" s="25" t="s">
        <v>129</v>
      </c>
      <c r="D15" s="134" t="str">
        <f>IFERROR(INDEX('Input Data'!D:D,MATCH("0504",'Input Data'!$A:$A,0)),"")</f>
        <v>Auctionsplus Pty Ltd</v>
      </c>
      <c r="E15" s="195">
        <f>IFERROR(INDEX('Input Data'!H:H,MATCH("0504",'Input Data'!$A:$A,0)),"")</f>
        <v>47177</v>
      </c>
      <c r="F15" s="25" t="s">
        <v>309</v>
      </c>
      <c r="G15" s="25" t="s">
        <v>435</v>
      </c>
      <c r="H15" s="191"/>
      <c r="I15" s="192">
        <f>IFERROR(H15/INDEX('Input Data'!F:F,MATCH("0504",'Input Data'!$A:$A,0)),"")</f>
        <v>0</v>
      </c>
      <c r="J15" s="191"/>
      <c r="K15" s="25" t="s">
        <v>436</v>
      </c>
      <c r="L15" s="25" t="str">
        <f t="shared" ca="1" si="0"/>
        <v>Not Due</v>
      </c>
      <c r="M15" s="25" t="s">
        <v>437</v>
      </c>
      <c r="N15" s="196" t="s">
        <v>443</v>
      </c>
      <c r="P15" s="194" t="s">
        <v>444</v>
      </c>
    </row>
    <row r="16" spans="1:16" ht="45" customHeight="1" x14ac:dyDescent="0.35">
      <c r="B16" s="187" t="s">
        <v>136</v>
      </c>
      <c r="C16" s="187" t="s">
        <v>206</v>
      </c>
      <c r="D16" s="188" t="str">
        <f>IFERROR(INDEX('Input Data'!D:D,MATCH("0601",'Input Data'!$A:$A,0)),"")</f>
        <v>Caldas Constructions Pty Ltd</v>
      </c>
      <c r="E16" s="189">
        <f>IFERROR(INDEX('Input Data'!H:H,MATCH("0601",'Input Data'!$A:$A,0)),"")</f>
        <v>48395</v>
      </c>
      <c r="F16" s="187" t="s">
        <v>309</v>
      </c>
      <c r="G16" s="187" t="s">
        <v>435</v>
      </c>
      <c r="H16" s="191"/>
      <c r="I16" s="192">
        <f>IFERROR(H16/INDEX('Input Data'!F:F,MATCH("0601",'Input Data'!$A:$A,0)),"")</f>
        <v>0</v>
      </c>
      <c r="J16" s="191"/>
      <c r="K16" s="187" t="s">
        <v>436</v>
      </c>
      <c r="L16" s="187" t="str">
        <f t="shared" ca="1" si="0"/>
        <v>Not Due</v>
      </c>
      <c r="M16" s="187" t="s">
        <v>437</v>
      </c>
      <c r="N16" s="193" t="s">
        <v>445</v>
      </c>
      <c r="P16" s="194" t="s">
        <v>446</v>
      </c>
    </row>
    <row r="17" spans="2:16" ht="30" customHeight="1" x14ac:dyDescent="0.35">
      <c r="B17" s="25" t="s">
        <v>136</v>
      </c>
      <c r="C17" s="25" t="s">
        <v>135</v>
      </c>
      <c r="D17" s="134" t="str">
        <f>IFERROR(INDEX('Input Data'!D:D,MATCH("0602",'Input Data'!$A:$A,0)),"")</f>
        <v>Sungrow Australia Group</v>
      </c>
      <c r="E17" s="195">
        <f>IFERROR(INDEX('Input Data'!H:H,MATCH("0602",'Input Data'!$A:$A,0)),"")</f>
        <v>47375</v>
      </c>
      <c r="F17" s="25" t="s">
        <v>309</v>
      </c>
      <c r="G17" s="25" t="s">
        <v>435</v>
      </c>
      <c r="H17" s="191"/>
      <c r="I17" s="192">
        <f>IFERROR(H17/INDEX('Input Data'!F:F,MATCH("0602",'Input Data'!$A:$A,0)),"")</f>
        <v>0</v>
      </c>
      <c r="J17" s="191"/>
      <c r="K17" s="25" t="s">
        <v>436</v>
      </c>
      <c r="L17" s="25" t="str">
        <f t="shared" ca="1" si="0"/>
        <v>Not Due</v>
      </c>
      <c r="M17" s="25" t="s">
        <v>437</v>
      </c>
      <c r="N17" s="196" t="s">
        <v>447</v>
      </c>
      <c r="P17" s="194" t="s">
        <v>448</v>
      </c>
    </row>
    <row r="18" spans="2:16" ht="30" customHeight="1" x14ac:dyDescent="0.35">
      <c r="B18" s="187" t="s">
        <v>136</v>
      </c>
      <c r="C18" s="187" t="s">
        <v>144</v>
      </c>
      <c r="D18" s="188" t="str">
        <f>IFERROR(INDEX('Input Data'!D:D,MATCH("0603",'Input Data'!$A:$A,0)),"")</f>
        <v>Keeping Company Pty Ltd</v>
      </c>
      <c r="E18" s="189">
        <f>IFERROR(INDEX('Input Data'!H:H,MATCH("0603",'Input Data'!$A:$A,0)),"")</f>
        <v>46538</v>
      </c>
      <c r="F18" s="187" t="s">
        <v>309</v>
      </c>
      <c r="G18" s="187" t="s">
        <v>309</v>
      </c>
      <c r="H18" s="191"/>
      <c r="I18" s="192">
        <f>IFERROR(H18/INDEX('Input Data'!F:F,MATCH("0603",'Input Data'!$A:$A,0)),"")</f>
        <v>0</v>
      </c>
      <c r="J18" s="191"/>
      <c r="K18" s="187" t="s">
        <v>436</v>
      </c>
      <c r="L18" s="187" t="str">
        <f t="shared" ca="1" si="0"/>
        <v>Due &lt; 12 Mths</v>
      </c>
      <c r="M18" s="187" t="s">
        <v>437</v>
      </c>
      <c r="N18" s="193" t="s">
        <v>449</v>
      </c>
      <c r="P18" s="194"/>
    </row>
    <row r="19" spans="2:16" ht="30" customHeight="1" x14ac:dyDescent="0.35">
      <c r="B19" s="25" t="s">
        <v>136</v>
      </c>
      <c r="C19" s="25" t="s">
        <v>150</v>
      </c>
      <c r="D19" s="134" t="str">
        <f>IFERROR(INDEX('Input Data'!D:D,MATCH("0604",'Input Data'!$A:$A,0)),"")</f>
        <v>Elekta Pty Limited</v>
      </c>
      <c r="E19" s="195">
        <f>IFERROR(INDEX('Input Data'!H:H,MATCH("0604",'Input Data'!$A:$A,0)),"")</f>
        <v>48426</v>
      </c>
      <c r="F19" s="25" t="s">
        <v>309</v>
      </c>
      <c r="G19" s="25" t="s">
        <v>309</v>
      </c>
      <c r="H19" s="191"/>
      <c r="I19" s="192">
        <f>IFERROR(H19/INDEX('Input Data'!F:F,MATCH("0604",'Input Data'!$A:$A,0)),"")</f>
        <v>0</v>
      </c>
      <c r="J19" s="191"/>
      <c r="K19" s="25" t="s">
        <v>436</v>
      </c>
      <c r="L19" s="25" t="str">
        <f t="shared" ca="1" si="0"/>
        <v>Not Due</v>
      </c>
      <c r="M19" s="25" t="s">
        <v>437</v>
      </c>
      <c r="N19" s="196" t="s">
        <v>450</v>
      </c>
      <c r="P19" s="194"/>
    </row>
    <row r="20" spans="2:16" ht="45" customHeight="1" x14ac:dyDescent="0.35">
      <c r="B20" s="187" t="s">
        <v>158</v>
      </c>
      <c r="C20" s="187" t="s">
        <v>157</v>
      </c>
      <c r="D20" s="188" t="str">
        <f>IFERROR(INDEX('Input Data'!D:D,MATCH("0701",'Input Data'!$A:$A,0)),"")</f>
        <v>Sungrow Australia Group</v>
      </c>
      <c r="E20" s="189">
        <f>IFERROR(INDEX('Input Data'!H:H,MATCH("0701",'Input Data'!$A:$A,0)),"")</f>
        <v>47375</v>
      </c>
      <c r="F20" s="187" t="s">
        <v>309</v>
      </c>
      <c r="G20" s="187" t="s">
        <v>435</v>
      </c>
      <c r="H20" s="191"/>
      <c r="I20" s="192">
        <f>IFERROR(H20/INDEX('Input Data'!F:F,MATCH("0701",'Input Data'!$A:$A,0)),"")</f>
        <v>0</v>
      </c>
      <c r="J20" s="191"/>
      <c r="K20" s="187" t="s">
        <v>436</v>
      </c>
      <c r="L20" s="187" t="str">
        <f t="shared" ca="1" si="0"/>
        <v>Not Due</v>
      </c>
      <c r="M20" s="187" t="s">
        <v>437</v>
      </c>
      <c r="N20" s="193" t="s">
        <v>451</v>
      </c>
      <c r="P20" s="194" t="s">
        <v>452</v>
      </c>
    </row>
    <row r="21" spans="2:16" ht="30" customHeight="1" x14ac:dyDescent="0.35">
      <c r="B21" s="25" t="s">
        <v>158</v>
      </c>
      <c r="C21" s="25" t="s">
        <v>163</v>
      </c>
      <c r="D21" s="134" t="str">
        <f>IFERROR(INDEX('Input Data'!D:D,MATCH("0702",'Input Data'!$A:$A,0)),"")</f>
        <v>Sungrow Australia Group</v>
      </c>
      <c r="E21" s="195">
        <f>IFERROR(INDEX('Input Data'!H:H,MATCH("0702",'Input Data'!$A:$A,0)),"")</f>
        <v>47375</v>
      </c>
      <c r="F21" s="25" t="s">
        <v>309</v>
      </c>
      <c r="G21" s="25" t="s">
        <v>435</v>
      </c>
      <c r="H21" s="191"/>
      <c r="I21" s="192">
        <f>IFERROR(H21/INDEX('Input Data'!F:F,MATCH("0702",'Input Data'!$A:$A,0)),"")</f>
        <v>0</v>
      </c>
      <c r="J21" s="191"/>
      <c r="K21" s="25" t="s">
        <v>436</v>
      </c>
      <c r="L21" s="25" t="str">
        <f t="shared" ca="1" si="0"/>
        <v>Not Due</v>
      </c>
      <c r="M21" s="25" t="s">
        <v>437</v>
      </c>
      <c r="N21" s="196" t="s">
        <v>453</v>
      </c>
      <c r="P21" s="194" t="s">
        <v>454</v>
      </c>
    </row>
    <row r="22" spans="2:16" ht="19.5" customHeight="1" x14ac:dyDescent="0.35">
      <c r="B22" s="187" t="s">
        <v>170</v>
      </c>
      <c r="C22" s="187" t="s">
        <v>169</v>
      </c>
      <c r="D22" s="188" t="str">
        <f>IFERROR(INDEX('Input Data'!D:D,MATCH("0801",'Input Data'!$A:$A,0)),"")</f>
        <v>Vanderlande Industries Australia Pty Ltd</v>
      </c>
      <c r="E22" s="189">
        <f>IFERROR(INDEX('Input Data'!H:H,MATCH("0801",'Input Data'!$A:$A,0)),"")</f>
        <v>46934</v>
      </c>
      <c r="F22" s="187" t="s">
        <v>309</v>
      </c>
      <c r="G22" s="187" t="s">
        <v>435</v>
      </c>
      <c r="H22" s="191"/>
      <c r="I22" s="192">
        <f>IFERROR(H22/INDEX('Input Data'!F:F,MATCH("0801",'Input Data'!$A:$A,0)),"")</f>
        <v>0</v>
      </c>
      <c r="J22" s="191"/>
      <c r="K22" s="187" t="s">
        <v>436</v>
      </c>
      <c r="L22" s="187" t="str">
        <f t="shared" ca="1" si="0"/>
        <v>Not Due</v>
      </c>
      <c r="M22" s="187" t="s">
        <v>437</v>
      </c>
      <c r="N22" s="193" t="s">
        <v>455</v>
      </c>
      <c r="P22" s="194" t="s">
        <v>456</v>
      </c>
    </row>
    <row r="23" spans="2:16" ht="30" customHeight="1" x14ac:dyDescent="0.35">
      <c r="B23" s="25" t="s">
        <v>170</v>
      </c>
      <c r="C23" s="25" t="s">
        <v>457</v>
      </c>
      <c r="D23" s="134" t="s">
        <v>172</v>
      </c>
      <c r="E23" s="25" t="s">
        <v>458</v>
      </c>
      <c r="F23" s="25" t="s">
        <v>309</v>
      </c>
      <c r="G23" s="25" t="s">
        <v>435</v>
      </c>
      <c r="H23" s="191"/>
      <c r="I23" s="192" t="str">
        <f>IFERROR(H23/INDEX('Input Data'!F:F,MATCH("0802",'Input Data'!$A:$A,0)),"")</f>
        <v/>
      </c>
      <c r="J23" s="191"/>
      <c r="K23" s="25" t="s">
        <v>436</v>
      </c>
      <c r="L23" s="25" t="str">
        <f t="shared" ca="1" si="0"/>
        <v>N/A</v>
      </c>
      <c r="M23" s="25" t="s">
        <v>437</v>
      </c>
      <c r="N23" s="196" t="s">
        <v>459</v>
      </c>
      <c r="P23" s="194"/>
    </row>
    <row r="24" spans="2:16" ht="30" customHeight="1" x14ac:dyDescent="0.35">
      <c r="B24" s="187" t="s">
        <v>170</v>
      </c>
      <c r="C24" s="187" t="s">
        <v>176</v>
      </c>
      <c r="D24" s="188" t="str">
        <f>IFERROR(INDEX('Input Data'!D:D,MATCH("0803",'Input Data'!$A:$A,0)),"")</f>
        <v>Can Too Foundation Limited</v>
      </c>
      <c r="E24" s="189">
        <f>IFERROR(INDEX('Input Data'!H:H,MATCH("0803",'Input Data'!$A:$A,0)),"")</f>
        <v>47787</v>
      </c>
      <c r="F24" s="187" t="s">
        <v>309</v>
      </c>
      <c r="G24" s="187" t="s">
        <v>309</v>
      </c>
      <c r="H24" s="191"/>
      <c r="I24" s="192">
        <f>IFERROR(H24/INDEX('Input Data'!F:F,MATCH("0803",'Input Data'!$A:$A,0)),"")</f>
        <v>0</v>
      </c>
      <c r="J24" s="191"/>
      <c r="K24" s="187" t="s">
        <v>436</v>
      </c>
      <c r="L24" s="187" t="str">
        <f t="shared" ca="1" si="0"/>
        <v>Not Due</v>
      </c>
      <c r="M24" s="187" t="s">
        <v>437</v>
      </c>
      <c r="N24" s="193" t="s">
        <v>460</v>
      </c>
      <c r="P24" s="194"/>
    </row>
    <row r="25" spans="2:16" ht="30" customHeight="1" x14ac:dyDescent="0.35">
      <c r="B25" s="25" t="s">
        <v>183</v>
      </c>
      <c r="C25" s="25" t="s">
        <v>182</v>
      </c>
      <c r="D25" s="134" t="str">
        <f>IFERROR(INDEX('Input Data'!D:D,MATCH("0901",'Input Data'!$A:$A,0)),"")</f>
        <v>Pitt &amp; Sherry (Operations) Pty Ltd</v>
      </c>
      <c r="E25" s="195">
        <f>IFERROR(INDEX('Input Data'!H:H,MATCH("0901",'Input Data'!$A:$A,0)),"")</f>
        <v>46571</v>
      </c>
      <c r="F25" s="25" t="s">
        <v>309</v>
      </c>
      <c r="G25" s="25" t="s">
        <v>435</v>
      </c>
      <c r="H25" s="191"/>
      <c r="I25" s="192">
        <f>IFERROR(H25/INDEX('Input Data'!F:F,MATCH("0901",'Input Data'!$A:$A,0)),"")</f>
        <v>0</v>
      </c>
      <c r="J25" s="191"/>
      <c r="K25" s="25" t="s">
        <v>436</v>
      </c>
      <c r="L25" s="25" t="str">
        <f t="shared" ca="1" si="0"/>
        <v>Due &lt; 12 Mths</v>
      </c>
      <c r="M25" s="25" t="s">
        <v>437</v>
      </c>
      <c r="N25" s="196" t="s">
        <v>461</v>
      </c>
      <c r="P25" s="194" t="s">
        <v>462</v>
      </c>
    </row>
    <row r="26" spans="2:16" ht="30" customHeight="1" x14ac:dyDescent="0.35">
      <c r="B26" s="187" t="s">
        <v>183</v>
      </c>
      <c r="C26" s="187" t="s">
        <v>195</v>
      </c>
      <c r="D26" s="188" t="str">
        <f>IFERROR(INDEX('Input Data'!D:D,MATCH("0902",'Input Data'!$A:$A,0)),"")</f>
        <v>Smile Partners Australia</v>
      </c>
      <c r="E26" s="189">
        <f>IFERROR(INDEX('Input Data'!H:H,MATCH("0902",'Input Data'!$A:$A,0)),"")</f>
        <v>47483</v>
      </c>
      <c r="F26" s="187" t="s">
        <v>309</v>
      </c>
      <c r="G26" s="187" t="s">
        <v>309</v>
      </c>
      <c r="H26" s="191"/>
      <c r="I26" s="192">
        <f>IFERROR(H26/INDEX('Input Data'!F:F,MATCH("0902",'Input Data'!$A:$A,0)),"")</f>
        <v>0</v>
      </c>
      <c r="J26" s="191"/>
      <c r="K26" s="187" t="s">
        <v>436</v>
      </c>
      <c r="L26" s="187" t="str">
        <f t="shared" ca="1" si="0"/>
        <v>Not Due</v>
      </c>
      <c r="M26" s="187" t="s">
        <v>437</v>
      </c>
      <c r="N26" s="193" t="s">
        <v>463</v>
      </c>
      <c r="P26" s="194"/>
    </row>
    <row r="27" spans="2:16" ht="19.5" customHeight="1" x14ac:dyDescent="0.35">
      <c r="B27" s="25" t="s">
        <v>212</v>
      </c>
      <c r="C27" s="25" t="s">
        <v>211</v>
      </c>
      <c r="D27" s="134" t="str">
        <f>IFERROR(INDEX('Input Data'!D:D,MATCH("1001",'Input Data'!$A:$A,0)),"")</f>
        <v>VACANT</v>
      </c>
      <c r="E27" s="195">
        <f>IFERROR(INDEX('Input Data'!H:H,MATCH("1001",'Input Data'!$A:$A,0)),"")</f>
        <v>0</v>
      </c>
      <c r="F27" s="25" t="s">
        <v>464</v>
      </c>
      <c r="G27" s="25" t="s">
        <v>464</v>
      </c>
      <c r="H27" s="191"/>
      <c r="I27" s="192">
        <f>IFERROR(H27/INDEX('Input Data'!F:F,MATCH("1001",'Input Data'!$A:$A,0)),"")</f>
        <v>0</v>
      </c>
      <c r="J27" s="191"/>
      <c r="K27" s="25" t="s">
        <v>436</v>
      </c>
      <c r="L27" s="25" t="str">
        <f t="shared" ca="1" si="0"/>
        <v>N/A</v>
      </c>
      <c r="M27" s="25" t="s">
        <v>437</v>
      </c>
      <c r="N27" s="196" t="s">
        <v>465</v>
      </c>
      <c r="P27" s="194"/>
    </row>
    <row r="28" spans="2:16" ht="19.5" customHeight="1" x14ac:dyDescent="0.35">
      <c r="B28" s="187" t="s">
        <v>212</v>
      </c>
      <c r="C28" s="187" t="s">
        <v>215</v>
      </c>
      <c r="D28" s="188" t="str">
        <f>IFERROR(INDEX('Input Data'!D:D,MATCH("1002",'Input Data'!$A:$A,0)),"")</f>
        <v>VACANT</v>
      </c>
      <c r="E28" s="189">
        <f>IFERROR(INDEX('Input Data'!H:H,MATCH("1002",'Input Data'!$A:$A,0)),"")</f>
        <v>0</v>
      </c>
      <c r="F28" s="187" t="s">
        <v>464</v>
      </c>
      <c r="G28" s="187" t="s">
        <v>464</v>
      </c>
      <c r="H28" s="191"/>
      <c r="I28" s="192">
        <f>IFERROR(H28/INDEX('Input Data'!F:F,MATCH("1002",'Input Data'!$A:$A,0)),"")</f>
        <v>0</v>
      </c>
      <c r="J28" s="191"/>
      <c r="K28" s="187" t="s">
        <v>436</v>
      </c>
      <c r="L28" s="187" t="str">
        <f t="shared" ca="1" si="0"/>
        <v>N/A</v>
      </c>
      <c r="M28" s="187" t="s">
        <v>437</v>
      </c>
      <c r="N28" s="193" t="s">
        <v>465</v>
      </c>
      <c r="P28" s="194"/>
    </row>
    <row r="29" spans="2:16" ht="19.5" customHeight="1" x14ac:dyDescent="0.35">
      <c r="B29" s="25" t="s">
        <v>218</v>
      </c>
      <c r="C29" s="25" t="s">
        <v>217</v>
      </c>
      <c r="D29" s="134" t="str">
        <f>IFERROR(INDEX('Input Data'!D:D,MATCH("1101",'Input Data'!$A:$A,0)),"")</f>
        <v>Luxasia</v>
      </c>
      <c r="E29" s="195">
        <f>IFERROR(INDEX('Input Data'!H:H,MATCH("1101",'Input Data'!$A:$A,0)),"")</f>
        <v>48121</v>
      </c>
      <c r="F29" s="25" t="s">
        <v>309</v>
      </c>
      <c r="G29" s="25" t="s">
        <v>309</v>
      </c>
      <c r="H29" s="191"/>
      <c r="I29" s="192">
        <f>IFERROR(H29/INDEX('Input Data'!F:F,MATCH("1101",'Input Data'!$A:$A,0)),"")</f>
        <v>0</v>
      </c>
      <c r="J29" s="191"/>
      <c r="K29" s="25" t="s">
        <v>436</v>
      </c>
      <c r="L29" s="25" t="str">
        <f t="shared" ca="1" si="0"/>
        <v>Not Due</v>
      </c>
      <c r="M29" s="25" t="s">
        <v>437</v>
      </c>
      <c r="N29" s="196" t="s">
        <v>466</v>
      </c>
      <c r="P29" s="194"/>
    </row>
    <row r="30" spans="2:16" ht="30" customHeight="1" x14ac:dyDescent="0.35">
      <c r="B30" s="187" t="s">
        <v>218</v>
      </c>
      <c r="C30" s="187" t="s">
        <v>223</v>
      </c>
      <c r="D30" s="188" t="str">
        <f>IFERROR(INDEX('Input Data'!D:D,MATCH("1102",'Input Data'!$A:$A,0)),"")</f>
        <v>Haskoning Australia Pty Ltd</v>
      </c>
      <c r="E30" s="189">
        <f>IFERROR(INDEX('Input Data'!H:H,MATCH("1102",'Input Data'!$A:$A,0)),"")</f>
        <v>48487</v>
      </c>
      <c r="F30" s="187" t="s">
        <v>309</v>
      </c>
      <c r="G30" s="187" t="s">
        <v>309</v>
      </c>
      <c r="H30" s="191"/>
      <c r="I30" s="192">
        <f>IFERROR(H30/INDEX('Input Data'!F:F,MATCH("1102",'Input Data'!$A:$A,0)),"")</f>
        <v>0</v>
      </c>
      <c r="J30" s="191"/>
      <c r="K30" s="187" t="s">
        <v>436</v>
      </c>
      <c r="L30" s="187" t="str">
        <f t="shared" ca="1" si="0"/>
        <v>Not Due</v>
      </c>
      <c r="M30" s="187" t="s">
        <v>437</v>
      </c>
      <c r="N30" s="193" t="s">
        <v>467</v>
      </c>
      <c r="P30" s="194"/>
    </row>
    <row r="31" spans="2:16" ht="30" customHeight="1" x14ac:dyDescent="0.35">
      <c r="B31" s="25" t="s">
        <v>190</v>
      </c>
      <c r="C31" s="25" t="s">
        <v>189</v>
      </c>
      <c r="D31" s="134" t="str">
        <f>IFERROR(INDEX('Input Data'!D:D,MATCH("1201",'Input Data'!$A:$A,0)),"")</f>
        <v>Hulsbosch Design Pty Ltd</v>
      </c>
      <c r="E31" s="195">
        <f>IFERROR(INDEX('Input Data'!H:H,MATCH("1201",'Input Data'!$A:$A,0)),"")</f>
        <v>47787</v>
      </c>
      <c r="F31" s="25" t="s">
        <v>309</v>
      </c>
      <c r="G31" s="25" t="s">
        <v>309</v>
      </c>
      <c r="H31" s="191"/>
      <c r="I31" s="192">
        <f>IFERROR(H31/INDEX('Input Data'!F:F,MATCH("1201",'Input Data'!$A:$A,0)),"")</f>
        <v>0</v>
      </c>
      <c r="J31" s="191"/>
      <c r="K31" s="25" t="s">
        <v>436</v>
      </c>
      <c r="L31" s="25" t="str">
        <f t="shared" ca="1" si="0"/>
        <v>Not Due</v>
      </c>
      <c r="M31" s="25" t="s">
        <v>437</v>
      </c>
      <c r="N31" s="196" t="s">
        <v>468</v>
      </c>
      <c r="P31" s="194"/>
    </row>
    <row r="32" spans="2:16" ht="30" customHeight="1" x14ac:dyDescent="0.35">
      <c r="B32" s="187" t="s">
        <v>190</v>
      </c>
      <c r="C32" s="187" t="s">
        <v>200</v>
      </c>
      <c r="D32" s="188" t="str">
        <f>IFERROR(INDEX('Input Data'!D:D,MATCH("1202",'Input Data'!$A:$A,0)),"")</f>
        <v>AEI Insurance Group Pty Ltd</v>
      </c>
      <c r="E32" s="189">
        <f>IFERROR(INDEX('Input Data'!H:H,MATCH("1202",'Input Data'!$A:$A,0)),"")</f>
        <v>47832</v>
      </c>
      <c r="F32" s="187" t="s">
        <v>309</v>
      </c>
      <c r="G32" s="187" t="s">
        <v>309</v>
      </c>
      <c r="H32" s="191"/>
      <c r="I32" s="192">
        <f>IFERROR(H32/INDEX('Input Data'!F:F,MATCH("1202",'Input Data'!$A:$A,0)),"")</f>
        <v>0</v>
      </c>
      <c r="J32" s="191"/>
      <c r="K32" s="187" t="s">
        <v>436</v>
      </c>
      <c r="L32" s="187" t="str">
        <f t="shared" ca="1" si="0"/>
        <v>Not Due</v>
      </c>
      <c r="M32" s="187" t="s">
        <v>437</v>
      </c>
      <c r="N32" s="193" t="s">
        <v>469</v>
      </c>
      <c r="P32" s="194"/>
    </row>
    <row r="33" spans="2:14" ht="19.5" customHeight="1" x14ac:dyDescent="0.35"/>
    <row r="34" spans="2:14" ht="19.5" customHeight="1" x14ac:dyDescent="0.35">
      <c r="B34" s="307" t="s">
        <v>470</v>
      </c>
      <c r="C34" s="307"/>
      <c r="D34" s="307"/>
      <c r="E34" s="307"/>
      <c r="F34" s="307"/>
      <c r="G34" s="307"/>
      <c r="H34" s="307"/>
      <c r="I34" s="307"/>
      <c r="J34" s="307"/>
      <c r="K34" s="307"/>
      <c r="L34" s="307"/>
      <c r="M34" s="307"/>
      <c r="N34" s="307"/>
    </row>
    <row r="35" spans="2:14" ht="18" customHeight="1" x14ac:dyDescent="0.35">
      <c r="B35" s="197"/>
      <c r="C35" s="312" t="s">
        <v>471</v>
      </c>
      <c r="D35" s="312"/>
      <c r="E35" s="198"/>
      <c r="F35" s="312" t="s">
        <v>472</v>
      </c>
      <c r="G35" s="312"/>
      <c r="H35" s="198"/>
      <c r="I35" s="312" t="s">
        <v>473</v>
      </c>
      <c r="J35" s="312"/>
      <c r="K35" s="199"/>
      <c r="L35" s="312" t="s">
        <v>474</v>
      </c>
      <c r="M35" s="312"/>
    </row>
  </sheetData>
  <mergeCells count="17">
    <mergeCell ref="B34:N34"/>
    <mergeCell ref="C35:D35"/>
    <mergeCell ref="F35:G35"/>
    <mergeCell ref="I35:J35"/>
    <mergeCell ref="L35:M35"/>
    <mergeCell ref="B6:C6"/>
    <mergeCell ref="E6:F6"/>
    <mergeCell ref="H6:I6"/>
    <mergeCell ref="K6:L6"/>
    <mergeCell ref="B8:P8"/>
    <mergeCell ref="A1:N1"/>
    <mergeCell ref="A2:N2"/>
    <mergeCell ref="B4:M4"/>
    <mergeCell ref="B5:C5"/>
    <mergeCell ref="E5:F5"/>
    <mergeCell ref="H5:I5"/>
    <mergeCell ref="K5:L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09"/>
  <sheetViews>
    <sheetView showGridLines="0" topLeftCell="A45" zoomScale="85" zoomScaleNormal="85" workbookViewId="0">
      <selection activeCell="I87" sqref="I87"/>
    </sheetView>
  </sheetViews>
  <sheetFormatPr defaultColWidth="8.6328125" defaultRowHeight="14.5" x14ac:dyDescent="0.35"/>
  <cols>
    <col min="1" max="1" width="1.453125" customWidth="1"/>
    <col min="2" max="2" width="10" customWidth="1"/>
    <col min="3" max="3" width="9" customWidth="1"/>
    <col min="4" max="28" width="7" customWidth="1"/>
    <col min="29" max="29" width="1.453125" customWidth="1"/>
  </cols>
  <sheetData>
    <row r="1" spans="1:30" ht="33.75" customHeight="1" x14ac:dyDescent="0.35">
      <c r="A1" s="313" t="s">
        <v>475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  <c r="AA1" s="313"/>
      <c r="AB1" s="313"/>
      <c r="AC1" s="313"/>
      <c r="AD1" s="313"/>
    </row>
    <row r="2" spans="1:30" ht="15" customHeight="1" x14ac:dyDescent="0.35">
      <c r="A2" s="304" t="s">
        <v>476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  <c r="AD2" s="304"/>
    </row>
    <row r="3" spans="1:30" ht="21.75" customHeight="1" x14ac:dyDescent="0.35">
      <c r="A3" s="18"/>
      <c r="B3" s="23" t="s">
        <v>61</v>
      </c>
      <c r="C3" s="23" t="s">
        <v>477</v>
      </c>
      <c r="D3" s="257" t="s">
        <v>478</v>
      </c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  <c r="AC3" s="18"/>
      <c r="AD3" s="18"/>
    </row>
    <row r="4" spans="1:30" ht="6.75" customHeight="1" x14ac:dyDescent="0.35">
      <c r="A4" s="18"/>
      <c r="B4" s="86"/>
      <c r="C4" s="86"/>
      <c r="D4" s="314"/>
      <c r="E4" s="314"/>
      <c r="F4" s="314"/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14"/>
      <c r="V4" s="314"/>
      <c r="W4" s="314"/>
      <c r="X4" s="314"/>
      <c r="Y4" s="314"/>
      <c r="Z4" s="314"/>
      <c r="AA4" s="314"/>
      <c r="AB4" s="314"/>
      <c r="AC4" s="18"/>
      <c r="AD4" s="18"/>
    </row>
    <row r="5" spans="1:30" ht="18" customHeight="1" x14ac:dyDescent="0.35">
      <c r="A5" s="18"/>
      <c r="B5" s="315" t="s">
        <v>479</v>
      </c>
      <c r="C5" s="316">
        <v>787</v>
      </c>
      <c r="D5" s="317" t="str">
        <f>IFERROR(INDEX('Input Data'!D:D,MATCH("12.01",'Input Data'!C:C,0)),"—")</f>
        <v>Hulsbosch Design Pty Ltd</v>
      </c>
      <c r="E5" s="317"/>
      <c r="F5" s="317"/>
      <c r="G5" s="317"/>
      <c r="H5" s="317"/>
      <c r="I5" s="317"/>
      <c r="J5" s="317"/>
      <c r="K5" s="317"/>
      <c r="L5" s="318" t="str">
        <f>IFERROR(INDEX('Input Data'!D:D,MATCH("12.02",'Input Data'!C:C,0)),"—")</f>
        <v>AEI Insurance Group Pty Ltd</v>
      </c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18"/>
      <c r="AD5" s="18"/>
    </row>
    <row r="6" spans="1:30" ht="13.5" customHeight="1" x14ac:dyDescent="0.35">
      <c r="A6" s="18"/>
      <c r="B6" s="315"/>
      <c r="C6" s="315"/>
      <c r="D6" s="319" t="str">
        <f>IFERROR("12.01 — "&amp;INDEX('Input Data'!B:B,MATCH("12.01",'Input Data'!C:C,0)),"—")</f>
        <v>12.01 — L12</v>
      </c>
      <c r="E6" s="319"/>
      <c r="F6" s="319"/>
      <c r="G6" s="319"/>
      <c r="H6" s="319"/>
      <c r="I6" s="319"/>
      <c r="J6" s="319"/>
      <c r="K6" s="319"/>
      <c r="L6" s="320" t="str">
        <f>IFERROR("12.02 — "&amp;INDEX('Input Data'!B:B,MATCH("12.02",'Input Data'!C:C,0)),"—")</f>
        <v>12.02 — L12</v>
      </c>
      <c r="M6" s="320"/>
      <c r="N6" s="320"/>
      <c r="O6" s="320"/>
      <c r="P6" s="320"/>
      <c r="Q6" s="320"/>
      <c r="R6" s="320"/>
      <c r="S6" s="320"/>
      <c r="T6" s="320"/>
      <c r="U6" s="320"/>
      <c r="V6" s="320"/>
      <c r="W6" s="320"/>
      <c r="X6" s="320"/>
      <c r="Y6" s="320"/>
      <c r="Z6" s="320"/>
      <c r="AA6" s="320"/>
      <c r="AB6" s="320"/>
      <c r="AC6" s="18"/>
      <c r="AD6" s="18"/>
    </row>
    <row r="7" spans="1:30" ht="13.5" customHeight="1" x14ac:dyDescent="0.35">
      <c r="A7" s="18"/>
      <c r="B7" s="315"/>
      <c r="C7" s="315"/>
      <c r="D7" s="319" t="str">
        <f>IFERROR(TEXT(INDEX('Input Data'!F:F,MATCH("12.01",'Input Data'!C:C,0)),"#,##0.0")&amp;" sqm","—")</f>
        <v>251.0 sqm</v>
      </c>
      <c r="E7" s="319"/>
      <c r="F7" s="319"/>
      <c r="G7" s="319"/>
      <c r="H7" s="319"/>
      <c r="I7" s="319"/>
      <c r="J7" s="319"/>
      <c r="K7" s="319"/>
      <c r="L7" s="320" t="str">
        <f>IFERROR(TEXT(INDEX('Input Data'!F:F,MATCH("12.02",'Input Data'!C:C,0)),"#,##0.0")&amp;" sqm","—")</f>
        <v>536.0 sqm</v>
      </c>
      <c r="M7" s="320"/>
      <c r="N7" s="320"/>
      <c r="O7" s="320"/>
      <c r="P7" s="320"/>
      <c r="Q7" s="320"/>
      <c r="R7" s="320"/>
      <c r="S7" s="320"/>
      <c r="T7" s="320"/>
      <c r="U7" s="320"/>
      <c r="V7" s="320"/>
      <c r="W7" s="320"/>
      <c r="X7" s="320"/>
      <c r="Y7" s="320"/>
      <c r="Z7" s="320"/>
      <c r="AA7" s="320"/>
      <c r="AB7" s="320"/>
      <c r="AC7" s="18"/>
      <c r="AD7" s="18"/>
    </row>
    <row r="8" spans="1:30" ht="13.5" customHeight="1" x14ac:dyDescent="0.35">
      <c r="A8" s="18"/>
      <c r="B8" s="315"/>
      <c r="C8" s="315"/>
      <c r="D8" s="321" t="str">
        <f>IFERROR("Face $"&amp;TEXT(INDEX('Input Data'!J:J,MATCH("12.01",'Input Data'!C:C,0)),"#,##0")&amp;" | Net $"&amp;TEXT(INDEX('Input Data'!Q:Q,MATCH("12.01",'Input Data'!C:C,0)),"#,##0 pa"),"—")</f>
        <v>Face $985 | Net $191,160 pa</v>
      </c>
      <c r="E8" s="321"/>
      <c r="F8" s="321"/>
      <c r="G8" s="321"/>
      <c r="H8" s="321"/>
      <c r="I8" s="321"/>
      <c r="J8" s="321"/>
      <c r="K8" s="321"/>
      <c r="L8" s="322" t="str">
        <f>IFERROR("Face $"&amp;TEXT(INDEX('Input Data'!J:J,MATCH("12.02",'Input Data'!C:C,0)),"#,##0")&amp;" | Net $"&amp;TEXT(INDEX('Input Data'!Q:Q,MATCH("12.02",'Input Data'!C:C,0)),"#,##0 pa"),"—")</f>
        <v>Face $988 | Net $638,733 pa</v>
      </c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22"/>
      <c r="AA8" s="322"/>
      <c r="AB8" s="322"/>
      <c r="AC8" s="18"/>
      <c r="AD8" s="18"/>
    </row>
    <row r="9" spans="1:30" ht="13.5" customHeight="1" x14ac:dyDescent="0.35">
      <c r="A9" s="18"/>
      <c r="B9" s="315"/>
      <c r="C9" s="315"/>
      <c r="D9" s="321" t="str">
        <f>IFERROR("Outg $"&amp;TEXT(INDEX('Input Data'!M:M,MATCH("12.01",'Input Data'!C:C,0)),"#,##0")&amp;" | Rev: "&amp;INDEX('Input Data'!S:S,MATCH("12.01",'Input Data'!C:C,0)),"—")</f>
        <v>Outg $6,518 | Rev: FIXED 3.5%</v>
      </c>
      <c r="E9" s="321"/>
      <c r="F9" s="321"/>
      <c r="G9" s="321"/>
      <c r="H9" s="321"/>
      <c r="I9" s="321"/>
      <c r="J9" s="321"/>
      <c r="K9" s="321"/>
      <c r="L9" s="322" t="str">
        <f>IFERROR("Outg $"&amp;TEXT(INDEX('Input Data'!M:M,MATCH("12.02",'Input Data'!C:C,0)),"#,##0")&amp;" | Rev: "&amp;INDEX('Input Data'!S:S,MATCH("12.02",'Input Data'!C:C,0)),"—")</f>
        <v>Outg $24,542 | Rev: FIXED 4%</v>
      </c>
      <c r="M9" s="322"/>
      <c r="N9" s="322"/>
      <c r="O9" s="322"/>
      <c r="P9" s="322"/>
      <c r="Q9" s="322"/>
      <c r="R9" s="322"/>
      <c r="S9" s="322"/>
      <c r="T9" s="322"/>
      <c r="U9" s="322"/>
      <c r="V9" s="322"/>
      <c r="W9" s="322"/>
      <c r="X9" s="322"/>
      <c r="Y9" s="322"/>
      <c r="Z9" s="322"/>
      <c r="AA9" s="322"/>
      <c r="AB9" s="322"/>
      <c r="AC9" s="18"/>
      <c r="AD9" s="18"/>
    </row>
    <row r="10" spans="1:30" ht="13.5" customHeight="1" x14ac:dyDescent="0.35">
      <c r="A10" s="18"/>
      <c r="B10" s="315"/>
      <c r="C10" s="315"/>
      <c r="D10" s="319" t="str">
        <f ca="1">IFERROR("Exp: "&amp;TEXT(INDEX('Input Data'!H:H,MATCH("12.01",'Input Data'!C:C,0)),"MMM-YY")&amp;" ("&amp;TEXT(INDEX('Input Data'!V:V,MATCH("12.01",'Input Data'!C:C,0)),"0.0")&amp;" yrs)","—")</f>
        <v>Exp: Oct-30 (4.0 yrs)</v>
      </c>
      <c r="E10" s="319"/>
      <c r="F10" s="319"/>
      <c r="G10" s="319"/>
      <c r="H10" s="319"/>
      <c r="I10" s="319"/>
      <c r="J10" s="319"/>
      <c r="K10" s="319"/>
      <c r="L10" s="320" t="str">
        <f ca="1">IFERROR("Exp: "&amp;TEXT(INDEX('Input Data'!H:H,MATCH("12.02",'Input Data'!C:C,0)),"MMM-YY")&amp;" ("&amp;TEXT(INDEX('Input Data'!V:V,MATCH("12.02",'Input Data'!C:C,0)),"0.0")&amp;" yrs)","—")</f>
        <v>Exp: Dec-30 (4.2 yrs)</v>
      </c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320"/>
      <c r="Z10" s="320"/>
      <c r="AA10" s="320"/>
      <c r="AB10" s="320"/>
      <c r="AC10" s="18"/>
      <c r="AD10" s="18"/>
    </row>
    <row r="11" spans="1:30" ht="13.5" customHeight="1" x14ac:dyDescent="0.35">
      <c r="A11" s="18"/>
      <c r="B11" s="315"/>
      <c r="C11" s="315"/>
      <c r="D11" s="319" t="str">
        <f ca="1">IFERROR(TEXT(INDEX('Input Data'!V:V,MATCH("12.01",'Input Data'!C:C,0)),"0.0")&amp;" yrs remaining","—")</f>
        <v>4.0 yrs remaining</v>
      </c>
      <c r="E11" s="319"/>
      <c r="F11" s="319"/>
      <c r="G11" s="319"/>
      <c r="H11" s="319"/>
      <c r="I11" s="319"/>
      <c r="J11" s="319"/>
      <c r="K11" s="319"/>
      <c r="L11" s="320" t="str">
        <f ca="1">IFERROR(TEXT(INDEX('Input Data'!V:V,MATCH("12.02",'Input Data'!C:C,0)),"0.0")&amp;" yrs remaining","—")</f>
        <v>4.2 yrs remaining</v>
      </c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320"/>
      <c r="Z11" s="320"/>
      <c r="AA11" s="320"/>
      <c r="AB11" s="320"/>
      <c r="AC11" s="18"/>
      <c r="AD11" s="18"/>
    </row>
    <row r="12" spans="1:30" ht="3.75" customHeight="1" x14ac:dyDescent="0.35">
      <c r="A12" s="18"/>
      <c r="B12" s="315"/>
      <c r="C12" s="315"/>
      <c r="D12" s="320"/>
      <c r="E12" s="320"/>
      <c r="F12" s="320"/>
      <c r="G12" s="320"/>
      <c r="H12" s="320"/>
      <c r="I12" s="320"/>
      <c r="J12" s="320"/>
      <c r="K12" s="320"/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320"/>
      <c r="Z12" s="320"/>
      <c r="AA12" s="320"/>
      <c r="AB12" s="320"/>
      <c r="AC12" s="18"/>
      <c r="AD12" s="18"/>
    </row>
    <row r="13" spans="1:30" ht="3" customHeight="1" x14ac:dyDescent="0.3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spans="1:30" ht="18" customHeight="1" x14ac:dyDescent="0.35">
      <c r="A14" s="18"/>
      <c r="B14" s="315" t="s">
        <v>480</v>
      </c>
      <c r="C14" s="316">
        <v>772</v>
      </c>
      <c r="D14" s="323" t="str">
        <f>IFERROR(INDEX('Input Data'!D:D,MATCH("11.01",'Input Data'!C:C,0)),"—")</f>
        <v>Luxasia</v>
      </c>
      <c r="E14" s="323"/>
      <c r="F14" s="323"/>
      <c r="G14" s="323"/>
      <c r="H14" s="323"/>
      <c r="I14" s="323"/>
      <c r="J14" s="323"/>
      <c r="K14" s="323"/>
      <c r="L14" s="324" t="str">
        <f>IFERROR(INDEX('Input Data'!D:D,MATCH("11.02",'Input Data'!C:C,0)),"—")</f>
        <v>Haskoning Australia Pty Ltd</v>
      </c>
      <c r="M14" s="324"/>
      <c r="N14" s="324"/>
      <c r="O14" s="324"/>
      <c r="P14" s="324"/>
      <c r="Q14" s="324"/>
      <c r="R14" s="324"/>
      <c r="S14" s="324"/>
      <c r="T14" s="324"/>
      <c r="U14" s="324"/>
      <c r="V14" s="324"/>
      <c r="W14" s="324"/>
      <c r="X14" s="324"/>
      <c r="Y14" s="324"/>
      <c r="Z14" s="324"/>
      <c r="AA14" s="324"/>
      <c r="AB14" s="324"/>
      <c r="AC14" s="18"/>
      <c r="AD14" s="18"/>
    </row>
    <row r="15" spans="1:30" ht="13.5" customHeight="1" x14ac:dyDescent="0.35">
      <c r="A15" s="18"/>
      <c r="B15" s="315"/>
      <c r="C15" s="315"/>
      <c r="D15" s="325" t="str">
        <f>IFERROR("11.01 — "&amp;INDEX('Input Data'!B:B,MATCH("11.01",'Input Data'!C:C,0)),"—")</f>
        <v>11.01 — L11</v>
      </c>
      <c r="E15" s="325"/>
      <c r="F15" s="325"/>
      <c r="G15" s="325"/>
      <c r="H15" s="325"/>
      <c r="I15" s="325"/>
      <c r="J15" s="325"/>
      <c r="K15" s="325"/>
      <c r="L15" s="326" t="str">
        <f>IFERROR("11.02 — "&amp;INDEX('Input Data'!B:B,MATCH("11.02",'Input Data'!C:C,0)),"—")</f>
        <v>11.02 — L11</v>
      </c>
      <c r="M15" s="326"/>
      <c r="N15" s="326"/>
      <c r="O15" s="326"/>
      <c r="P15" s="326"/>
      <c r="Q15" s="326"/>
      <c r="R15" s="326"/>
      <c r="S15" s="326"/>
      <c r="T15" s="326"/>
      <c r="U15" s="326"/>
      <c r="V15" s="326"/>
      <c r="W15" s="326"/>
      <c r="X15" s="326"/>
      <c r="Y15" s="326"/>
      <c r="Z15" s="326"/>
      <c r="AA15" s="326"/>
      <c r="AB15" s="326"/>
      <c r="AC15" s="18"/>
      <c r="AD15" s="18"/>
    </row>
    <row r="16" spans="1:30" ht="13.5" customHeight="1" x14ac:dyDescent="0.35">
      <c r="A16" s="18"/>
      <c r="B16" s="315"/>
      <c r="C16" s="315"/>
      <c r="D16" s="325" t="str">
        <f>IFERROR(TEXT(INDEX('Input Data'!F:F,MATCH("11.01",'Input Data'!C:C,0)),"#,##0.0")&amp;" sqm","—")</f>
        <v>242.5 sqm</v>
      </c>
      <c r="E16" s="325"/>
      <c r="F16" s="325"/>
      <c r="G16" s="325"/>
      <c r="H16" s="325"/>
      <c r="I16" s="325"/>
      <c r="J16" s="325"/>
      <c r="K16" s="325"/>
      <c r="L16" s="326" t="str">
        <f>IFERROR(TEXT(INDEX('Input Data'!F:F,MATCH("11.02",'Input Data'!C:C,0)),"#,##0.0")&amp;" sqm","—")</f>
        <v>548.0 sqm</v>
      </c>
      <c r="M16" s="326"/>
      <c r="N16" s="326"/>
      <c r="O16" s="326"/>
      <c r="P16" s="326"/>
      <c r="Q16" s="326"/>
      <c r="R16" s="326"/>
      <c r="S16" s="326"/>
      <c r="T16" s="326"/>
      <c r="U16" s="326"/>
      <c r="V16" s="326"/>
      <c r="W16" s="326"/>
      <c r="X16" s="326"/>
      <c r="Y16" s="326"/>
      <c r="Z16" s="326"/>
      <c r="AA16" s="326"/>
      <c r="AB16" s="326"/>
      <c r="AC16" s="18"/>
      <c r="AD16" s="18"/>
    </row>
    <row r="17" spans="1:30" ht="13.5" customHeight="1" x14ac:dyDescent="0.35">
      <c r="A17" s="18"/>
      <c r="B17" s="315"/>
      <c r="C17" s="315"/>
      <c r="D17" s="327" t="str">
        <f>IFERROR(IF(INDEX('Input Data'!D:D,MATCH("11.01",'Input Data'!C:C,0))="VACANT","","Face $"&amp;TEXT(INDEX('Input Data'!J:J,MATCH("11.01",'Input Data'!C:C,0)),"#,##0")&amp;" | Net $"&amp;TEXT(INDEX('Input Data'!Q:Q,MATCH("11.01",'Input Data'!C:C,0)),"#,##0 pa")),"—")</f>
        <v>Face $1,060 | Net $266,750 pa</v>
      </c>
      <c r="E17" s="327"/>
      <c r="F17" s="327"/>
      <c r="G17" s="327"/>
      <c r="H17" s="327"/>
      <c r="I17" s="327"/>
      <c r="J17" s="327"/>
      <c r="K17" s="327"/>
      <c r="L17" s="328" t="str">
        <f>IFERROR("Face $"&amp;TEXT(INDEX('Input Data'!J:J,MATCH("11.02",'Input Data'!C:C,0)),"#,##0")&amp;" | Net $"&amp;TEXT(INDEX('Input Data'!Q:Q,MATCH("11.02",'Input Data'!C:C,0)),"#,##0 pa"),"—")</f>
        <v>Face $1,040 | Net $458,075 pa</v>
      </c>
      <c r="M17" s="328"/>
      <c r="N17" s="328"/>
      <c r="O17" s="328"/>
      <c r="P17" s="328"/>
      <c r="Q17" s="328"/>
      <c r="R17" s="328"/>
      <c r="S17" s="328"/>
      <c r="T17" s="328"/>
      <c r="U17" s="328"/>
      <c r="V17" s="328"/>
      <c r="W17" s="328"/>
      <c r="X17" s="328"/>
      <c r="Y17" s="328"/>
      <c r="Z17" s="328"/>
      <c r="AA17" s="328"/>
      <c r="AB17" s="328"/>
      <c r="AC17" s="18"/>
      <c r="AD17" s="18"/>
    </row>
    <row r="18" spans="1:30" ht="13.5" customHeight="1" x14ac:dyDescent="0.35">
      <c r="A18" s="18"/>
      <c r="B18" s="315"/>
      <c r="C18" s="315"/>
      <c r="D18" s="327" t="str">
        <f>IFERROR(IF(INDEX('Input Data'!D:D,MATCH("11.01",'Input Data'!C:C,0))="VACANT","","Outg $"&amp;TEXT(INDEX('Input Data'!M:M,MATCH("11.01",'Input Data'!C:C,0)),"#,##0")&amp;" | Rev: "&amp;INDEX('Input Data'!S:S,MATCH("11.01",'Input Data'!C:C,0))),"—")</f>
        <v>Outg $9,729 | Rev: FIXED 3.75%</v>
      </c>
      <c r="E18" s="327"/>
      <c r="F18" s="327"/>
      <c r="G18" s="327"/>
      <c r="H18" s="327"/>
      <c r="I18" s="327"/>
      <c r="J18" s="327"/>
      <c r="K18" s="327"/>
      <c r="L18" s="328" t="str">
        <f>IFERROR("Outg $"&amp;TEXT(INDEX('Input Data'!M:M,MATCH("11.02",'Input Data'!C:C,0)),"#,##0")&amp;" | Rev: "&amp;INDEX('Input Data'!S:S,MATCH("11.02",'Input Data'!C:C,0)),"—")</f>
        <v>Outg $0 | Rev: FIXED 3.5%</v>
      </c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  <c r="Y18" s="328"/>
      <c r="Z18" s="328"/>
      <c r="AA18" s="328"/>
      <c r="AB18" s="328"/>
      <c r="AC18" s="18"/>
      <c r="AD18" s="18"/>
    </row>
    <row r="19" spans="1:30" ht="13.5" customHeight="1" x14ac:dyDescent="0.35">
      <c r="A19" s="18"/>
      <c r="B19" s="315"/>
      <c r="C19" s="315"/>
      <c r="D19" s="325" t="str">
        <f ca="1">IFERROR(IF(INDEX('Input Data'!D:D,MATCH("11.01",'Input Data'!C:C,0))="VACANT","⬤ AVAILABLE NOW","Exp: "&amp;TEXT(INDEX('Input Data'!H:H,MATCH("11.01",'Input Data'!C:C,0)),"MMM-YY")&amp;" ("&amp;TEXT(INDEX('Input Data'!V:V,MATCH("11.01",'Input Data'!C:C,0)),"0.0")&amp;" yrs)"),"—")</f>
        <v>Exp: Sep-31 (5.0 yrs)</v>
      </c>
      <c r="E19" s="325"/>
      <c r="F19" s="325"/>
      <c r="G19" s="325"/>
      <c r="H19" s="325"/>
      <c r="I19" s="325"/>
      <c r="J19" s="325"/>
      <c r="K19" s="325"/>
      <c r="L19" s="326" t="str">
        <f ca="1">IFERROR("Exp: "&amp;TEXT(INDEX('Input Data'!H:H,MATCH("11.02",'Input Data'!C:C,0)),"MMM-YY")&amp;" ("&amp;TEXT(INDEX('Input Data'!V:V,MATCH("11.02",'Input Data'!C:C,0)),"0.0")&amp;" yrs)","—")</f>
        <v>Exp: Sep-32 (6.0 yrs)</v>
      </c>
      <c r="M19" s="326"/>
      <c r="N19" s="326"/>
      <c r="O19" s="326"/>
      <c r="P19" s="326"/>
      <c r="Q19" s="326"/>
      <c r="R19" s="326"/>
      <c r="S19" s="326"/>
      <c r="T19" s="326"/>
      <c r="U19" s="326"/>
      <c r="V19" s="326"/>
      <c r="W19" s="326"/>
      <c r="X19" s="326"/>
      <c r="Y19" s="326"/>
      <c r="Z19" s="326"/>
      <c r="AA19" s="326"/>
      <c r="AB19" s="326"/>
      <c r="AC19" s="18"/>
      <c r="AD19" s="18"/>
    </row>
    <row r="20" spans="1:30" ht="13.5" customHeight="1" x14ac:dyDescent="0.35">
      <c r="A20" s="18"/>
      <c r="B20" s="315"/>
      <c r="C20" s="315"/>
      <c r="D20" s="329" t="str">
        <f ca="1">IFERROR(IF(INDEX('Input Data'!D:D,MATCH("11.01",'Input Data'!C:C,0))="VACANT","",TEXT(INDEX('Input Data'!V:V,MATCH("11.01",'Input Data'!C:C,0)),"0.0")&amp;" yrs remaining"),"—")</f>
        <v>5.0 yrs remaining</v>
      </c>
      <c r="E20" s="329"/>
      <c r="F20" s="329"/>
      <c r="G20" s="329"/>
      <c r="H20" s="329"/>
      <c r="I20" s="329"/>
      <c r="J20" s="329"/>
      <c r="K20" s="329"/>
      <c r="L20" s="326" t="str">
        <f ca="1">IFERROR(TEXT(INDEX('Input Data'!V:V,MATCH("11.02",'Input Data'!C:C,0)),"0.0")&amp;" yrs remaining","—")</f>
        <v>6.0 yrs remaining</v>
      </c>
      <c r="M20" s="326"/>
      <c r="N20" s="326"/>
      <c r="O20" s="326"/>
      <c r="P20" s="326"/>
      <c r="Q20" s="326"/>
      <c r="R20" s="326"/>
      <c r="S20" s="326"/>
      <c r="T20" s="326"/>
      <c r="U20" s="326"/>
      <c r="V20" s="326"/>
      <c r="W20" s="326"/>
      <c r="X20" s="326"/>
      <c r="Y20" s="326"/>
      <c r="Z20" s="326"/>
      <c r="AA20" s="326"/>
      <c r="AB20" s="326"/>
      <c r="AC20" s="18"/>
      <c r="AD20" s="18"/>
    </row>
    <row r="21" spans="1:30" ht="3.75" customHeight="1" x14ac:dyDescent="0.35">
      <c r="A21" s="18"/>
      <c r="B21" s="315"/>
      <c r="C21" s="315"/>
      <c r="D21" s="325"/>
      <c r="E21" s="325"/>
      <c r="F21" s="325"/>
      <c r="G21" s="325"/>
      <c r="H21" s="325"/>
      <c r="I21" s="325"/>
      <c r="J21" s="325"/>
      <c r="K21" s="325"/>
      <c r="L21" s="325"/>
      <c r="M21" s="325"/>
      <c r="N21" s="325"/>
      <c r="O21" s="325"/>
      <c r="P21" s="325"/>
      <c r="Q21" s="325"/>
      <c r="R21" s="325"/>
      <c r="S21" s="325"/>
      <c r="T21" s="325"/>
      <c r="U21" s="325"/>
      <c r="V21" s="325"/>
      <c r="W21" s="325"/>
      <c r="X21" s="325"/>
      <c r="Y21" s="325"/>
      <c r="Z21" s="325"/>
      <c r="AA21" s="325"/>
      <c r="AB21" s="325"/>
      <c r="AC21" s="18"/>
      <c r="AD21" s="18"/>
    </row>
    <row r="22" spans="1:30" ht="3" customHeight="1" x14ac:dyDescent="0.3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spans="1:30" ht="18" customHeight="1" x14ac:dyDescent="0.35">
      <c r="A23" s="18"/>
      <c r="B23" s="315" t="s">
        <v>481</v>
      </c>
      <c r="C23" s="316">
        <v>787</v>
      </c>
      <c r="D23" s="323" t="s">
        <v>214</v>
      </c>
      <c r="E23" s="323"/>
      <c r="F23" s="323"/>
      <c r="G23" s="323"/>
      <c r="H23" s="323"/>
      <c r="I23" s="323"/>
      <c r="J23" s="323"/>
      <c r="K23" s="323"/>
      <c r="L23" s="323"/>
      <c r="M23" s="323"/>
      <c r="N23" s="323"/>
      <c r="O23" s="323"/>
      <c r="P23" s="323"/>
      <c r="Q23" s="323"/>
      <c r="R23" s="323" t="s">
        <v>214</v>
      </c>
      <c r="S23" s="323"/>
      <c r="T23" s="323"/>
      <c r="U23" s="323"/>
      <c r="V23" s="323"/>
      <c r="W23" s="323"/>
      <c r="X23" s="323"/>
      <c r="Y23" s="323"/>
      <c r="Z23" s="323"/>
      <c r="AA23" s="323"/>
      <c r="AB23" s="323"/>
      <c r="AC23" s="18"/>
      <c r="AD23" s="18"/>
    </row>
    <row r="24" spans="1:30" ht="13.5" customHeight="1" x14ac:dyDescent="0.35">
      <c r="A24" s="18"/>
      <c r="B24" s="315"/>
      <c r="C24" s="315"/>
      <c r="D24" s="325" t="s">
        <v>482</v>
      </c>
      <c r="E24" s="325"/>
      <c r="F24" s="325"/>
      <c r="G24" s="325"/>
      <c r="H24" s="325"/>
      <c r="I24" s="325"/>
      <c r="J24" s="325"/>
      <c r="K24" s="325"/>
      <c r="L24" s="325"/>
      <c r="M24" s="325"/>
      <c r="N24" s="325"/>
      <c r="O24" s="325"/>
      <c r="P24" s="325"/>
      <c r="Q24" s="325"/>
      <c r="R24" s="325" t="s">
        <v>483</v>
      </c>
      <c r="S24" s="325"/>
      <c r="T24" s="325"/>
      <c r="U24" s="325"/>
      <c r="V24" s="325"/>
      <c r="W24" s="325"/>
      <c r="X24" s="325"/>
      <c r="Y24" s="325"/>
      <c r="Z24" s="325"/>
      <c r="AA24" s="325"/>
      <c r="AB24" s="325"/>
      <c r="AC24" s="18"/>
      <c r="AD24" s="18"/>
    </row>
    <row r="25" spans="1:30" ht="13.5" customHeight="1" x14ac:dyDescent="0.35">
      <c r="A25" s="18"/>
      <c r="B25" s="315"/>
      <c r="C25" s="315"/>
      <c r="D25" s="325"/>
      <c r="E25" s="325"/>
      <c r="F25" s="325"/>
      <c r="G25" s="325"/>
      <c r="H25" s="325"/>
      <c r="I25" s="325"/>
      <c r="J25" s="325"/>
      <c r="K25" s="325"/>
      <c r="L25" s="325"/>
      <c r="M25" s="325"/>
      <c r="N25" s="325"/>
      <c r="O25" s="325"/>
      <c r="P25" s="325"/>
      <c r="Q25" s="325"/>
      <c r="R25" s="325"/>
      <c r="S25" s="325"/>
      <c r="T25" s="325"/>
      <c r="U25" s="325"/>
      <c r="V25" s="325"/>
      <c r="W25" s="325"/>
      <c r="X25" s="325"/>
      <c r="Y25" s="325"/>
      <c r="Z25" s="325"/>
      <c r="AA25" s="325"/>
      <c r="AB25" s="325"/>
      <c r="AC25" s="18"/>
      <c r="AD25" s="18"/>
    </row>
    <row r="26" spans="1:30" ht="13.5" customHeight="1" x14ac:dyDescent="0.35">
      <c r="A26" s="18"/>
      <c r="B26" s="315"/>
      <c r="C26" s="315"/>
      <c r="D26" s="327"/>
      <c r="E26" s="327"/>
      <c r="F26" s="327"/>
      <c r="G26" s="327"/>
      <c r="H26" s="327"/>
      <c r="I26" s="327"/>
      <c r="J26" s="327"/>
      <c r="K26" s="327"/>
      <c r="L26" s="327"/>
      <c r="M26" s="327"/>
      <c r="N26" s="327"/>
      <c r="O26" s="327"/>
      <c r="P26" s="327"/>
      <c r="Q26" s="327"/>
      <c r="R26" s="327"/>
      <c r="S26" s="327"/>
      <c r="T26" s="327"/>
      <c r="U26" s="327"/>
      <c r="V26" s="327"/>
      <c r="W26" s="327"/>
      <c r="X26" s="327"/>
      <c r="Y26" s="327"/>
      <c r="Z26" s="327"/>
      <c r="AA26" s="327"/>
      <c r="AB26" s="327"/>
      <c r="AC26" s="18"/>
      <c r="AD26" s="18"/>
    </row>
    <row r="27" spans="1:30" ht="13.5" customHeight="1" x14ac:dyDescent="0.35">
      <c r="A27" s="18"/>
      <c r="B27" s="315"/>
      <c r="C27" s="315"/>
      <c r="D27" s="327"/>
      <c r="E27" s="327"/>
      <c r="F27" s="327"/>
      <c r="G27" s="327"/>
      <c r="H27" s="327"/>
      <c r="I27" s="327"/>
      <c r="J27" s="327"/>
      <c r="K27" s="327"/>
      <c r="L27" s="327"/>
      <c r="M27" s="327"/>
      <c r="N27" s="327"/>
      <c r="O27" s="327"/>
      <c r="P27" s="327"/>
      <c r="Q27" s="327"/>
      <c r="R27" s="327"/>
      <c r="S27" s="327"/>
      <c r="T27" s="327"/>
      <c r="U27" s="327"/>
      <c r="V27" s="327"/>
      <c r="W27" s="327"/>
      <c r="X27" s="327"/>
      <c r="Y27" s="327"/>
      <c r="Z27" s="327"/>
      <c r="AA27" s="327"/>
      <c r="AB27" s="327"/>
      <c r="AC27" s="18"/>
      <c r="AD27" s="18"/>
    </row>
    <row r="28" spans="1:30" ht="13.5" customHeight="1" x14ac:dyDescent="0.35">
      <c r="A28" s="18"/>
      <c r="B28" s="315"/>
      <c r="C28" s="315"/>
      <c r="D28" s="325"/>
      <c r="E28" s="325"/>
      <c r="F28" s="325"/>
      <c r="G28" s="325"/>
      <c r="H28" s="325"/>
      <c r="I28" s="325"/>
      <c r="J28" s="325"/>
      <c r="K28" s="325"/>
      <c r="L28" s="325"/>
      <c r="M28" s="325"/>
      <c r="N28" s="325"/>
      <c r="O28" s="325"/>
      <c r="P28" s="325"/>
      <c r="Q28" s="325"/>
      <c r="R28" s="325"/>
      <c r="S28" s="325"/>
      <c r="T28" s="325"/>
      <c r="U28" s="325"/>
      <c r="V28" s="325"/>
      <c r="W28" s="325"/>
      <c r="X28" s="325"/>
      <c r="Y28" s="325"/>
      <c r="Z28" s="325"/>
      <c r="AA28" s="325"/>
      <c r="AB28" s="325"/>
      <c r="AC28" s="18"/>
      <c r="AD28" s="18"/>
    </row>
    <row r="29" spans="1:30" ht="13.5" customHeight="1" x14ac:dyDescent="0.35">
      <c r="A29" s="18"/>
      <c r="B29" s="315"/>
      <c r="C29" s="315"/>
      <c r="D29" s="329" t="s">
        <v>484</v>
      </c>
      <c r="E29" s="329"/>
      <c r="F29" s="329"/>
      <c r="G29" s="329"/>
      <c r="H29" s="329"/>
      <c r="I29" s="329"/>
      <c r="J29" s="329"/>
      <c r="K29" s="329"/>
      <c r="L29" s="329"/>
      <c r="M29" s="329"/>
      <c r="N29" s="329"/>
      <c r="O29" s="329"/>
      <c r="P29" s="329"/>
      <c r="Q29" s="329"/>
      <c r="R29" s="329" t="s">
        <v>484</v>
      </c>
      <c r="S29" s="329"/>
      <c r="T29" s="329"/>
      <c r="U29" s="329"/>
      <c r="V29" s="329"/>
      <c r="W29" s="329"/>
      <c r="X29" s="329"/>
      <c r="Y29" s="329"/>
      <c r="Z29" s="329"/>
      <c r="AA29" s="329"/>
      <c r="AB29" s="329"/>
      <c r="AC29" s="18"/>
      <c r="AD29" s="18"/>
    </row>
    <row r="30" spans="1:30" ht="3.75" customHeight="1" x14ac:dyDescent="0.35">
      <c r="A30" s="18"/>
      <c r="B30" s="315"/>
      <c r="C30" s="31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V30" s="325"/>
      <c r="W30" s="325"/>
      <c r="X30" s="325"/>
      <c r="Y30" s="325"/>
      <c r="Z30" s="325"/>
      <c r="AA30" s="325"/>
      <c r="AB30" s="325"/>
      <c r="AC30" s="18"/>
      <c r="AD30" s="18"/>
    </row>
    <row r="31" spans="1:30" ht="3" customHeight="1" x14ac:dyDescent="0.3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spans="1:30" ht="18" customHeight="1" x14ac:dyDescent="0.35">
      <c r="A32" s="18"/>
      <c r="B32" s="315" t="s">
        <v>485</v>
      </c>
      <c r="C32" s="316">
        <v>797.8</v>
      </c>
      <c r="D32" s="330" t="str">
        <f>IFERROR(INDEX('Input Data'!D:D,MATCH("9.01",'Input Data'!C:C,0)),"—")</f>
        <v>Pitt &amp; Sherry (Operations) Pty Ltd</v>
      </c>
      <c r="E32" s="330"/>
      <c r="F32" s="330"/>
      <c r="G32" s="330"/>
      <c r="H32" s="330"/>
      <c r="I32" s="330"/>
      <c r="J32" s="330"/>
      <c r="K32" s="330"/>
      <c r="L32" s="330"/>
      <c r="M32" s="330"/>
      <c r="N32" s="330"/>
      <c r="O32" s="330"/>
      <c r="P32" s="330"/>
      <c r="Q32" s="330"/>
      <c r="R32" s="318" t="str">
        <f>IFERROR(INDEX('Input Data'!D:D,MATCH("9.02",'Input Data'!C:C,0)),"—")</f>
        <v>Smile Partners Australia</v>
      </c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18"/>
      <c r="AD32" s="18"/>
    </row>
    <row r="33" spans="1:30" ht="13.5" customHeight="1" x14ac:dyDescent="0.35">
      <c r="A33" s="18"/>
      <c r="B33" s="315"/>
      <c r="C33" s="315"/>
      <c r="D33" s="331" t="str">
        <f>IFERROR("9.01 — "&amp;INDEX('Input Data'!B:B,MATCH("9.01",'Input Data'!C:C,0)),"—")</f>
        <v>9.01 — L09</v>
      </c>
      <c r="E33" s="331"/>
      <c r="F33" s="331"/>
      <c r="G33" s="331"/>
      <c r="H33" s="331"/>
      <c r="I33" s="331"/>
      <c r="J33" s="331"/>
      <c r="K33" s="331"/>
      <c r="L33" s="331"/>
      <c r="M33" s="331"/>
      <c r="N33" s="331"/>
      <c r="O33" s="331"/>
      <c r="P33" s="331"/>
      <c r="Q33" s="331"/>
      <c r="R33" s="320" t="str">
        <f>IFERROR("9.02 — "&amp;INDEX('Input Data'!B:B,MATCH("9.02",'Input Data'!C:C,0)),"—")</f>
        <v>9.02 — L09</v>
      </c>
      <c r="S33" s="320"/>
      <c r="T33" s="320"/>
      <c r="U33" s="320"/>
      <c r="V33" s="320"/>
      <c r="W33" s="320"/>
      <c r="X33" s="320"/>
      <c r="Y33" s="320"/>
      <c r="Z33" s="320"/>
      <c r="AA33" s="320"/>
      <c r="AB33" s="320"/>
      <c r="AC33" s="18"/>
      <c r="AD33" s="18"/>
    </row>
    <row r="34" spans="1:30" ht="13.5" customHeight="1" x14ac:dyDescent="0.35">
      <c r="A34" s="18"/>
      <c r="B34" s="315"/>
      <c r="C34" s="315"/>
      <c r="D34" s="331" t="str">
        <f>IFERROR(TEXT(INDEX('Input Data'!F:F,MATCH("9.01",'Input Data'!C:C,0)),"#,##0.0")&amp;" sqm","—")</f>
        <v>453.3 sqm</v>
      </c>
      <c r="E34" s="331"/>
      <c r="F34" s="331"/>
      <c r="G34" s="331"/>
      <c r="H34" s="331"/>
      <c r="I34" s="331"/>
      <c r="J34" s="331"/>
      <c r="K34" s="331"/>
      <c r="L34" s="331"/>
      <c r="M34" s="331"/>
      <c r="N34" s="331"/>
      <c r="O34" s="331"/>
      <c r="P34" s="331"/>
      <c r="Q34" s="331"/>
      <c r="R34" s="320" t="str">
        <f>IFERROR(TEXT(INDEX('Input Data'!F:F,MATCH("9.02",'Input Data'!C:C,0)),"#,##0.0")&amp;" sqm","—")</f>
        <v>344.5 sqm</v>
      </c>
      <c r="S34" s="320"/>
      <c r="T34" s="320"/>
      <c r="U34" s="320"/>
      <c r="V34" s="320"/>
      <c r="W34" s="320"/>
      <c r="X34" s="320"/>
      <c r="Y34" s="320"/>
      <c r="Z34" s="320"/>
      <c r="AA34" s="320"/>
      <c r="AB34" s="320"/>
      <c r="AC34" s="18"/>
      <c r="AD34" s="18"/>
    </row>
    <row r="35" spans="1:30" ht="13.5" customHeight="1" x14ac:dyDescent="0.35">
      <c r="A35" s="18"/>
      <c r="B35" s="315"/>
      <c r="C35" s="315"/>
      <c r="D35" s="332" t="str">
        <f>IFERROR("Face $"&amp;TEXT(INDEX('Input Data'!J:J,MATCH("9.01",'Input Data'!C:C,0)),"#,##0")&amp;" | Net $"&amp;TEXT(INDEX('Input Data'!Q:Q,MATCH("9.01",'Input Data'!C:C,0)),"#,##0 pa"),"—")</f>
        <v>Face $1,066 | Net $403,785 pa</v>
      </c>
      <c r="E35" s="332"/>
      <c r="F35" s="332"/>
      <c r="G35" s="332"/>
      <c r="H35" s="332"/>
      <c r="I35" s="332"/>
      <c r="J35" s="332"/>
      <c r="K35" s="332"/>
      <c r="L35" s="332"/>
      <c r="M35" s="332"/>
      <c r="N35" s="332"/>
      <c r="O35" s="332"/>
      <c r="P35" s="332"/>
      <c r="Q35" s="332"/>
      <c r="R35" s="322" t="str">
        <f>IFERROR("Face $"&amp;TEXT(INDEX('Input Data'!J:J,MATCH("9.02",'Input Data'!C:C,0)),"#,##0")&amp;" | Net $"&amp;TEXT(INDEX('Input Data'!Q:Q,MATCH("9.02",'Input Data'!C:C,0)),"#,##0 pa"),"—")</f>
        <v>Face $990 | Net $224,064 pa</v>
      </c>
      <c r="S35" s="322"/>
      <c r="T35" s="322"/>
      <c r="U35" s="322"/>
      <c r="V35" s="322"/>
      <c r="W35" s="322"/>
      <c r="X35" s="322"/>
      <c r="Y35" s="322"/>
      <c r="Z35" s="322"/>
      <c r="AA35" s="322"/>
      <c r="AB35" s="322"/>
      <c r="AC35" s="18"/>
      <c r="AD35" s="18"/>
    </row>
    <row r="36" spans="1:30" ht="13.5" customHeight="1" x14ac:dyDescent="0.35">
      <c r="A36" s="18"/>
      <c r="B36" s="315"/>
      <c r="C36" s="315"/>
      <c r="D36" s="332" t="str">
        <f>IFERROR("Outg $"&amp;TEXT(INDEX('Input Data'!M:M,MATCH("9.01",'Input Data'!C:C,0)),"#,##0")&amp;" | Rev: "&amp;INDEX('Input Data'!S:S,MATCH("9.01",'Input Data'!C:C,0)),"—")</f>
        <v>Outg $46,070 | Rev: FIXED 3.75%</v>
      </c>
      <c r="E36" s="332"/>
      <c r="F36" s="332"/>
      <c r="G36" s="332"/>
      <c r="H36" s="332"/>
      <c r="I36" s="332"/>
      <c r="J36" s="332"/>
      <c r="K36" s="332"/>
      <c r="L36" s="332"/>
      <c r="M36" s="332"/>
      <c r="N36" s="332"/>
      <c r="O36" s="332"/>
      <c r="P36" s="332"/>
      <c r="Q36" s="332"/>
      <c r="R36" s="322" t="str">
        <f>IFERROR("Outg $"&amp;TEXT(INDEX('Input Data'!M:M,MATCH("9.02",'Input Data'!C:C,0)),"#,##0")&amp;" | Rev: "&amp;INDEX('Input Data'!S:S,MATCH("9.02",'Input Data'!C:C,0)),"—")</f>
        <v>Outg $8,946 | Rev: FIXED 3.5%</v>
      </c>
      <c r="S36" s="322"/>
      <c r="T36" s="322"/>
      <c r="U36" s="322"/>
      <c r="V36" s="322"/>
      <c r="W36" s="322"/>
      <c r="X36" s="322"/>
      <c r="Y36" s="322"/>
      <c r="Z36" s="322"/>
      <c r="AA36" s="322"/>
      <c r="AB36" s="322"/>
      <c r="AC36" s="18"/>
      <c r="AD36" s="18"/>
    </row>
    <row r="37" spans="1:30" ht="13.5" customHeight="1" x14ac:dyDescent="0.35">
      <c r="A37" s="18"/>
      <c r="B37" s="315"/>
      <c r="C37" s="315"/>
      <c r="D37" s="331" t="str">
        <f ca="1">IFERROR("Exp: "&amp;TEXT(INDEX('Input Data'!H:H,MATCH("9.01",'Input Data'!C:C,0)),"MMM-YY")&amp;" ("&amp;TEXT(INDEX('Input Data'!V:V,MATCH("9.01",'Input Data'!C:C,0)),"0.0")&amp;" yrs)","—")</f>
        <v>Exp: Jul-27 (0.7 yrs)</v>
      </c>
      <c r="E37" s="331"/>
      <c r="F37" s="331"/>
      <c r="G37" s="331"/>
      <c r="H37" s="331"/>
      <c r="I37" s="331"/>
      <c r="J37" s="331"/>
      <c r="K37" s="331"/>
      <c r="L37" s="331"/>
      <c r="M37" s="331"/>
      <c r="N37" s="331"/>
      <c r="O37" s="331"/>
      <c r="P37" s="331"/>
      <c r="Q37" s="331"/>
      <c r="R37" s="320" t="str">
        <f ca="1">IFERROR("Exp: "&amp;TEXT(INDEX('Input Data'!H:H,MATCH("9.02",'Input Data'!C:C,0)),"MMM-YY")&amp;" ("&amp;TEXT(INDEX('Input Data'!V:V,MATCH("9.02",'Input Data'!C:C,0)),"0.0")&amp;" yrs)","—")</f>
        <v>Exp: Dec-29 (3.2 yrs)</v>
      </c>
      <c r="S37" s="320"/>
      <c r="T37" s="320"/>
      <c r="U37" s="320"/>
      <c r="V37" s="320"/>
      <c r="W37" s="320"/>
      <c r="X37" s="320"/>
      <c r="Y37" s="320"/>
      <c r="Z37" s="320"/>
      <c r="AA37" s="320"/>
      <c r="AB37" s="320"/>
      <c r="AC37" s="18"/>
      <c r="AD37" s="18"/>
    </row>
    <row r="38" spans="1:30" ht="13.5" customHeight="1" x14ac:dyDescent="0.35">
      <c r="A38" s="18"/>
      <c r="B38" s="315"/>
      <c r="C38" s="315"/>
      <c r="D38" s="331" t="str">
        <f ca="1">IFERROR(TEXT(INDEX('Input Data'!V:V,MATCH("9.01",'Input Data'!C:C,0)),"0.0")&amp;" yrs remaining","—")</f>
        <v>0.7 yrs remaining</v>
      </c>
      <c r="E38" s="331"/>
      <c r="F38" s="331"/>
      <c r="G38" s="331"/>
      <c r="H38" s="331"/>
      <c r="I38" s="331"/>
      <c r="J38" s="331"/>
      <c r="K38" s="331"/>
      <c r="L38" s="331"/>
      <c r="M38" s="331"/>
      <c r="N38" s="331"/>
      <c r="O38" s="331"/>
      <c r="P38" s="331"/>
      <c r="Q38" s="331"/>
      <c r="R38" s="320" t="str">
        <f ca="1">IFERROR(TEXT(INDEX('Input Data'!V:V,MATCH("9.02",'Input Data'!C:C,0)),"0.0")&amp;" yrs remaining","—")</f>
        <v>3.2 yrs remaining</v>
      </c>
      <c r="S38" s="320"/>
      <c r="T38" s="320"/>
      <c r="U38" s="320"/>
      <c r="V38" s="320"/>
      <c r="W38" s="320"/>
      <c r="X38" s="320"/>
      <c r="Y38" s="320"/>
      <c r="Z38" s="320"/>
      <c r="AA38" s="320"/>
      <c r="AB38" s="320"/>
      <c r="AC38" s="18"/>
      <c r="AD38" s="18"/>
    </row>
    <row r="39" spans="1:30" ht="3.75" customHeight="1" x14ac:dyDescent="0.35">
      <c r="A39" s="18"/>
      <c r="B39" s="315"/>
      <c r="C39" s="315"/>
      <c r="D39" s="331"/>
      <c r="E39" s="331"/>
      <c r="F39" s="331"/>
      <c r="G39" s="331"/>
      <c r="H39" s="331"/>
      <c r="I39" s="331"/>
      <c r="J39" s="331"/>
      <c r="K39" s="331"/>
      <c r="L39" s="331"/>
      <c r="M39" s="331"/>
      <c r="N39" s="331"/>
      <c r="O39" s="331"/>
      <c r="P39" s="331"/>
      <c r="Q39" s="331"/>
      <c r="R39" s="319"/>
      <c r="S39" s="319"/>
      <c r="T39" s="319"/>
      <c r="U39" s="319"/>
      <c r="V39" s="319"/>
      <c r="W39" s="319"/>
      <c r="X39" s="319"/>
      <c r="Y39" s="319"/>
      <c r="Z39" s="319"/>
      <c r="AA39" s="319"/>
      <c r="AB39" s="319"/>
      <c r="AC39" s="18"/>
      <c r="AD39" s="18"/>
    </row>
    <row r="40" spans="1:30" ht="3" customHeight="1" x14ac:dyDescent="0.3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spans="1:30" ht="18" customHeight="1" x14ac:dyDescent="0.35">
      <c r="A41" s="18"/>
      <c r="B41" s="315" t="s">
        <v>486</v>
      </c>
      <c r="C41" s="316">
        <v>803</v>
      </c>
      <c r="D41" s="333" t="str">
        <f>IFERROR(INDEX('Input Data'!D:D,MATCH("8.01",'Input Data'!C:C,0)),"—")</f>
        <v>Vanderlande Industries Australia Pty Ltd</v>
      </c>
      <c r="E41" s="333"/>
      <c r="F41" s="333"/>
      <c r="G41" s="333"/>
      <c r="H41" s="333"/>
      <c r="I41" s="333"/>
      <c r="J41" s="333"/>
      <c r="K41" s="333"/>
      <c r="L41" s="333"/>
      <c r="M41" s="333"/>
      <c r="N41" s="333"/>
      <c r="O41" s="333"/>
      <c r="P41" s="333"/>
      <c r="Q41" s="333"/>
      <c r="R41" s="333"/>
      <c r="S41" s="333"/>
      <c r="T41" s="333"/>
      <c r="U41" s="333"/>
      <c r="V41" s="333"/>
      <c r="W41" s="333"/>
      <c r="X41" s="318" t="str">
        <f>IFERROR(INDEX('Input Data'!D:D,MATCH("8.03",'Input Data'!C:C,0)),"—")</f>
        <v>Can Too Foundation Limited</v>
      </c>
      <c r="Y41" s="318"/>
      <c r="Z41" s="318"/>
      <c r="AA41" s="318"/>
      <c r="AB41" s="318"/>
      <c r="AC41" s="18"/>
      <c r="AD41" s="18"/>
    </row>
    <row r="42" spans="1:30" ht="13.5" customHeight="1" x14ac:dyDescent="0.35">
      <c r="A42" s="18"/>
      <c r="B42" s="315"/>
      <c r="C42" s="315"/>
      <c r="D42" s="334" t="str">
        <f>IFERROR("8.01 — "&amp;INDEX('Input Data'!B:B,MATCH("8.01",'Input Data'!C:C,0)),"—")</f>
        <v>8.01 — L08</v>
      </c>
      <c r="E42" s="334"/>
      <c r="F42" s="334"/>
      <c r="G42" s="334"/>
      <c r="H42" s="334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  <c r="T42" s="334"/>
      <c r="U42" s="334"/>
      <c r="V42" s="334"/>
      <c r="W42" s="334"/>
      <c r="X42" s="320" t="str">
        <f>IFERROR("8.03 — "&amp;INDEX('Input Data'!B:B,MATCH("8.03",'Input Data'!C:C,0)),"—")</f>
        <v>8.03 — L08</v>
      </c>
      <c r="Y42" s="320"/>
      <c r="Z42" s="320"/>
      <c r="AA42" s="320"/>
      <c r="AB42" s="320"/>
      <c r="AC42" s="18"/>
      <c r="AD42" s="18"/>
    </row>
    <row r="43" spans="1:30" ht="13.5" customHeight="1" x14ac:dyDescent="0.35">
      <c r="A43" s="18"/>
      <c r="B43" s="315"/>
      <c r="C43" s="315"/>
      <c r="D43" s="334" t="str">
        <f>IFERROR(TEXT(INDEX('Input Data'!F:F,MATCH("8.01",'Input Data'!C:C,0)),"#,##0.0")&amp;" sqm","—")</f>
        <v>686.7 sqm</v>
      </c>
      <c r="E43" s="334"/>
      <c r="F43" s="334"/>
      <c r="G43" s="334"/>
      <c r="H43" s="334"/>
      <c r="I43" s="334"/>
      <c r="J43" s="334"/>
      <c r="K43" s="334"/>
      <c r="L43" s="334"/>
      <c r="M43" s="334"/>
      <c r="N43" s="334"/>
      <c r="O43" s="334"/>
      <c r="P43" s="334"/>
      <c r="Q43" s="334"/>
      <c r="R43" s="334"/>
      <c r="S43" s="334"/>
      <c r="T43" s="334"/>
      <c r="U43" s="334"/>
      <c r="V43" s="334"/>
      <c r="W43" s="334"/>
      <c r="X43" s="320" t="str">
        <f>IFERROR(TEXT(INDEX('Input Data'!F:F,MATCH("8.03",'Input Data'!C:C,0)),"#,##0.0")&amp;" sqm","—")</f>
        <v>116.3 sqm</v>
      </c>
      <c r="Y43" s="320"/>
      <c r="Z43" s="320"/>
      <c r="AA43" s="320"/>
      <c r="AB43" s="320"/>
      <c r="AC43" s="18"/>
      <c r="AD43" s="18"/>
    </row>
    <row r="44" spans="1:30" ht="13.5" customHeight="1" x14ac:dyDescent="0.35">
      <c r="A44" s="18"/>
      <c r="B44" s="315"/>
      <c r="C44" s="315"/>
      <c r="D44" s="335" t="str">
        <f>IFERROR("Face $"&amp;TEXT(INDEX('Input Data'!J:J,MATCH("8.01",'Input Data'!C:C,0)),"#,##0")&amp;" | Net $"&amp;TEXT(INDEX('Input Data'!Q:Q,MATCH("8.01",'Input Data'!C:C,0)),"#,##0 pa"),"—")</f>
        <v>Face $1,029 | Net $577,102 pa</v>
      </c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35"/>
      <c r="Q44" s="335"/>
      <c r="R44" s="335"/>
      <c r="S44" s="335"/>
      <c r="T44" s="335"/>
      <c r="U44" s="335"/>
      <c r="V44" s="335"/>
      <c r="W44" s="335"/>
      <c r="X44" s="322" t="str">
        <f>IFERROR("Face $"&amp;TEXT(INDEX('Input Data'!J:J,MATCH("8.03",'Input Data'!C:C,0)),"#,##0")&amp;" | Net $"&amp;TEXT(INDEX('Input Data'!Q:Q,MATCH("8.03",'Input Data'!C:C,0)),"#,##0 pa"),"—")</f>
        <v>Face $1,027 | Net $76,043 pa</v>
      </c>
      <c r="Y44" s="322"/>
      <c r="Z44" s="322"/>
      <c r="AA44" s="322"/>
      <c r="AB44" s="322"/>
      <c r="AC44" s="18"/>
      <c r="AD44" s="18"/>
    </row>
    <row r="45" spans="1:30" ht="13.5" customHeight="1" x14ac:dyDescent="0.35">
      <c r="A45" s="18"/>
      <c r="B45" s="315"/>
      <c r="C45" s="315"/>
      <c r="D45" s="335" t="str">
        <f>IFERROR("Outg $"&amp;TEXT(INDEX('Input Data'!M:M,MATCH("8.01",'Input Data'!C:C,0)),"#,##0")&amp;" | Rev: "&amp;INDEX('Input Data'!S:S,MATCH("8.01",'Input Data'!C:C,0)),"—")</f>
        <v>Outg $78,860 | Rev: FIXED 4%</v>
      </c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22" t="str">
        <f>IFERROR("Outg $"&amp;TEXT(INDEX('Input Data'!M:M,MATCH("8.03",'Input Data'!C:C,0)),"#,##0")&amp;" | Rev: "&amp;INDEX('Input Data'!S:S,MATCH("8.03",'Input Data'!C:C,0)),"—")</f>
        <v>Outg $3,020 | Rev: FIXED 3.75%</v>
      </c>
      <c r="Y45" s="322"/>
      <c r="Z45" s="322"/>
      <c r="AA45" s="322"/>
      <c r="AB45" s="322"/>
      <c r="AC45" s="18"/>
      <c r="AD45" s="18"/>
    </row>
    <row r="46" spans="1:30" ht="13.5" customHeight="1" x14ac:dyDescent="0.35">
      <c r="A46" s="18"/>
      <c r="B46" s="315"/>
      <c r="C46" s="315"/>
      <c r="D46" s="334" t="str">
        <f ca="1">IFERROR("Exp: "&amp;TEXT(INDEX('Input Data'!H:H,MATCH("8.01",'Input Data'!C:C,0)),"MMM-YY")&amp;" ("&amp;TEXT(INDEX('Input Data'!V:V,MATCH("8.01",'Input Data'!C:C,0)),"0.0")&amp;" yrs)","—")</f>
        <v>Exp: Jun-28 (1.7 yrs)</v>
      </c>
      <c r="E46" s="334"/>
      <c r="F46" s="334"/>
      <c r="G46" s="334"/>
      <c r="H46" s="334"/>
      <c r="I46" s="334"/>
      <c r="J46" s="334"/>
      <c r="K46" s="334"/>
      <c r="L46" s="334"/>
      <c r="M46" s="334"/>
      <c r="N46" s="334"/>
      <c r="O46" s="334"/>
      <c r="P46" s="334"/>
      <c r="Q46" s="334"/>
      <c r="R46" s="334"/>
      <c r="S46" s="334"/>
      <c r="T46" s="334"/>
      <c r="U46" s="334"/>
      <c r="V46" s="334"/>
      <c r="W46" s="334"/>
      <c r="X46" s="320" t="str">
        <f ca="1">IFERROR("Exp: "&amp;TEXT(INDEX('Input Data'!H:H,MATCH("8.03",'Input Data'!C:C,0)),"MMM-YY")&amp;" ("&amp;TEXT(INDEX('Input Data'!V:V,MATCH("8.03",'Input Data'!C:C,0)),"0.0")&amp;" yrs)","—")</f>
        <v>Exp: Oct-30 (4.0 yrs)</v>
      </c>
      <c r="Y46" s="320"/>
      <c r="Z46" s="320"/>
      <c r="AA46" s="320"/>
      <c r="AB46" s="320"/>
      <c r="AC46" s="18"/>
      <c r="AD46" s="18"/>
    </row>
    <row r="47" spans="1:30" ht="13.5" customHeight="1" x14ac:dyDescent="0.35">
      <c r="A47" s="18"/>
      <c r="B47" s="315"/>
      <c r="C47" s="315"/>
      <c r="D47" s="334" t="str">
        <f ca="1">IFERROR(TEXT(INDEX('Input Data'!V:V,MATCH("8.01",'Input Data'!C:C,0)),"0.0")&amp;" yrs remaining","—")</f>
        <v>1.7 yrs remaining</v>
      </c>
      <c r="E47" s="334"/>
      <c r="F47" s="334"/>
      <c r="G47" s="334"/>
      <c r="H47" s="334"/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4"/>
      <c r="T47" s="334"/>
      <c r="U47" s="334"/>
      <c r="V47" s="334"/>
      <c r="W47" s="334"/>
      <c r="X47" s="320" t="str">
        <f ca="1">IFERROR(TEXT(INDEX('Input Data'!V:V,MATCH("8.03",'Input Data'!C:C,0)),"0.0")&amp;" yrs remaining","—")</f>
        <v>4.0 yrs remaining</v>
      </c>
      <c r="Y47" s="320"/>
      <c r="Z47" s="320"/>
      <c r="AA47" s="320"/>
      <c r="AB47" s="320"/>
      <c r="AC47" s="18"/>
      <c r="AD47" s="18"/>
    </row>
    <row r="48" spans="1:30" ht="3.75" customHeight="1" x14ac:dyDescent="0.35">
      <c r="A48" s="18"/>
      <c r="B48" s="315"/>
      <c r="C48" s="315"/>
      <c r="D48" s="334"/>
      <c r="E48" s="334"/>
      <c r="F48" s="334"/>
      <c r="G48" s="334"/>
      <c r="H48" s="334"/>
      <c r="I48" s="334"/>
      <c r="J48" s="334"/>
      <c r="K48" s="334"/>
      <c r="L48" s="334"/>
      <c r="M48" s="334"/>
      <c r="N48" s="334"/>
      <c r="O48" s="334"/>
      <c r="P48" s="334"/>
      <c r="Q48" s="334"/>
      <c r="R48" s="334"/>
      <c r="S48" s="334"/>
      <c r="T48" s="334"/>
      <c r="U48" s="334"/>
      <c r="V48" s="334"/>
      <c r="W48" s="334"/>
      <c r="X48" s="320"/>
      <c r="Y48" s="320"/>
      <c r="Z48" s="320"/>
      <c r="AA48" s="320"/>
      <c r="AB48" s="320"/>
      <c r="AC48" s="18"/>
      <c r="AD48" s="18"/>
    </row>
    <row r="49" spans="1:30" ht="3" customHeight="1" x14ac:dyDescent="0.3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spans="1:30" ht="18" customHeight="1" x14ac:dyDescent="0.35">
      <c r="A50" s="18"/>
      <c r="B50" s="315" t="s">
        <v>487</v>
      </c>
      <c r="C50" s="316">
        <v>849.6</v>
      </c>
      <c r="D50" s="317" t="str">
        <f>IFERROR(INDEX('Input Data'!D:D,MATCH("7.01",'Input Data'!C:C,0)),"—")</f>
        <v>Sungrow Australia Group</v>
      </c>
      <c r="E50" s="317"/>
      <c r="F50" s="317"/>
      <c r="G50" s="317"/>
      <c r="H50" s="317"/>
      <c r="I50" s="317"/>
      <c r="J50" s="317"/>
      <c r="K50" s="317"/>
      <c r="L50" s="317"/>
      <c r="M50" s="317"/>
      <c r="N50" s="317"/>
      <c r="O50" s="317"/>
      <c r="P50" s="317"/>
      <c r="Q50" s="317"/>
      <c r="R50" s="317" t="str">
        <f>IFERROR(INDEX('Input Data'!D:D,MATCH("7.02",'Input Data'!C:C,0)),"—")</f>
        <v>Sungrow Australia Group</v>
      </c>
      <c r="S50" s="317"/>
      <c r="T50" s="317"/>
      <c r="U50" s="317"/>
      <c r="V50" s="317"/>
      <c r="W50" s="317"/>
      <c r="X50" s="317"/>
      <c r="Y50" s="317"/>
      <c r="Z50" s="317"/>
      <c r="AA50" s="317"/>
      <c r="AB50" s="317"/>
      <c r="AC50" s="18"/>
      <c r="AD50" s="18"/>
    </row>
    <row r="51" spans="1:30" ht="13.5" customHeight="1" x14ac:dyDescent="0.35">
      <c r="A51" s="18"/>
      <c r="B51" s="315"/>
      <c r="C51" s="315"/>
      <c r="D51" s="319" t="str">
        <f>IFERROR("7.01 — "&amp;INDEX('Input Data'!B:B,MATCH("7.01",'Input Data'!C:C,0)),"—")</f>
        <v>7.01 — L07</v>
      </c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 t="str">
        <f>IFERROR("7.02 — "&amp;INDEX('Input Data'!B:B,MATCH("7.02",'Input Data'!C:C,0)),"—")</f>
        <v>7.02 — L07</v>
      </c>
      <c r="S51" s="319"/>
      <c r="T51" s="319"/>
      <c r="U51" s="319"/>
      <c r="V51" s="319"/>
      <c r="W51" s="319"/>
      <c r="X51" s="319"/>
      <c r="Y51" s="319"/>
      <c r="Z51" s="319"/>
      <c r="AA51" s="319"/>
      <c r="AB51" s="319"/>
      <c r="AC51" s="18"/>
      <c r="AD51" s="18"/>
    </row>
    <row r="52" spans="1:30" ht="13.5" customHeight="1" x14ac:dyDescent="0.35">
      <c r="A52" s="18"/>
      <c r="B52" s="315"/>
      <c r="C52" s="315"/>
      <c r="D52" s="319" t="str">
        <f>IFERROR(TEXT(INDEX('Input Data'!F:F,MATCH("7.01",'Input Data'!C:C,0)),"#,##0.0")&amp;" sqm","—")</f>
        <v>484.1 sqm</v>
      </c>
      <c r="E52" s="319"/>
      <c r="F52" s="319"/>
      <c r="G52" s="319"/>
      <c r="H52" s="319"/>
      <c r="I52" s="319"/>
      <c r="J52" s="319"/>
      <c r="K52" s="319"/>
      <c r="L52" s="319"/>
      <c r="M52" s="319"/>
      <c r="N52" s="319"/>
      <c r="O52" s="319"/>
      <c r="P52" s="319"/>
      <c r="Q52" s="319"/>
      <c r="R52" s="319" t="str">
        <f>IFERROR(TEXT(INDEX('Input Data'!F:F,MATCH("7.02",'Input Data'!C:C,0)),"#,##0.0")&amp;" sqm","—")</f>
        <v>365.5 sqm</v>
      </c>
      <c r="S52" s="319"/>
      <c r="T52" s="319"/>
      <c r="U52" s="319"/>
      <c r="V52" s="319"/>
      <c r="W52" s="319"/>
      <c r="X52" s="319"/>
      <c r="Y52" s="319"/>
      <c r="Z52" s="319"/>
      <c r="AA52" s="319"/>
      <c r="AB52" s="319"/>
      <c r="AC52" s="18"/>
      <c r="AD52" s="18"/>
    </row>
    <row r="53" spans="1:30" ht="13.5" customHeight="1" x14ac:dyDescent="0.35">
      <c r="A53" s="18"/>
      <c r="B53" s="315"/>
      <c r="C53" s="315"/>
      <c r="D53" s="321" t="str">
        <f>IFERROR("Face $"&amp;TEXT(INDEX('Input Data'!J:J,MATCH("7.01",'Input Data'!C:C,0)),"#,##0")&amp;" | Net $"&amp;TEXT(INDEX('Input Data'!Q:Q,MATCH("7.01",'Input Data'!C:C,0)),"#,##0 pa"),"—")</f>
        <v>Face $1,911 | Net $693,732 pa</v>
      </c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 t="str">
        <f>IFERROR("Face $"&amp;TEXT(INDEX('Input Data'!J:J,MATCH("7.02",'Input Data'!C:C,0)),"#,##0")&amp;" | Net $"&amp;TEXT(INDEX('Input Data'!Q:Q,MATCH("7.02",'Input Data'!C:C,0)),"#,##0 pa"),"—")</f>
        <v>Face $0 | Net $37,147 pa</v>
      </c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18"/>
      <c r="AD53" s="18"/>
    </row>
    <row r="54" spans="1:30" ht="13.5" customHeight="1" x14ac:dyDescent="0.35">
      <c r="A54" s="18"/>
      <c r="B54" s="315"/>
      <c r="C54" s="315"/>
      <c r="D54" s="321" t="str">
        <f>IFERROR("Outg $"&amp;TEXT(INDEX('Input Data'!M:M,MATCH("7.01",'Input Data'!C:C,0)),"#,##0")&amp;" | Rev: "&amp;INDEX('Input Data'!S:S,MATCH("7.01",'Input Data'!C:C,0)),"—")</f>
        <v>Outg $49,200 | Rev: FIXED 3.75%</v>
      </c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 t="str">
        <f>IFERROR("Outg $"&amp;TEXT(INDEX('Input Data'!M:M,MATCH("7.02",'Input Data'!C:C,0)),"#,##0")&amp;" | Rev: "&amp;INDEX('Input Data'!S:S,MATCH("7.02",'Input Data'!C:C,0)),"—")</f>
        <v>Outg $37,147 | Rev: FIXED 3.75%</v>
      </c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18"/>
      <c r="AD54" s="18"/>
    </row>
    <row r="55" spans="1:30" ht="13.5" customHeight="1" x14ac:dyDescent="0.35">
      <c r="A55" s="18"/>
      <c r="B55" s="315"/>
      <c r="C55" s="315"/>
      <c r="D55" s="319" t="str">
        <f ca="1">IFERROR("Exp: "&amp;TEXT(INDEX('Input Data'!H:H,MATCH("7.01",'Input Data'!C:C,0)),"MMM-YY")&amp;" ("&amp;TEXT(INDEX('Input Data'!V:V,MATCH("7.01",'Input Data'!C:C,0)),"0.0")&amp;" yrs)","—")</f>
        <v>Exp: Sep-29 (2.9 yrs)</v>
      </c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 t="str">
        <f ca="1">IFERROR("Exp: "&amp;TEXT(INDEX('Input Data'!H:H,MATCH("7.02",'Input Data'!C:C,0)),"MMM-YY")&amp;" ("&amp;TEXT(INDEX('Input Data'!V:V,MATCH("7.02",'Input Data'!C:C,0)),"0.0")&amp;" yrs)","—")</f>
        <v>Exp: Sep-29 (2.9 yrs)</v>
      </c>
      <c r="S55" s="319"/>
      <c r="T55" s="319"/>
      <c r="U55" s="319"/>
      <c r="V55" s="319"/>
      <c r="W55" s="319"/>
      <c r="X55" s="319"/>
      <c r="Y55" s="319"/>
      <c r="Z55" s="319"/>
      <c r="AA55" s="319"/>
      <c r="AB55" s="319"/>
      <c r="AC55" s="18"/>
      <c r="AD55" s="18"/>
    </row>
    <row r="56" spans="1:30" ht="13.5" customHeight="1" x14ac:dyDescent="0.35">
      <c r="A56" s="18"/>
      <c r="B56" s="315"/>
      <c r="C56" s="315"/>
      <c r="D56" s="319" t="str">
        <f ca="1">IFERROR(TEXT(INDEX('Input Data'!V:V,MATCH("7.01",'Input Data'!C:C,0)),"0.0")&amp;" yrs remaining","—")</f>
        <v>2.9 yrs remaining</v>
      </c>
      <c r="E56" s="319"/>
      <c r="F56" s="319"/>
      <c r="G56" s="319"/>
      <c r="H56" s="319"/>
      <c r="I56" s="319"/>
      <c r="J56" s="319"/>
      <c r="K56" s="319"/>
      <c r="L56" s="319"/>
      <c r="M56" s="319"/>
      <c r="N56" s="319"/>
      <c r="O56" s="319"/>
      <c r="P56" s="319"/>
      <c r="Q56" s="319"/>
      <c r="R56" s="319" t="str">
        <f ca="1">IFERROR(TEXT(INDEX('Input Data'!V:V,MATCH("7.02",'Input Data'!C:C,0)),"0.0")&amp;" yrs remaining","—")</f>
        <v>2.9 yrs remaining</v>
      </c>
      <c r="S56" s="319"/>
      <c r="T56" s="319"/>
      <c r="U56" s="319"/>
      <c r="V56" s="319"/>
      <c r="W56" s="319"/>
      <c r="X56" s="319"/>
      <c r="Y56" s="319"/>
      <c r="Z56" s="319"/>
      <c r="AA56" s="319"/>
      <c r="AB56" s="319"/>
      <c r="AC56" s="18"/>
      <c r="AD56" s="18"/>
    </row>
    <row r="57" spans="1:30" ht="3.75" customHeight="1" x14ac:dyDescent="0.35">
      <c r="A57" s="18"/>
      <c r="B57" s="315"/>
      <c r="C57" s="315"/>
      <c r="D57" s="319"/>
      <c r="E57" s="319"/>
      <c r="F57" s="319"/>
      <c r="G57" s="319"/>
      <c r="H57" s="319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19"/>
      <c r="AB57" s="319"/>
      <c r="AC57" s="18"/>
      <c r="AD57" s="18"/>
    </row>
    <row r="58" spans="1:30" ht="3" customHeight="1" x14ac:dyDescent="0.3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spans="1:30" ht="18" customHeight="1" x14ac:dyDescent="0.35">
      <c r="A59" s="18"/>
      <c r="B59" s="315" t="s">
        <v>488</v>
      </c>
      <c r="C59" s="316">
        <v>1095.4000000000001</v>
      </c>
      <c r="D59" s="324" t="str">
        <f>IFERROR(INDEX('Input Data'!D:D,MATCH("6.01",'Input Data'!C:C,0)),"—")</f>
        <v>Caldas Constructions Pty Ltd</v>
      </c>
      <c r="E59" s="324"/>
      <c r="F59" s="324"/>
      <c r="G59" s="324"/>
      <c r="H59" s="324"/>
      <c r="I59" s="317" t="str">
        <f>IFERROR(INDEX('Input Data'!D:D,MATCH("6.02",'Input Data'!C:C,0)),"—")</f>
        <v>Sungrow Australia Group</v>
      </c>
      <c r="J59" s="317"/>
      <c r="K59" s="317"/>
      <c r="L59" s="317"/>
      <c r="M59" s="317"/>
      <c r="N59" s="317"/>
      <c r="O59" s="317"/>
      <c r="P59" s="317"/>
      <c r="Q59" s="317"/>
      <c r="R59" s="330" t="str">
        <f>IFERROR(INDEX('Input Data'!D:D,MATCH("6.03",'Input Data'!C:C,0)),"—")</f>
        <v>Keeping Company Pty Ltd</v>
      </c>
      <c r="S59" s="330"/>
      <c r="T59" s="330"/>
      <c r="U59" s="330"/>
      <c r="V59" s="330"/>
      <c r="W59" s="324" t="str">
        <f>IFERROR(INDEX('Input Data'!D:D,MATCH("6.04",'Input Data'!C:C,0)),"—")</f>
        <v>Elekta Pty Limited</v>
      </c>
      <c r="X59" s="324"/>
      <c r="Y59" s="324"/>
      <c r="Z59" s="324"/>
      <c r="AA59" s="324"/>
      <c r="AB59" s="324"/>
      <c r="AC59" s="18"/>
      <c r="AD59" s="18"/>
    </row>
    <row r="60" spans="1:30" ht="13.5" customHeight="1" x14ac:dyDescent="0.35">
      <c r="A60" s="18"/>
      <c r="B60" s="315"/>
      <c r="C60" s="315"/>
      <c r="D60" s="326" t="str">
        <f>IFERROR("6.01 — "&amp;INDEX('Input Data'!B:B,MATCH("6.01",'Input Data'!C:C,0)),"—")</f>
        <v>6.01 — L06</v>
      </c>
      <c r="E60" s="326"/>
      <c r="F60" s="326"/>
      <c r="G60" s="326"/>
      <c r="H60" s="326"/>
      <c r="I60" s="319" t="str">
        <f>IFERROR("6.02 — "&amp;INDEX('Input Data'!B:B,MATCH("6.02",'Input Data'!C:C,0)),"—")</f>
        <v>6.02 — L06</v>
      </c>
      <c r="J60" s="319"/>
      <c r="K60" s="319"/>
      <c r="L60" s="319"/>
      <c r="M60" s="319"/>
      <c r="N60" s="319"/>
      <c r="O60" s="319"/>
      <c r="P60" s="319"/>
      <c r="Q60" s="319"/>
      <c r="R60" s="331" t="str">
        <f>IFERROR("6.03 — "&amp;INDEX('Input Data'!B:B,MATCH("6.03",'Input Data'!C:C,0)),"—")</f>
        <v>6.03 — L06</v>
      </c>
      <c r="S60" s="331"/>
      <c r="T60" s="331"/>
      <c r="U60" s="331"/>
      <c r="V60" s="331"/>
      <c r="W60" s="326" t="str">
        <f>IFERROR("6.04 — "&amp;INDEX('Input Data'!B:B,MATCH("6.04",'Input Data'!C:C,0)),"—")</f>
        <v>6.04 — L06</v>
      </c>
      <c r="X60" s="326"/>
      <c r="Y60" s="326"/>
      <c r="Z60" s="326"/>
      <c r="AA60" s="326"/>
      <c r="AB60" s="326"/>
      <c r="AC60" s="18"/>
      <c r="AD60" s="18"/>
    </row>
    <row r="61" spans="1:30" ht="13.5" customHeight="1" x14ac:dyDescent="0.35">
      <c r="A61" s="18"/>
      <c r="B61" s="315"/>
      <c r="C61" s="315"/>
      <c r="D61" s="326" t="str">
        <f>IFERROR(TEXT(INDEX('Input Data'!F:F,MATCH("6.01",'Input Data'!C:C,0)),"#,##0.0")&amp;" sqm","—")</f>
        <v>186.4 sqm</v>
      </c>
      <c r="E61" s="326"/>
      <c r="F61" s="326"/>
      <c r="G61" s="326"/>
      <c r="H61" s="326"/>
      <c r="I61" s="319" t="str">
        <f>IFERROR(TEXT(INDEX('Input Data'!F:F,MATCH("6.02",'Input Data'!C:C,0)),"#,##0.0")&amp;" sqm","—")</f>
        <v>451.7 sqm</v>
      </c>
      <c r="J61" s="319"/>
      <c r="K61" s="319"/>
      <c r="L61" s="319"/>
      <c r="M61" s="319"/>
      <c r="N61" s="319"/>
      <c r="O61" s="319"/>
      <c r="P61" s="319"/>
      <c r="Q61" s="319"/>
      <c r="R61" s="331" t="str">
        <f>IFERROR(TEXT(INDEX('Input Data'!F:F,MATCH("6.03",'Input Data'!C:C,0)),"#,##0.0")&amp;" sqm","—")</f>
        <v>189.4 sqm</v>
      </c>
      <c r="S61" s="331"/>
      <c r="T61" s="331"/>
      <c r="U61" s="331"/>
      <c r="V61" s="331"/>
      <c r="W61" s="326" t="str">
        <f>IFERROR(TEXT(INDEX('Input Data'!F:F,MATCH("6.04",'Input Data'!C:C,0)),"#,##0.0")&amp;" sqm","—")</f>
        <v>267.9 sqm</v>
      </c>
      <c r="X61" s="326"/>
      <c r="Y61" s="326"/>
      <c r="Z61" s="326"/>
      <c r="AA61" s="326"/>
      <c r="AB61" s="326"/>
      <c r="AC61" s="18"/>
      <c r="AD61" s="18"/>
    </row>
    <row r="62" spans="1:30" ht="13.5" customHeight="1" x14ac:dyDescent="0.35">
      <c r="A62" s="18"/>
      <c r="B62" s="315"/>
      <c r="C62" s="315"/>
      <c r="D62" s="328" t="str">
        <f>IFERROR("Face $"&amp;TEXT(INDEX('Input Data'!J:J,MATCH("6.01",'Input Data'!C:C,0)),"#,##0")&amp;" | Net $"&amp;TEXT(INDEX('Input Data'!Q:Q,MATCH("6.01",'Input Data'!C:C,0)),"#,##0 pa"),"—")</f>
        <v>Face $920 | Net $-340,767 pa</v>
      </c>
      <c r="E62" s="328"/>
      <c r="F62" s="328"/>
      <c r="G62" s="328"/>
      <c r="H62" s="328"/>
      <c r="I62" s="321" t="str">
        <f>IFERROR("Face $"&amp;TEXT(INDEX('Input Data'!J:J,MATCH("6.02",'Input Data'!C:C,0)),"#,##0")&amp;" | Net $"&amp;TEXT(INDEX('Input Data'!Q:Q,MATCH("6.02",'Input Data'!C:C,0)),"#,##0 pa"),"—")</f>
        <v>Face $955 | Net $283,260 pa</v>
      </c>
      <c r="J62" s="321"/>
      <c r="K62" s="321"/>
      <c r="L62" s="321"/>
      <c r="M62" s="321"/>
      <c r="N62" s="321"/>
      <c r="O62" s="321"/>
      <c r="P62" s="321"/>
      <c r="Q62" s="321"/>
      <c r="R62" s="332" t="str">
        <f>IFERROR("Face $"&amp;TEXT(INDEX('Input Data'!J:J,MATCH("6.03",'Input Data'!C:C,0)),"#,##0")&amp;" | Net $"&amp;TEXT(INDEX('Input Data'!Q:Q,MATCH("6.03",'Input Data'!C:C,0)),"#,##0 pa"),"—")</f>
        <v>Face $1,056 | Net $219,057 pa</v>
      </c>
      <c r="S62" s="332"/>
      <c r="T62" s="332"/>
      <c r="U62" s="332"/>
      <c r="V62" s="332"/>
      <c r="W62" s="328" t="str">
        <f>IFERROR("Face $"&amp;TEXT(INDEX('Input Data'!J:J,MATCH("6.04",'Input Data'!C:C,0)),"#,##0")&amp;" | Net $"&amp;TEXT(INDEX('Input Data'!Q:Q,MATCH("6.04",'Input Data'!C:C,0)),"#,##0 pa"),"—")</f>
        <v>Face $955 | Net $171,547 pa</v>
      </c>
      <c r="X62" s="328"/>
      <c r="Y62" s="328"/>
      <c r="Z62" s="328"/>
      <c r="AA62" s="328"/>
      <c r="AB62" s="328"/>
      <c r="AC62" s="18"/>
      <c r="AD62" s="18"/>
    </row>
    <row r="63" spans="1:30" ht="13.5" customHeight="1" x14ac:dyDescent="0.35">
      <c r="A63" s="18"/>
      <c r="B63" s="315"/>
      <c r="C63" s="315"/>
      <c r="D63" s="328" t="str">
        <f>IFERROR("Outg $"&amp;TEXT(INDEX('Input Data'!M:M,MATCH("6.01",'Input Data'!C:C,0)),"#,##0")&amp;" | Rev: "&amp;INDEX('Input Data'!S:S,MATCH("6.01",'Input Data'!C:C,0)),"—")</f>
        <v xml:space="preserve">Outg $0 | Rev: </v>
      </c>
      <c r="E63" s="328"/>
      <c r="F63" s="328"/>
      <c r="G63" s="328"/>
      <c r="H63" s="328"/>
      <c r="I63" s="321" t="str">
        <f>IFERROR("Outg $"&amp;TEXT(INDEX('Input Data'!M:M,MATCH("6.02",'Input Data'!C:C,0)),"#,##0")&amp;" | Rev: "&amp;INDEX('Input Data'!S:S,MATCH("6.02",'Input Data'!C:C,0)),"—")</f>
        <v>Outg $45,907 | Rev: FIXED 3.75%</v>
      </c>
      <c r="J63" s="321"/>
      <c r="K63" s="321"/>
      <c r="L63" s="321"/>
      <c r="M63" s="321"/>
      <c r="N63" s="321"/>
      <c r="O63" s="321"/>
      <c r="P63" s="321"/>
      <c r="Q63" s="321"/>
      <c r="R63" s="332" t="str">
        <f>IFERROR("Outg $"&amp;TEXT(INDEX('Input Data'!M:M,MATCH("6.03",'Input Data'!C:C,0)),"#,##0")&amp;" | Rev: "&amp;INDEX('Input Data'!S:S,MATCH("6.03",'Input Data'!C:C,0)),"—")</f>
        <v>Outg $19,249 | Rev: FIXED 3.5%</v>
      </c>
      <c r="S63" s="332"/>
      <c r="T63" s="332"/>
      <c r="U63" s="332"/>
      <c r="V63" s="332"/>
      <c r="W63" s="328" t="str">
        <f>IFERROR("Outg $"&amp;TEXT(INDEX('Input Data'!M:M,MATCH("6.04",'Input Data'!C:C,0)),"#,##0")&amp;" | Rev: "&amp;INDEX('Input Data'!S:S,MATCH("6.04",'Input Data'!C:C,0)),"—")</f>
        <v>Outg $6,957 | Rev: FIXED (3.75%)</v>
      </c>
      <c r="X63" s="328"/>
      <c r="Y63" s="328"/>
      <c r="Z63" s="328"/>
      <c r="AA63" s="328"/>
      <c r="AB63" s="328"/>
      <c r="AC63" s="18"/>
      <c r="AD63" s="18"/>
    </row>
    <row r="64" spans="1:30" ht="13.5" customHeight="1" x14ac:dyDescent="0.35">
      <c r="A64" s="18"/>
      <c r="B64" s="315"/>
      <c r="C64" s="315"/>
      <c r="D64" s="326" t="str">
        <f ca="1">IFERROR("Exp: "&amp;TEXT(INDEX('Input Data'!H:H,MATCH("6.01",'Input Data'!C:C,0)),"MMM-YY")&amp;" ("&amp;TEXT(INDEX('Input Data'!V:V,MATCH("6.01",'Input Data'!C:C,0)),"0.0")&amp;" yrs)","—")</f>
        <v>Exp: Jun-32 (5.7 yrs)</v>
      </c>
      <c r="E64" s="326"/>
      <c r="F64" s="326"/>
      <c r="G64" s="326"/>
      <c r="H64" s="326"/>
      <c r="I64" s="319" t="str">
        <f ca="1">IFERROR("Exp: "&amp;TEXT(INDEX('Input Data'!H:H,MATCH("6.02",'Input Data'!C:C,0)),"MMM-YY")&amp;" ("&amp;TEXT(INDEX('Input Data'!V:V,MATCH("6.02",'Input Data'!C:C,0)),"0.0")&amp;" yrs)","—")</f>
        <v>Exp: Sep-29 (2.9 yrs)</v>
      </c>
      <c r="J64" s="319"/>
      <c r="K64" s="319"/>
      <c r="L64" s="319"/>
      <c r="M64" s="319"/>
      <c r="N64" s="319"/>
      <c r="O64" s="319"/>
      <c r="P64" s="319"/>
      <c r="Q64" s="319"/>
      <c r="R64" s="331" t="str">
        <f ca="1">IFERROR("Exp: "&amp;TEXT(INDEX('Input Data'!H:H,MATCH("6.03",'Input Data'!C:C,0)),"MMM-YY")&amp;" ("&amp;TEXT(INDEX('Input Data'!V:V,MATCH("6.03",'Input Data'!C:C,0)),"0.0")&amp;" yrs)","—")</f>
        <v>Exp: May-27 (0.6 yrs)</v>
      </c>
      <c r="S64" s="331"/>
      <c r="T64" s="331"/>
      <c r="U64" s="331"/>
      <c r="V64" s="331"/>
      <c r="W64" s="326" t="str">
        <f ca="1">IFERROR("Exp: "&amp;TEXT(INDEX('Input Data'!H:H,MATCH("6.04",'Input Data'!C:C,0)),"MMM-YY")&amp;" ("&amp;TEXT(INDEX('Input Data'!V:V,MATCH("6.04",'Input Data'!C:C,0)),"0.0")&amp;" yrs)","—")</f>
        <v>Exp: Jul-32 (5.8 yrs)</v>
      </c>
      <c r="X64" s="326"/>
      <c r="Y64" s="326"/>
      <c r="Z64" s="326"/>
      <c r="AA64" s="326"/>
      <c r="AB64" s="326"/>
      <c r="AC64" s="18"/>
      <c r="AD64" s="18"/>
    </row>
    <row r="65" spans="1:30" ht="13.5" customHeight="1" x14ac:dyDescent="0.35">
      <c r="A65" s="18"/>
      <c r="B65" s="315"/>
      <c r="C65" s="315"/>
      <c r="D65" s="326" t="str">
        <f ca="1">IFERROR(TEXT(INDEX('Input Data'!V:V,MATCH("6.01",'Input Data'!C:C,0)),"0.0")&amp;" yrs remaining","—")</f>
        <v>5.7 yrs remaining</v>
      </c>
      <c r="E65" s="326"/>
      <c r="F65" s="326"/>
      <c r="G65" s="326"/>
      <c r="H65" s="326"/>
      <c r="I65" s="319" t="str">
        <f ca="1">IFERROR(TEXT(INDEX('Input Data'!V:V,MATCH("6.02",'Input Data'!C:C,0)),"0.0")&amp;" yrs remaining","—")</f>
        <v>2.9 yrs remaining</v>
      </c>
      <c r="J65" s="319"/>
      <c r="K65" s="319"/>
      <c r="L65" s="319"/>
      <c r="M65" s="319"/>
      <c r="N65" s="319"/>
      <c r="O65" s="319"/>
      <c r="P65" s="319"/>
      <c r="Q65" s="319"/>
      <c r="R65" s="331" t="str">
        <f ca="1">IFERROR(TEXT(INDEX('Input Data'!V:V,MATCH("6.03",'Input Data'!C:C,0)),"0.0")&amp;" yrs remaining","—")</f>
        <v>0.6 yrs remaining</v>
      </c>
      <c r="S65" s="331"/>
      <c r="T65" s="331"/>
      <c r="U65" s="331"/>
      <c r="V65" s="331"/>
      <c r="W65" s="326" t="str">
        <f ca="1">IFERROR(TEXT(INDEX('Input Data'!V:V,MATCH("6.04",'Input Data'!C:C,0)),"0.0")&amp;" yrs remaining","—")</f>
        <v>5.8 yrs remaining</v>
      </c>
      <c r="X65" s="326"/>
      <c r="Y65" s="326"/>
      <c r="Z65" s="326"/>
      <c r="AA65" s="326"/>
      <c r="AB65" s="326"/>
      <c r="AC65" s="18"/>
      <c r="AD65" s="18"/>
    </row>
    <row r="66" spans="1:30" ht="3.75" customHeight="1" x14ac:dyDescent="0.35">
      <c r="A66" s="18"/>
      <c r="B66" s="315"/>
      <c r="C66" s="315"/>
      <c r="D66" s="325"/>
      <c r="E66" s="325"/>
      <c r="F66" s="325"/>
      <c r="G66" s="325"/>
      <c r="H66" s="325"/>
      <c r="I66" s="319"/>
      <c r="J66" s="319"/>
      <c r="K66" s="319"/>
      <c r="L66" s="319"/>
      <c r="M66" s="319"/>
      <c r="N66" s="319"/>
      <c r="O66" s="319"/>
      <c r="P66" s="319"/>
      <c r="Q66" s="319"/>
      <c r="R66" s="331"/>
      <c r="S66" s="331"/>
      <c r="T66" s="331"/>
      <c r="U66" s="331"/>
      <c r="V66" s="331"/>
      <c r="W66" s="326"/>
      <c r="X66" s="326"/>
      <c r="Y66" s="326"/>
      <c r="Z66" s="326"/>
      <c r="AA66" s="326"/>
      <c r="AB66" s="326"/>
      <c r="AC66" s="18"/>
      <c r="AD66" s="18"/>
    </row>
    <row r="67" spans="1:30" ht="3" customHeight="1" x14ac:dyDescent="0.3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spans="1:30" ht="18" customHeight="1" x14ac:dyDescent="0.35">
      <c r="A68" s="18"/>
      <c r="B68" s="315" t="s">
        <v>489</v>
      </c>
      <c r="C68" s="316">
        <v>1080.4000000000001</v>
      </c>
      <c r="D68" s="324" t="str">
        <f>IFERROR(INDEX('Input Data'!D:D,MATCH("5.01",'Input Data'!C:C,0)),"—")</f>
        <v>Fitness First Australia Pty Limited</v>
      </c>
      <c r="E68" s="324"/>
      <c r="F68" s="324"/>
      <c r="G68" s="324"/>
      <c r="H68" s="324"/>
      <c r="I68" s="324"/>
      <c r="J68" s="324"/>
      <c r="K68" s="324"/>
      <c r="L68" s="324"/>
      <c r="M68" s="324"/>
      <c r="N68" s="317" t="str">
        <f>IFERROR(INDEX('Input Data'!D:D,MATCH("5.03",'Input Data'!C:C,0)),"—")</f>
        <v>Asterx Pty Ltd</v>
      </c>
      <c r="O68" s="317"/>
      <c r="P68" s="317"/>
      <c r="Q68" s="317"/>
      <c r="R68" s="317"/>
      <c r="S68" s="317" t="str">
        <f>IFERROR(INDEX('Input Data'!D:D,MATCH("5.04",'Input Data'!C:C,0)),"—")</f>
        <v>Auctionsplus Pty Ltd</v>
      </c>
      <c r="T68" s="317"/>
      <c r="U68" s="317"/>
      <c r="V68" s="317"/>
      <c r="W68" s="317"/>
      <c r="X68" s="317"/>
      <c r="Y68" s="317"/>
      <c r="Z68" s="317"/>
      <c r="AA68" s="317"/>
      <c r="AB68" s="317"/>
      <c r="AC68" s="18"/>
      <c r="AD68" s="18"/>
    </row>
    <row r="69" spans="1:30" ht="13.5" customHeight="1" x14ac:dyDescent="0.35">
      <c r="A69" s="18"/>
      <c r="B69" s="315"/>
      <c r="C69" s="315"/>
      <c r="D69" s="326" t="str">
        <f>IFERROR("5.01 — "&amp;INDEX('Input Data'!B:B,MATCH("5.01",'Input Data'!C:C,0)),"—")</f>
        <v>5.01 — L05</v>
      </c>
      <c r="E69" s="326"/>
      <c r="F69" s="326"/>
      <c r="G69" s="326"/>
      <c r="H69" s="326"/>
      <c r="I69" s="326"/>
      <c r="J69" s="326"/>
      <c r="K69" s="326"/>
      <c r="L69" s="326"/>
      <c r="M69" s="326"/>
      <c r="N69" s="319" t="str">
        <f>IFERROR("5.03 — "&amp;INDEX('Input Data'!B:B,MATCH("5.03",'Input Data'!C:C,0)),"—")</f>
        <v>5.03 — L05</v>
      </c>
      <c r="O69" s="319"/>
      <c r="P69" s="319"/>
      <c r="Q69" s="319"/>
      <c r="R69" s="319"/>
      <c r="S69" s="319" t="str">
        <f>IFERROR("5.04 — "&amp;INDEX('Input Data'!B:B,MATCH("5.04",'Input Data'!C:C,0)),"—")</f>
        <v>5.04 — L05</v>
      </c>
      <c r="T69" s="319"/>
      <c r="U69" s="319"/>
      <c r="V69" s="319"/>
      <c r="W69" s="319"/>
      <c r="X69" s="319"/>
      <c r="Y69" s="319"/>
      <c r="Z69" s="319"/>
      <c r="AA69" s="319"/>
      <c r="AB69" s="319"/>
      <c r="AC69" s="18"/>
      <c r="AD69" s="18"/>
    </row>
    <row r="70" spans="1:30" ht="13.5" customHeight="1" x14ac:dyDescent="0.35">
      <c r="A70" s="18"/>
      <c r="B70" s="315"/>
      <c r="C70" s="315"/>
      <c r="D70" s="326" t="str">
        <f>IFERROR(TEXT(INDEX('Input Data'!F:F,MATCH("5.01",'Input Data'!C:C,0)),"#,##0.0")&amp;" sqm","—")</f>
        <v>437.1 sqm</v>
      </c>
      <c r="E70" s="326"/>
      <c r="F70" s="326"/>
      <c r="G70" s="326"/>
      <c r="H70" s="326"/>
      <c r="I70" s="326"/>
      <c r="J70" s="326"/>
      <c r="K70" s="326"/>
      <c r="L70" s="326"/>
      <c r="M70" s="326"/>
      <c r="N70" s="319" t="str">
        <f>IFERROR(TEXT(INDEX('Input Data'!F:F,MATCH("5.03",'Input Data'!C:C,0)),"#,##0.0")&amp;" sqm","—")</f>
        <v>229.8 sqm</v>
      </c>
      <c r="O70" s="319"/>
      <c r="P70" s="319"/>
      <c r="Q70" s="319"/>
      <c r="R70" s="319"/>
      <c r="S70" s="319" t="str">
        <f>IFERROR(TEXT(INDEX('Input Data'!F:F,MATCH("5.04",'Input Data'!C:C,0)),"#,##0.0")&amp;" sqm","—")</f>
        <v>413.5 sqm</v>
      </c>
      <c r="T70" s="319"/>
      <c r="U70" s="319"/>
      <c r="V70" s="319"/>
      <c r="W70" s="319"/>
      <c r="X70" s="319"/>
      <c r="Y70" s="319"/>
      <c r="Z70" s="319"/>
      <c r="AA70" s="319"/>
      <c r="AB70" s="319"/>
      <c r="AC70" s="18"/>
      <c r="AD70" s="18"/>
    </row>
    <row r="71" spans="1:30" ht="13.5" customHeight="1" x14ac:dyDescent="0.35">
      <c r="A71" s="18"/>
      <c r="B71" s="315"/>
      <c r="C71" s="315"/>
      <c r="D71" s="328" t="str">
        <f>IFERROR("Face $"&amp;TEXT(INDEX('Input Data'!J:J,MATCH("5.01",'Input Data'!C:C,0)),"#,##0")&amp;" | Net $"&amp;TEXT(INDEX('Input Data'!Q:Q,MATCH("5.01",'Input Data'!C:C,0)),"#,##0 pa"),"—")</f>
        <v>Face $856 | Net $377,056 pa</v>
      </c>
      <c r="E71" s="328"/>
      <c r="F71" s="328"/>
      <c r="G71" s="328"/>
      <c r="H71" s="328"/>
      <c r="I71" s="328"/>
      <c r="J71" s="328"/>
      <c r="K71" s="328"/>
      <c r="L71" s="328"/>
      <c r="M71" s="328"/>
      <c r="N71" s="321" t="str">
        <f>IFERROR("Face $"&amp;TEXT(INDEX('Input Data'!J:J,MATCH("5.03",'Input Data'!C:C,0)),"#,##0")&amp;" | Net $"&amp;TEXT(INDEX('Input Data'!Q:Q,MATCH("5.03",'Input Data'!C:C,0)),"#,##0 pa"),"—")</f>
        <v>Face $986 | Net $205,033 pa</v>
      </c>
      <c r="O71" s="321"/>
      <c r="P71" s="321"/>
      <c r="Q71" s="321"/>
      <c r="R71" s="321"/>
      <c r="S71" s="321" t="str">
        <f>IFERROR("Face $"&amp;TEXT(INDEX('Input Data'!J:J,MATCH("5.04",'Input Data'!C:C,0)),"#,##0")&amp;" | Net $"&amp;TEXT(INDEX('Input Data'!Q:Q,MATCH("5.04",'Input Data'!C:C,0)),"#,##0 pa"),"—")</f>
        <v>Face $1,006 | Net $366,668 pa</v>
      </c>
      <c r="T71" s="321"/>
      <c r="U71" s="321"/>
      <c r="V71" s="321"/>
      <c r="W71" s="321"/>
      <c r="X71" s="321"/>
      <c r="Y71" s="321"/>
      <c r="Z71" s="321"/>
      <c r="AA71" s="321"/>
      <c r="AB71" s="321"/>
      <c r="AC71" s="18"/>
      <c r="AD71" s="18"/>
    </row>
    <row r="72" spans="1:30" ht="13.5" customHeight="1" x14ac:dyDescent="0.35">
      <c r="A72" s="18"/>
      <c r="B72" s="315"/>
      <c r="C72" s="315"/>
      <c r="D72" s="328" t="str">
        <f>IFERROR("Outg $"&amp;TEXT(INDEX('Input Data'!M:M,MATCH("5.01",'Input Data'!C:C,0)),"#,##0")&amp;" | Rev: "&amp;INDEX('Input Data'!S:S,MATCH("5.01",'Input Data'!C:C,0)),"—")</f>
        <v>Outg $0 | Rev: FIXED 4%</v>
      </c>
      <c r="E72" s="328"/>
      <c r="F72" s="328"/>
      <c r="G72" s="328"/>
      <c r="H72" s="328"/>
      <c r="I72" s="328"/>
      <c r="J72" s="328"/>
      <c r="K72" s="328"/>
      <c r="L72" s="328"/>
      <c r="M72" s="328"/>
      <c r="N72" s="321" t="str">
        <f>IFERROR("Outg $"&amp;TEXT(INDEX('Input Data'!M:M,MATCH("5.03",'Input Data'!C:C,0)),"#,##0")&amp;" | Rev: "&amp;INDEX('Input Data'!S:S,MATCH("5.03",'Input Data'!C:C,0)),"—")</f>
        <v>Outg $10,522 | Rev: FIXED 3.5%</v>
      </c>
      <c r="O72" s="321"/>
      <c r="P72" s="321"/>
      <c r="Q72" s="321"/>
      <c r="R72" s="321"/>
      <c r="S72" s="321" t="str">
        <f>IFERROR("Outg $"&amp;TEXT(INDEX('Input Data'!M:M,MATCH("5.04",'Input Data'!C:C,0)),"#,##0")&amp;" | Rev: "&amp;INDEX('Input Data'!S:S,MATCH("5.04",'Input Data'!C:C,0)),"—")</f>
        <v>Outg $40,069 | Rev: FIXED 4%</v>
      </c>
      <c r="T72" s="321"/>
      <c r="U72" s="321"/>
      <c r="V72" s="321"/>
      <c r="W72" s="321"/>
      <c r="X72" s="321"/>
      <c r="Y72" s="321"/>
      <c r="Z72" s="321"/>
      <c r="AA72" s="321"/>
      <c r="AB72" s="321"/>
      <c r="AC72" s="18"/>
      <c r="AD72" s="18"/>
    </row>
    <row r="73" spans="1:30" ht="13.5" customHeight="1" x14ac:dyDescent="0.35">
      <c r="A73" s="18"/>
      <c r="B73" s="315"/>
      <c r="C73" s="315"/>
      <c r="D73" s="326" t="str">
        <f ca="1">IFERROR("Exp: "&amp;TEXT(INDEX('Input Data'!H:H,MATCH("5.01",'Input Data'!C:C,0)),"MMM-YY")&amp;" ("&amp;TEXT(INDEX('Input Data'!V:V,MATCH("5.01",'Input Data'!C:C,0)),"0.0")&amp;" yrs)","—")</f>
        <v>Exp: Jun-31 (4.7 yrs)</v>
      </c>
      <c r="E73" s="326"/>
      <c r="F73" s="326"/>
      <c r="G73" s="326"/>
      <c r="H73" s="326"/>
      <c r="I73" s="326"/>
      <c r="J73" s="326"/>
      <c r="K73" s="326"/>
      <c r="L73" s="326"/>
      <c r="M73" s="326"/>
      <c r="N73" s="319" t="str">
        <f ca="1">IFERROR("Exp: "&amp;TEXT(INDEX('Input Data'!H:H,MATCH("5.03",'Input Data'!C:C,0)),"MMM-YY")&amp;" ("&amp;TEXT(INDEX('Input Data'!V:V,MATCH("5.03",'Input Data'!C:C,0)),"0.0")&amp;" yrs)","—")</f>
        <v>Exp: Jun-29 (2.7 yrs)</v>
      </c>
      <c r="O73" s="319"/>
      <c r="P73" s="319"/>
      <c r="Q73" s="319"/>
      <c r="R73" s="319"/>
      <c r="S73" s="319" t="str">
        <f ca="1">IFERROR("Exp: "&amp;TEXT(INDEX('Input Data'!H:H,MATCH("5.04",'Input Data'!C:C,0)),"MMM-YY")&amp;" ("&amp;TEXT(INDEX('Input Data'!V:V,MATCH("5.04",'Input Data'!C:C,0)),"0.0")&amp;" yrs)","—")</f>
        <v>Exp: Feb-29 (2.4 yrs)</v>
      </c>
      <c r="T73" s="319"/>
      <c r="U73" s="319"/>
      <c r="V73" s="319"/>
      <c r="W73" s="319"/>
      <c r="X73" s="319"/>
      <c r="Y73" s="319"/>
      <c r="Z73" s="319"/>
      <c r="AA73" s="319"/>
      <c r="AB73" s="319"/>
      <c r="AC73" s="18"/>
      <c r="AD73" s="18"/>
    </row>
    <row r="74" spans="1:30" ht="13.5" customHeight="1" x14ac:dyDescent="0.35">
      <c r="A74" s="18"/>
      <c r="B74" s="315"/>
      <c r="C74" s="315"/>
      <c r="D74" s="326" t="str">
        <f ca="1">IFERROR(TEXT(INDEX('Input Data'!V:V,MATCH("5.01",'Input Data'!C:C,0)),"0.0")&amp;" yrs remaining","—")</f>
        <v>4.7 yrs remaining</v>
      </c>
      <c r="E74" s="326"/>
      <c r="F74" s="326"/>
      <c r="G74" s="326"/>
      <c r="H74" s="326"/>
      <c r="I74" s="326"/>
      <c r="J74" s="326"/>
      <c r="K74" s="326"/>
      <c r="L74" s="326"/>
      <c r="M74" s="326"/>
      <c r="N74" s="319" t="str">
        <f ca="1">IFERROR(TEXT(INDEX('Input Data'!V:V,MATCH("5.03",'Input Data'!C:C,0)),"0.0")&amp;" yrs remaining","—")</f>
        <v>2.7 yrs remaining</v>
      </c>
      <c r="O74" s="319"/>
      <c r="P74" s="319"/>
      <c r="Q74" s="319"/>
      <c r="R74" s="319"/>
      <c r="S74" s="319" t="str">
        <f ca="1">IFERROR(TEXT(INDEX('Input Data'!V:V,MATCH("5.04",'Input Data'!C:C,0)),"0.0")&amp;" yrs remaining","—")</f>
        <v>2.4 yrs remaining</v>
      </c>
      <c r="T74" s="319"/>
      <c r="U74" s="319"/>
      <c r="V74" s="319"/>
      <c r="W74" s="319"/>
      <c r="X74" s="319"/>
      <c r="Y74" s="319"/>
      <c r="Z74" s="319"/>
      <c r="AA74" s="319"/>
      <c r="AB74" s="319"/>
      <c r="AC74" s="18"/>
      <c r="AD74" s="18"/>
    </row>
    <row r="75" spans="1:30" ht="3.75" customHeight="1" x14ac:dyDescent="0.35">
      <c r="A75" s="18"/>
      <c r="B75" s="315"/>
      <c r="C75" s="315"/>
      <c r="D75" s="326"/>
      <c r="E75" s="326"/>
      <c r="F75" s="326"/>
      <c r="G75" s="326"/>
      <c r="H75" s="326"/>
      <c r="I75" s="326"/>
      <c r="J75" s="326"/>
      <c r="K75" s="326"/>
      <c r="L75" s="326"/>
      <c r="M75" s="326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  <c r="AA75" s="319"/>
      <c r="AB75" s="319"/>
      <c r="AC75" s="18"/>
      <c r="AD75" s="18"/>
    </row>
    <row r="76" spans="1:30" ht="3" customHeight="1" x14ac:dyDescent="0.3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spans="1:30" ht="18" customHeight="1" x14ac:dyDescent="0.35">
      <c r="A77" s="18"/>
      <c r="B77" s="315" t="s">
        <v>490</v>
      </c>
      <c r="C77" s="316">
        <v>1047</v>
      </c>
      <c r="D77" s="324" t="str">
        <f>IFERROR(INDEX('Input Data'!D:D,MATCH("4.01",'Input Data'!C:C,0)),"—")</f>
        <v>Fitness First Australia Pty Limited</v>
      </c>
      <c r="E77" s="324"/>
      <c r="F77" s="324"/>
      <c r="G77" s="324"/>
      <c r="H77" s="324"/>
      <c r="I77" s="324"/>
      <c r="J77" s="324"/>
      <c r="K77" s="324"/>
      <c r="L77" s="324"/>
      <c r="M77" s="324"/>
      <c r="N77" s="324"/>
      <c r="O77" s="324"/>
      <c r="P77" s="324"/>
      <c r="Q77" s="324"/>
      <c r="R77" s="324"/>
      <c r="S77" s="324"/>
      <c r="T77" s="324"/>
      <c r="U77" s="324"/>
      <c r="V77" s="324"/>
      <c r="W77" s="324"/>
      <c r="X77" s="324"/>
      <c r="Y77" s="324"/>
      <c r="Z77" s="324"/>
      <c r="AA77" s="324"/>
      <c r="AB77" s="324"/>
      <c r="AC77" s="18"/>
      <c r="AD77" s="18"/>
    </row>
    <row r="78" spans="1:30" ht="13.5" customHeight="1" x14ac:dyDescent="0.35">
      <c r="A78" s="18"/>
      <c r="B78" s="315"/>
      <c r="C78" s="315"/>
      <c r="D78" s="326" t="str">
        <f>IFERROR("4.01 — "&amp;INDEX('Input Data'!B:B,MATCH("4.01",'Input Data'!C:C,0)),"—")</f>
        <v>4.01 — L04</v>
      </c>
      <c r="E78" s="326"/>
      <c r="F78" s="326"/>
      <c r="G78" s="326"/>
      <c r="H78" s="326"/>
      <c r="I78" s="326"/>
      <c r="J78" s="326"/>
      <c r="K78" s="326"/>
      <c r="L78" s="326"/>
      <c r="M78" s="326"/>
      <c r="N78" s="326"/>
      <c r="O78" s="326"/>
      <c r="P78" s="326"/>
      <c r="Q78" s="326"/>
      <c r="R78" s="326"/>
      <c r="S78" s="326"/>
      <c r="T78" s="326"/>
      <c r="U78" s="326"/>
      <c r="V78" s="326"/>
      <c r="W78" s="326"/>
      <c r="X78" s="326"/>
      <c r="Y78" s="326"/>
      <c r="Z78" s="326"/>
      <c r="AA78" s="326"/>
      <c r="AB78" s="326"/>
      <c r="AC78" s="18"/>
      <c r="AD78" s="18"/>
    </row>
    <row r="79" spans="1:30" ht="13.5" customHeight="1" x14ac:dyDescent="0.35">
      <c r="A79" s="18"/>
      <c r="B79" s="315"/>
      <c r="C79" s="315"/>
      <c r="D79" s="326" t="str">
        <f>IFERROR(TEXT(INDEX('Input Data'!F:F,MATCH("4.01",'Input Data'!C:C,0)),"#,##0.0")&amp;" sqm","—")</f>
        <v>1,047.0 sqm</v>
      </c>
      <c r="E79" s="326"/>
      <c r="F79" s="326"/>
      <c r="G79" s="326"/>
      <c r="H79" s="326"/>
      <c r="I79" s="326"/>
      <c r="J79" s="326"/>
      <c r="K79" s="326"/>
      <c r="L79" s="326"/>
      <c r="M79" s="326"/>
      <c r="N79" s="326"/>
      <c r="O79" s="326"/>
      <c r="P79" s="326"/>
      <c r="Q79" s="326"/>
      <c r="R79" s="326"/>
      <c r="S79" s="326"/>
      <c r="T79" s="326"/>
      <c r="U79" s="326"/>
      <c r="V79" s="326"/>
      <c r="W79" s="326"/>
      <c r="X79" s="326"/>
      <c r="Y79" s="326"/>
      <c r="Z79" s="326"/>
      <c r="AA79" s="326"/>
      <c r="AB79" s="326"/>
      <c r="AC79" s="18"/>
      <c r="AD79" s="18"/>
    </row>
    <row r="80" spans="1:30" ht="13.5" customHeight="1" x14ac:dyDescent="0.35">
      <c r="A80" s="18"/>
      <c r="B80" s="315"/>
      <c r="C80" s="315"/>
      <c r="D80" s="328" t="str">
        <f>IFERROR("Face $"&amp;TEXT(INDEX('Input Data'!J:J,MATCH("4.01",'Input Data'!C:C,0)),"#,##0")&amp;" | Net $"&amp;TEXT(INDEX('Input Data'!Q:Q,MATCH("4.01",'Input Data'!C:C,0)),"#,##0 pa"),"—")</f>
        <v>Face $856 | Net $906,078 pa</v>
      </c>
      <c r="E80" s="328"/>
      <c r="F80" s="328"/>
      <c r="G80" s="328"/>
      <c r="H80" s="328"/>
      <c r="I80" s="328"/>
      <c r="J80" s="328"/>
      <c r="K80" s="328"/>
      <c r="L80" s="328"/>
      <c r="M80" s="328"/>
      <c r="N80" s="328"/>
      <c r="O80" s="328"/>
      <c r="P80" s="328"/>
      <c r="Q80" s="328"/>
      <c r="R80" s="328"/>
      <c r="S80" s="328"/>
      <c r="T80" s="328"/>
      <c r="U80" s="328"/>
      <c r="V80" s="328"/>
      <c r="W80" s="328"/>
      <c r="X80" s="328"/>
      <c r="Y80" s="328"/>
      <c r="Z80" s="328"/>
      <c r="AA80" s="328"/>
      <c r="AB80" s="328"/>
      <c r="AC80" s="18"/>
      <c r="AD80" s="18"/>
    </row>
    <row r="81" spans="1:30" ht="13.5" customHeight="1" x14ac:dyDescent="0.35">
      <c r="A81" s="18"/>
      <c r="B81" s="315"/>
      <c r="C81" s="315"/>
      <c r="D81" s="328" t="str">
        <f>IFERROR("Outg $"&amp;TEXT(INDEX('Input Data'!M:M,MATCH("4.01",'Input Data'!C:C,0)),"#,##0")&amp;" | Rev: "&amp;INDEX('Input Data'!S:S,MATCH("4.01",'Input Data'!C:C,0)),"—")</f>
        <v>Outg $0 | Rev: FIXED 4%</v>
      </c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  <c r="R81" s="328"/>
      <c r="S81" s="328"/>
      <c r="T81" s="328"/>
      <c r="U81" s="328"/>
      <c r="V81" s="328"/>
      <c r="W81" s="328"/>
      <c r="X81" s="328"/>
      <c r="Y81" s="328"/>
      <c r="Z81" s="328"/>
      <c r="AA81" s="328"/>
      <c r="AB81" s="328"/>
      <c r="AC81" s="18"/>
      <c r="AD81" s="18"/>
    </row>
    <row r="82" spans="1:30" ht="13.5" customHeight="1" x14ac:dyDescent="0.35">
      <c r="A82" s="18"/>
      <c r="B82" s="315"/>
      <c r="C82" s="315"/>
      <c r="D82" s="326" t="str">
        <f ca="1">IFERROR("Exp: "&amp;TEXT(INDEX('Input Data'!H:H,MATCH("4.01",'Input Data'!C:C,0)),"MMM-YY")&amp;" ("&amp;TEXT(INDEX('Input Data'!V:V,MATCH("4.01",'Input Data'!C:C,0)),"0.0")&amp;" yrs)","—")</f>
        <v>Exp: Jun-31 (4.7 yrs)</v>
      </c>
      <c r="E82" s="326"/>
      <c r="F82" s="326"/>
      <c r="G82" s="326"/>
      <c r="H82" s="326"/>
      <c r="I82" s="326"/>
      <c r="J82" s="326"/>
      <c r="K82" s="326"/>
      <c r="L82" s="326"/>
      <c r="M82" s="326"/>
      <c r="N82" s="326"/>
      <c r="O82" s="326"/>
      <c r="P82" s="326"/>
      <c r="Q82" s="326"/>
      <c r="R82" s="326"/>
      <c r="S82" s="326"/>
      <c r="T82" s="326"/>
      <c r="U82" s="326"/>
      <c r="V82" s="326"/>
      <c r="W82" s="326"/>
      <c r="X82" s="326"/>
      <c r="Y82" s="326"/>
      <c r="Z82" s="326"/>
      <c r="AA82" s="326"/>
      <c r="AB82" s="326"/>
      <c r="AC82" s="18"/>
      <c r="AD82" s="18"/>
    </row>
    <row r="83" spans="1:30" ht="13.5" customHeight="1" x14ac:dyDescent="0.35">
      <c r="A83" s="18"/>
      <c r="B83" s="315"/>
      <c r="C83" s="315"/>
      <c r="D83" s="326" t="str">
        <f ca="1">IFERROR(TEXT(INDEX('Input Data'!V:V,MATCH("4.01",'Input Data'!C:C,0)),"0.0")&amp;" yrs remaining","—")</f>
        <v>4.7 yrs remaining</v>
      </c>
      <c r="E83" s="326"/>
      <c r="F83" s="326"/>
      <c r="G83" s="326"/>
      <c r="H83" s="326"/>
      <c r="I83" s="326"/>
      <c r="J83" s="326"/>
      <c r="K83" s="326"/>
      <c r="L83" s="326"/>
      <c r="M83" s="326"/>
      <c r="N83" s="326"/>
      <c r="O83" s="326"/>
      <c r="P83" s="326"/>
      <c r="Q83" s="326"/>
      <c r="R83" s="326"/>
      <c r="S83" s="326"/>
      <c r="T83" s="326"/>
      <c r="U83" s="326"/>
      <c r="V83" s="326"/>
      <c r="W83" s="326"/>
      <c r="X83" s="326"/>
      <c r="Y83" s="326"/>
      <c r="Z83" s="326"/>
      <c r="AA83" s="326"/>
      <c r="AB83" s="326"/>
      <c r="AC83" s="18"/>
      <c r="AD83" s="18"/>
    </row>
    <row r="84" spans="1:30" ht="3.75" customHeight="1" x14ac:dyDescent="0.35">
      <c r="A84" s="18"/>
      <c r="B84" s="315"/>
      <c r="C84" s="315"/>
      <c r="D84" s="326"/>
      <c r="E84" s="326"/>
      <c r="F84" s="326"/>
      <c r="G84" s="326"/>
      <c r="H84" s="326"/>
      <c r="I84" s="326"/>
      <c r="J84" s="326"/>
      <c r="K84" s="326"/>
      <c r="L84" s="326"/>
      <c r="M84" s="326"/>
      <c r="N84" s="326"/>
      <c r="O84" s="326"/>
      <c r="P84" s="326"/>
      <c r="Q84" s="326"/>
      <c r="R84" s="326"/>
      <c r="S84" s="326"/>
      <c r="T84" s="326"/>
      <c r="U84" s="326"/>
      <c r="V84" s="326"/>
      <c r="W84" s="326"/>
      <c r="X84" s="326"/>
      <c r="Y84" s="326"/>
      <c r="Z84" s="326"/>
      <c r="AA84" s="326"/>
      <c r="AB84" s="326"/>
      <c r="AC84" s="18"/>
      <c r="AD84" s="18"/>
    </row>
    <row r="85" spans="1:30" ht="3" customHeight="1" x14ac:dyDescent="0.3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spans="1:30" ht="18" customHeight="1" x14ac:dyDescent="0.35">
      <c r="A86" s="18"/>
      <c r="B86" s="315" t="s">
        <v>491</v>
      </c>
      <c r="C86" s="316">
        <v>903.2</v>
      </c>
      <c r="D86" s="333" t="str">
        <f>IFERROR(INDEX('Input Data'!D:D,MATCH("3.01",'Input Data'!C:C,0)),"—")</f>
        <v>Sydney Smiletree Pty Ltd</v>
      </c>
      <c r="E86" s="333"/>
      <c r="F86" s="333"/>
      <c r="G86" s="333"/>
      <c r="H86" s="333"/>
      <c r="I86" s="324" t="str">
        <f>IFERROR(INDEX('Input Data'!D:D,MATCH("3.02",'Input Data'!C:C,0)),"—")</f>
        <v>Fitness First Australia Pty Limited</v>
      </c>
      <c r="J86" s="324"/>
      <c r="K86" s="324"/>
      <c r="L86" s="324"/>
      <c r="M86" s="324"/>
      <c r="N86" s="324"/>
      <c r="O86" s="324"/>
      <c r="P86" s="324"/>
      <c r="Q86" s="324"/>
      <c r="R86" s="324"/>
      <c r="S86" s="324"/>
      <c r="T86" s="324"/>
      <c r="U86" s="324"/>
      <c r="V86" s="324"/>
      <c r="W86" s="324"/>
      <c r="X86" s="324"/>
      <c r="Y86" s="324"/>
      <c r="Z86" s="324"/>
      <c r="AA86" s="324"/>
      <c r="AB86" s="324"/>
      <c r="AC86" s="18"/>
      <c r="AD86" s="18"/>
    </row>
    <row r="87" spans="1:30" ht="13.5" customHeight="1" x14ac:dyDescent="0.35">
      <c r="A87" s="18"/>
      <c r="B87" s="315"/>
      <c r="C87" s="315"/>
      <c r="D87" s="334" t="str">
        <f>IFERROR("3.01 — "&amp;INDEX('Input Data'!B:B,MATCH("3.01",'Input Data'!C:C,0)),"—")</f>
        <v>3.01 — L03</v>
      </c>
      <c r="E87" s="334"/>
      <c r="F87" s="334"/>
      <c r="G87" s="334"/>
      <c r="H87" s="334"/>
      <c r="I87" s="326" t="str">
        <f>IFERROR("3.02 — "&amp;INDEX('Input Data'!B:B,MATCH("3.02",'Input Data'!C:C,0)),"—")</f>
        <v>3.02 — L03</v>
      </c>
      <c r="J87" s="326"/>
      <c r="K87" s="326"/>
      <c r="L87" s="326"/>
      <c r="M87" s="326"/>
      <c r="N87" s="326"/>
      <c r="O87" s="326"/>
      <c r="P87" s="326"/>
      <c r="Q87" s="326"/>
      <c r="R87" s="326"/>
      <c r="S87" s="326"/>
      <c r="T87" s="326"/>
      <c r="U87" s="326"/>
      <c r="V87" s="326"/>
      <c r="W87" s="326"/>
      <c r="X87" s="326"/>
      <c r="Y87" s="326"/>
      <c r="Z87" s="326"/>
      <c r="AA87" s="326"/>
      <c r="AB87" s="326"/>
      <c r="AC87" s="18"/>
      <c r="AD87" s="18"/>
    </row>
    <row r="88" spans="1:30" ht="13.5" customHeight="1" x14ac:dyDescent="0.35">
      <c r="A88" s="18"/>
      <c r="B88" s="315"/>
      <c r="C88" s="315"/>
      <c r="D88" s="334" t="str">
        <f>IFERROR(TEXT(INDEX('Input Data'!F:F,MATCH("3.01",'Input Data'!C:C,0)),"#,##0.0")&amp;" sqm","—")</f>
        <v>107.7 sqm</v>
      </c>
      <c r="E88" s="334"/>
      <c r="F88" s="334"/>
      <c r="G88" s="334"/>
      <c r="H88" s="334"/>
      <c r="I88" s="326" t="str">
        <f>IFERROR(TEXT(INDEX('Input Data'!F:F,MATCH("3.02",'Input Data'!C:C,0)),"#,##0.0")&amp;" sqm","—")</f>
        <v>795.5 sqm</v>
      </c>
      <c r="J88" s="326"/>
      <c r="K88" s="326"/>
      <c r="L88" s="326"/>
      <c r="M88" s="326"/>
      <c r="N88" s="326"/>
      <c r="O88" s="326"/>
      <c r="P88" s="326"/>
      <c r="Q88" s="326"/>
      <c r="R88" s="326"/>
      <c r="S88" s="326"/>
      <c r="T88" s="326"/>
      <c r="U88" s="326"/>
      <c r="V88" s="326"/>
      <c r="W88" s="326"/>
      <c r="X88" s="326"/>
      <c r="Y88" s="326"/>
      <c r="Z88" s="326"/>
      <c r="AA88" s="326"/>
      <c r="AB88" s="326"/>
      <c r="AC88" s="18"/>
      <c r="AD88" s="18"/>
    </row>
    <row r="89" spans="1:30" ht="13.5" customHeight="1" x14ac:dyDescent="0.35">
      <c r="A89" s="18"/>
      <c r="B89" s="315"/>
      <c r="C89" s="315"/>
      <c r="D89" s="335" t="str">
        <f>IFERROR("Face $"&amp;TEXT(INDEX('Input Data'!J:J,MATCH("3.01",'Input Data'!C:C,0)),"#,##0")&amp;" | Net $"&amp;TEXT(INDEX('Input Data'!Q:Q,MATCH("3.01",'Input Data'!C:C,0)),"#,##0 pa"),"—")</f>
        <v>Face $1,396 | Net $171,561 pa</v>
      </c>
      <c r="E89" s="335"/>
      <c r="F89" s="335"/>
      <c r="G89" s="335"/>
      <c r="H89" s="335"/>
      <c r="I89" s="328" t="str">
        <f>IFERROR("Face $"&amp;TEXT(INDEX('Input Data'!J:J,MATCH("3.02",'Input Data'!C:C,0)),"#,##0")&amp;" | Net $"&amp;TEXT(INDEX('Input Data'!Q:Q,MATCH("3.02",'Input Data'!C:C,0)),"#,##0 pa"),"—")</f>
        <v>Face $856 | Net $680,709 pa</v>
      </c>
      <c r="J89" s="328"/>
      <c r="K89" s="328"/>
      <c r="L89" s="328"/>
      <c r="M89" s="328"/>
      <c r="N89" s="328"/>
      <c r="O89" s="328"/>
      <c r="P89" s="328"/>
      <c r="Q89" s="328"/>
      <c r="R89" s="328"/>
      <c r="S89" s="328"/>
      <c r="T89" s="328"/>
      <c r="U89" s="328"/>
      <c r="V89" s="328"/>
      <c r="W89" s="328"/>
      <c r="X89" s="328"/>
      <c r="Y89" s="328"/>
      <c r="Z89" s="328"/>
      <c r="AA89" s="328"/>
      <c r="AB89" s="328"/>
      <c r="AC89" s="18"/>
      <c r="AD89" s="18"/>
    </row>
    <row r="90" spans="1:30" ht="13.5" customHeight="1" x14ac:dyDescent="0.35">
      <c r="A90" s="18"/>
      <c r="B90" s="315"/>
      <c r="C90" s="315"/>
      <c r="D90" s="335" t="str">
        <f>IFERROR("Outg $"&amp;TEXT(INDEX('Input Data'!M:M,MATCH("3.01",'Input Data'!C:C,0)),"#,##0")&amp;" | Rev: "&amp;INDEX('Input Data'!S:S,MATCH("3.01",'Input Data'!C:C,0)),"—")</f>
        <v>Outg $9,156 | Rev: FIXED 4%</v>
      </c>
      <c r="E90" s="335"/>
      <c r="F90" s="335"/>
      <c r="G90" s="335"/>
      <c r="H90" s="335"/>
      <c r="I90" s="328" t="str">
        <f>IFERROR("Outg $"&amp;TEXT(INDEX('Input Data'!M:M,MATCH("3.02",'Input Data'!C:C,0)),"#,##0")&amp;" | Rev: "&amp;INDEX('Input Data'!S:S,MATCH("3.02",'Input Data'!C:C,0)),"—")</f>
        <v>Outg $0 | Rev: FIXED 4%</v>
      </c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  <c r="X90" s="328"/>
      <c r="Y90" s="328"/>
      <c r="Z90" s="328"/>
      <c r="AA90" s="328"/>
      <c r="AB90" s="328"/>
      <c r="AC90" s="18"/>
      <c r="AD90" s="18"/>
    </row>
    <row r="91" spans="1:30" ht="13.5" customHeight="1" x14ac:dyDescent="0.35">
      <c r="A91" s="18"/>
      <c r="B91" s="315"/>
      <c r="C91" s="315"/>
      <c r="D91" s="334" t="str">
        <f ca="1">IFERROR("Exp: "&amp;TEXT(INDEX('Input Data'!H:H,MATCH("3.01",'Input Data'!C:C,0)),"MMM-YY")&amp;" ("&amp;TEXT(INDEX('Input Data'!V:V,MATCH("3.01",'Input Data'!C:C,0)),"0.0")&amp;" yrs)","—")</f>
        <v>Exp: Dec-28 (2.2 yrs)</v>
      </c>
      <c r="E91" s="334"/>
      <c r="F91" s="334"/>
      <c r="G91" s="334"/>
      <c r="H91" s="334"/>
      <c r="I91" s="326" t="str">
        <f ca="1">IFERROR("Exp: "&amp;TEXT(INDEX('Input Data'!H:H,MATCH("3.02",'Input Data'!C:C,0)),"MMM-YY")&amp;" ("&amp;TEXT(INDEX('Input Data'!V:V,MATCH("3.02",'Input Data'!C:C,0)),"0.0")&amp;" yrs)","—")</f>
        <v>Exp: Jun-31 (4.7 yrs)</v>
      </c>
      <c r="J91" s="326"/>
      <c r="K91" s="326"/>
      <c r="L91" s="326"/>
      <c r="M91" s="326"/>
      <c r="N91" s="326"/>
      <c r="O91" s="326"/>
      <c r="P91" s="326"/>
      <c r="Q91" s="326"/>
      <c r="R91" s="326"/>
      <c r="S91" s="326"/>
      <c r="T91" s="326"/>
      <c r="U91" s="326"/>
      <c r="V91" s="326"/>
      <c r="W91" s="326"/>
      <c r="X91" s="326"/>
      <c r="Y91" s="326"/>
      <c r="Z91" s="326"/>
      <c r="AA91" s="326"/>
      <c r="AB91" s="326"/>
      <c r="AC91" s="18"/>
      <c r="AD91" s="18"/>
    </row>
    <row r="92" spans="1:30" ht="13.5" customHeight="1" x14ac:dyDescent="0.35">
      <c r="A92" s="18"/>
      <c r="B92" s="315"/>
      <c r="C92" s="315"/>
      <c r="D92" s="334" t="str">
        <f ca="1">IFERROR(TEXT(INDEX('Input Data'!V:V,MATCH("3.01",'Input Data'!C:C,0)),"0.0")&amp;" yrs remaining","—")</f>
        <v>2.2 yrs remaining</v>
      </c>
      <c r="E92" s="334"/>
      <c r="F92" s="334"/>
      <c r="G92" s="334"/>
      <c r="H92" s="334"/>
      <c r="I92" s="326" t="str">
        <f ca="1">IFERROR(TEXT(INDEX('Input Data'!V:V,MATCH("3.02",'Input Data'!C:C,0)),"0.0")&amp;" yrs remaining","—")</f>
        <v>4.7 yrs remaining</v>
      </c>
      <c r="J92" s="326"/>
      <c r="K92" s="326"/>
      <c r="L92" s="326"/>
      <c r="M92" s="326"/>
      <c r="N92" s="326"/>
      <c r="O92" s="326"/>
      <c r="P92" s="326"/>
      <c r="Q92" s="326"/>
      <c r="R92" s="326"/>
      <c r="S92" s="326"/>
      <c r="T92" s="326"/>
      <c r="U92" s="326"/>
      <c r="V92" s="326"/>
      <c r="W92" s="326"/>
      <c r="X92" s="326"/>
      <c r="Y92" s="326"/>
      <c r="Z92" s="326"/>
      <c r="AA92" s="326"/>
      <c r="AB92" s="326"/>
      <c r="AC92" s="18"/>
      <c r="AD92" s="18"/>
    </row>
    <row r="93" spans="1:30" ht="3.75" customHeight="1" x14ac:dyDescent="0.35">
      <c r="A93" s="18"/>
      <c r="B93" s="315"/>
      <c r="C93" s="315"/>
      <c r="D93" s="334"/>
      <c r="E93" s="334"/>
      <c r="F93" s="334"/>
      <c r="G93" s="334"/>
      <c r="H93" s="334"/>
      <c r="I93" s="326"/>
      <c r="J93" s="326"/>
      <c r="K93" s="326"/>
      <c r="L93" s="326"/>
      <c r="M93" s="326"/>
      <c r="N93" s="326"/>
      <c r="O93" s="326"/>
      <c r="P93" s="326"/>
      <c r="Q93" s="326"/>
      <c r="R93" s="326"/>
      <c r="S93" s="326"/>
      <c r="T93" s="326"/>
      <c r="U93" s="326"/>
      <c r="V93" s="326"/>
      <c r="W93" s="326"/>
      <c r="X93" s="326"/>
      <c r="Y93" s="326"/>
      <c r="Z93" s="326"/>
      <c r="AA93" s="326"/>
      <c r="AB93" s="326"/>
      <c r="AC93" s="18"/>
      <c r="AD93" s="18"/>
    </row>
    <row r="94" spans="1:30" ht="3" customHeight="1" x14ac:dyDescent="0.3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spans="1:30" ht="18" customHeight="1" x14ac:dyDescent="0.35">
      <c r="A95" s="18"/>
      <c r="B95" s="315" t="s">
        <v>492</v>
      </c>
      <c r="C95" s="336" t="s">
        <v>4</v>
      </c>
      <c r="D95" s="337" t="s">
        <v>493</v>
      </c>
      <c r="E95" s="337"/>
      <c r="F95" s="337"/>
      <c r="G95" s="337"/>
      <c r="H95" s="337"/>
      <c r="I95" s="337"/>
      <c r="J95" s="337"/>
      <c r="K95" s="337"/>
      <c r="L95" s="337"/>
      <c r="M95" s="337"/>
      <c r="N95" s="337"/>
      <c r="O95" s="337"/>
      <c r="P95" s="337"/>
      <c r="Q95" s="337"/>
      <c r="R95" s="337"/>
      <c r="S95" s="337"/>
      <c r="T95" s="337"/>
      <c r="U95" s="337"/>
      <c r="V95" s="337"/>
      <c r="W95" s="337"/>
      <c r="X95" s="337"/>
      <c r="Y95" s="337"/>
      <c r="Z95" s="337"/>
      <c r="AA95" s="337"/>
      <c r="AB95" s="337"/>
      <c r="AC95" s="18"/>
      <c r="AD95" s="18"/>
    </row>
    <row r="96" spans="1:30" ht="13.5" customHeight="1" x14ac:dyDescent="0.35">
      <c r="A96" s="18"/>
      <c r="B96" s="315"/>
      <c r="C96" s="315"/>
      <c r="D96" s="331" t="s">
        <v>494</v>
      </c>
      <c r="E96" s="331"/>
      <c r="F96" s="331"/>
      <c r="G96" s="331"/>
      <c r="H96" s="331"/>
      <c r="I96" s="331"/>
      <c r="J96" s="331"/>
      <c r="K96" s="331"/>
      <c r="L96" s="331"/>
      <c r="M96" s="331"/>
      <c r="N96" s="331"/>
      <c r="O96" s="331"/>
      <c r="P96" s="331"/>
      <c r="Q96" s="331"/>
      <c r="R96" s="331"/>
      <c r="S96" s="331"/>
      <c r="T96" s="331"/>
      <c r="U96" s="331"/>
      <c r="V96" s="331"/>
      <c r="W96" s="331"/>
      <c r="X96" s="331"/>
      <c r="Y96" s="331"/>
      <c r="Z96" s="331"/>
      <c r="AA96" s="331"/>
      <c r="AB96" s="331"/>
      <c r="AC96" s="18"/>
      <c r="AD96" s="18"/>
    </row>
    <row r="97" spans="1:30" ht="13.5" customHeight="1" x14ac:dyDescent="0.35">
      <c r="A97" s="18"/>
      <c r="B97" s="315"/>
      <c r="C97" s="315"/>
      <c r="D97" s="331" t="s">
        <v>4</v>
      </c>
      <c r="E97" s="331"/>
      <c r="F97" s="331"/>
      <c r="G97" s="331"/>
      <c r="H97" s="331"/>
      <c r="I97" s="331"/>
      <c r="J97" s="331"/>
      <c r="K97" s="331"/>
      <c r="L97" s="331"/>
      <c r="M97" s="331"/>
      <c r="N97" s="331"/>
      <c r="O97" s="331"/>
      <c r="P97" s="331"/>
      <c r="Q97" s="331"/>
      <c r="R97" s="331"/>
      <c r="S97" s="331"/>
      <c r="T97" s="331"/>
      <c r="U97" s="331"/>
      <c r="V97" s="331"/>
      <c r="W97" s="331"/>
      <c r="X97" s="331"/>
      <c r="Y97" s="331"/>
      <c r="Z97" s="331"/>
      <c r="AA97" s="331"/>
      <c r="AB97" s="331"/>
      <c r="AC97" s="18"/>
      <c r="AD97" s="18"/>
    </row>
    <row r="98" spans="1:30" ht="13.5" customHeight="1" x14ac:dyDescent="0.35">
      <c r="A98" s="18"/>
      <c r="B98" s="315"/>
      <c r="C98" s="315"/>
      <c r="D98" s="332" t="s">
        <v>495</v>
      </c>
      <c r="E98" s="332"/>
      <c r="F98" s="332"/>
      <c r="G98" s="332"/>
      <c r="H98" s="332"/>
      <c r="I98" s="332"/>
      <c r="J98" s="332"/>
      <c r="K98" s="332"/>
      <c r="L98" s="332"/>
      <c r="M98" s="332"/>
      <c r="N98" s="332"/>
      <c r="O98" s="332"/>
      <c r="P98" s="332"/>
      <c r="Q98" s="332"/>
      <c r="R98" s="332"/>
      <c r="S98" s="332"/>
      <c r="T98" s="332"/>
      <c r="U98" s="332"/>
      <c r="V98" s="332"/>
      <c r="W98" s="332"/>
      <c r="X98" s="332"/>
      <c r="Y98" s="332"/>
      <c r="Z98" s="332"/>
      <c r="AA98" s="332"/>
      <c r="AB98" s="332"/>
      <c r="AC98" s="18"/>
      <c r="AD98" s="18"/>
    </row>
    <row r="99" spans="1:30" ht="13.5" customHeight="1" x14ac:dyDescent="0.35">
      <c r="A99" s="18"/>
      <c r="B99" s="315"/>
      <c r="C99" s="315"/>
      <c r="D99" s="332" t="s">
        <v>496</v>
      </c>
      <c r="E99" s="332"/>
      <c r="F99" s="332"/>
      <c r="G99" s="332"/>
      <c r="H99" s="332"/>
      <c r="I99" s="332"/>
      <c r="J99" s="332"/>
      <c r="K99" s="332"/>
      <c r="L99" s="332"/>
      <c r="M99" s="332"/>
      <c r="N99" s="332"/>
      <c r="O99" s="332"/>
      <c r="P99" s="332"/>
      <c r="Q99" s="332"/>
      <c r="R99" s="332"/>
      <c r="S99" s="332"/>
      <c r="T99" s="332"/>
      <c r="U99" s="332"/>
      <c r="V99" s="332"/>
      <c r="W99" s="332"/>
      <c r="X99" s="332"/>
      <c r="Y99" s="332"/>
      <c r="Z99" s="332"/>
      <c r="AA99" s="332"/>
      <c r="AB99" s="332"/>
      <c r="AC99" s="18"/>
      <c r="AD99" s="18"/>
    </row>
    <row r="100" spans="1:30" ht="13.5" customHeight="1" x14ac:dyDescent="0.35">
      <c r="A100" s="18"/>
      <c r="B100" s="315"/>
      <c r="C100" s="315"/>
      <c r="D100" s="331" t="s">
        <v>497</v>
      </c>
      <c r="E100" s="331"/>
      <c r="F100" s="331"/>
      <c r="G100" s="331"/>
      <c r="H100" s="331"/>
      <c r="I100" s="331"/>
      <c r="J100" s="331"/>
      <c r="K100" s="331"/>
      <c r="L100" s="331"/>
      <c r="M100" s="331"/>
      <c r="N100" s="331"/>
      <c r="O100" s="331"/>
      <c r="P100" s="331"/>
      <c r="Q100" s="331"/>
      <c r="R100" s="331"/>
      <c r="S100" s="331"/>
      <c r="T100" s="331"/>
      <c r="U100" s="331"/>
      <c r="V100" s="331"/>
      <c r="W100" s="331"/>
      <c r="X100" s="331"/>
      <c r="Y100" s="331"/>
      <c r="Z100" s="331"/>
      <c r="AA100" s="331"/>
      <c r="AB100" s="331"/>
      <c r="AC100" s="18"/>
      <c r="AD100" s="18"/>
    </row>
    <row r="101" spans="1:30" ht="13.5" customHeight="1" x14ac:dyDescent="0.35">
      <c r="A101" s="18"/>
      <c r="B101" s="315"/>
      <c r="C101" s="315"/>
      <c r="D101" s="331" t="s">
        <v>498</v>
      </c>
      <c r="E101" s="331"/>
      <c r="F101" s="331"/>
      <c r="G101" s="331"/>
      <c r="H101" s="331"/>
      <c r="I101" s="331"/>
      <c r="J101" s="331"/>
      <c r="K101" s="331"/>
      <c r="L101" s="331"/>
      <c r="M101" s="331"/>
      <c r="N101" s="331"/>
      <c r="O101" s="331"/>
      <c r="P101" s="331"/>
      <c r="Q101" s="331"/>
      <c r="R101" s="331"/>
      <c r="S101" s="331"/>
      <c r="T101" s="331"/>
      <c r="U101" s="331"/>
      <c r="V101" s="331"/>
      <c r="W101" s="331"/>
      <c r="X101" s="331"/>
      <c r="Y101" s="331"/>
      <c r="Z101" s="331"/>
      <c r="AA101" s="331"/>
      <c r="AB101" s="331"/>
      <c r="AC101" s="18"/>
      <c r="AD101" s="18"/>
    </row>
    <row r="102" spans="1:30" ht="3.75" customHeight="1" x14ac:dyDescent="0.35">
      <c r="A102" s="18"/>
      <c r="B102" s="315"/>
      <c r="C102" s="315"/>
      <c r="D102" s="331"/>
      <c r="E102" s="331"/>
      <c r="F102" s="331"/>
      <c r="G102" s="331"/>
      <c r="H102" s="331"/>
      <c r="I102" s="331"/>
      <c r="J102" s="331"/>
      <c r="K102" s="331"/>
      <c r="L102" s="331"/>
      <c r="M102" s="331"/>
      <c r="N102" s="331"/>
      <c r="O102" s="331"/>
      <c r="P102" s="331"/>
      <c r="Q102" s="331"/>
      <c r="R102" s="331"/>
      <c r="S102" s="331"/>
      <c r="T102" s="331"/>
      <c r="U102" s="331"/>
      <c r="V102" s="331"/>
      <c r="W102" s="331"/>
      <c r="X102" s="331"/>
      <c r="Y102" s="331"/>
      <c r="Z102" s="331"/>
      <c r="AA102" s="331"/>
      <c r="AB102" s="331"/>
      <c r="AC102" s="18"/>
      <c r="AD102" s="18"/>
    </row>
    <row r="103" spans="1:30" ht="3" customHeight="1" x14ac:dyDescent="0.3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spans="1:30" ht="7.5" customHeight="1" x14ac:dyDescent="0.35">
      <c r="A104" s="18"/>
      <c r="B104" s="86"/>
      <c r="C104" s="86"/>
      <c r="D104" s="314"/>
      <c r="E104" s="314"/>
      <c r="F104" s="314"/>
      <c r="G104" s="314"/>
      <c r="H104" s="314"/>
      <c r="I104" s="314"/>
      <c r="J104" s="314"/>
      <c r="K104" s="314"/>
      <c r="L104" s="314"/>
      <c r="M104" s="314"/>
      <c r="N104" s="314"/>
      <c r="O104" s="314"/>
      <c r="P104" s="314"/>
      <c r="Q104" s="314"/>
      <c r="R104" s="314"/>
      <c r="S104" s="314"/>
      <c r="T104" s="314"/>
      <c r="U104" s="314"/>
      <c r="V104" s="314"/>
      <c r="W104" s="314"/>
      <c r="X104" s="314"/>
      <c r="Y104" s="314"/>
      <c r="Z104" s="314"/>
      <c r="AA104" s="314"/>
      <c r="AB104" s="314"/>
      <c r="AC104" s="18"/>
      <c r="AD104" s="18"/>
    </row>
    <row r="105" spans="1:30" ht="14.25" customHeight="1" x14ac:dyDescent="0.3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spans="1:30" ht="18" customHeight="1" x14ac:dyDescent="0.35">
      <c r="A106" s="18"/>
      <c r="B106" s="12" t="s">
        <v>499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8"/>
      <c r="AD106" s="18"/>
    </row>
    <row r="107" spans="1:30" ht="19.5" customHeight="1" x14ac:dyDescent="0.35">
      <c r="A107" s="18"/>
      <c r="B107" s="18"/>
      <c r="C107" s="18"/>
      <c r="D107" s="238" t="s">
        <v>500</v>
      </c>
      <c r="E107" s="238"/>
      <c r="F107" s="238"/>
      <c r="G107" s="18"/>
      <c r="H107" s="239" t="s">
        <v>265</v>
      </c>
      <c r="I107" s="239"/>
      <c r="J107" s="239"/>
      <c r="K107" s="18"/>
      <c r="L107" s="237" t="s">
        <v>266</v>
      </c>
      <c r="M107" s="237"/>
      <c r="N107" s="237"/>
      <c r="O107" s="18"/>
      <c r="P107" s="236" t="s">
        <v>267</v>
      </c>
      <c r="Q107" s="236"/>
      <c r="R107" s="236"/>
      <c r="S107" s="18"/>
      <c r="T107" s="338" t="s">
        <v>268</v>
      </c>
      <c r="U107" s="338"/>
      <c r="V107" s="338"/>
      <c r="W107" s="18"/>
      <c r="X107" s="339" t="s">
        <v>269</v>
      </c>
      <c r="Y107" s="339"/>
      <c r="Z107" s="339"/>
      <c r="AA107" s="18"/>
      <c r="AB107" s="340" t="s">
        <v>501</v>
      </c>
      <c r="AC107" s="340"/>
      <c r="AD107" s="340"/>
    </row>
    <row r="108" spans="1:30" ht="14.25" customHeight="1" x14ac:dyDescent="0.3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spans="1:30" ht="18" customHeight="1" x14ac:dyDescent="0.35">
      <c r="A109" s="18"/>
      <c r="B109" s="294" t="s">
        <v>502</v>
      </c>
      <c r="C109" s="294"/>
      <c r="D109" s="294"/>
      <c r="E109" s="294"/>
      <c r="F109" s="294"/>
      <c r="G109" s="294"/>
      <c r="H109" s="294"/>
      <c r="I109" s="294"/>
      <c r="J109" s="294"/>
      <c r="K109" s="294"/>
      <c r="L109" s="294"/>
      <c r="M109" s="294"/>
      <c r="N109" s="294"/>
      <c r="O109" s="294"/>
      <c r="P109" s="294"/>
      <c r="Q109" s="294"/>
      <c r="R109" s="294"/>
      <c r="S109" s="294"/>
      <c r="T109" s="294"/>
      <c r="U109" s="294"/>
      <c r="V109" s="294"/>
      <c r="W109" s="294"/>
      <c r="X109" s="294"/>
      <c r="Y109" s="294"/>
      <c r="Z109" s="294"/>
      <c r="AA109" s="294"/>
      <c r="AB109" s="294"/>
      <c r="AC109" s="18"/>
      <c r="AD109" s="18"/>
    </row>
  </sheetData>
  <mergeCells count="219">
    <mergeCell ref="B109:AB109"/>
    <mergeCell ref="D104:AB104"/>
    <mergeCell ref="B106:AB106"/>
    <mergeCell ref="D107:F107"/>
    <mergeCell ref="H107:J107"/>
    <mergeCell ref="L107:N107"/>
    <mergeCell ref="P107:R107"/>
    <mergeCell ref="T107:V107"/>
    <mergeCell ref="X107:Z107"/>
    <mergeCell ref="AB107:AD107"/>
    <mergeCell ref="B95:B102"/>
    <mergeCell ref="C95:C102"/>
    <mergeCell ref="D95:AB95"/>
    <mergeCell ref="D96:AB96"/>
    <mergeCell ref="D97:AB97"/>
    <mergeCell ref="D98:AB98"/>
    <mergeCell ref="D99:AB99"/>
    <mergeCell ref="D100:AB100"/>
    <mergeCell ref="D101:AB101"/>
    <mergeCell ref="D102:AB102"/>
    <mergeCell ref="B86:B93"/>
    <mergeCell ref="C86:C93"/>
    <mergeCell ref="D86:H86"/>
    <mergeCell ref="I86:AB86"/>
    <mergeCell ref="D87:H87"/>
    <mergeCell ref="I87:AB87"/>
    <mergeCell ref="D88:H88"/>
    <mergeCell ref="I88:AB88"/>
    <mergeCell ref="D89:H89"/>
    <mergeCell ref="I89:AB89"/>
    <mergeCell ref="D90:H90"/>
    <mergeCell ref="I90:AB90"/>
    <mergeCell ref="D91:H91"/>
    <mergeCell ref="I91:AB91"/>
    <mergeCell ref="D92:H92"/>
    <mergeCell ref="I92:AB92"/>
    <mergeCell ref="D93:H93"/>
    <mergeCell ref="I93:AB93"/>
    <mergeCell ref="N75:R75"/>
    <mergeCell ref="S75:AB75"/>
    <mergeCell ref="B77:B84"/>
    <mergeCell ref="C77:C84"/>
    <mergeCell ref="D77:AB77"/>
    <mergeCell ref="D78:AB78"/>
    <mergeCell ref="D79:AB79"/>
    <mergeCell ref="D80:AB80"/>
    <mergeCell ref="D81:AB81"/>
    <mergeCell ref="D82:AB82"/>
    <mergeCell ref="D83:AB83"/>
    <mergeCell ref="D84:AB84"/>
    <mergeCell ref="B68:B75"/>
    <mergeCell ref="C68:C75"/>
    <mergeCell ref="D68:M68"/>
    <mergeCell ref="N68:R68"/>
    <mergeCell ref="S68:AB68"/>
    <mergeCell ref="D69:M69"/>
    <mergeCell ref="N69:R69"/>
    <mergeCell ref="S69:AB69"/>
    <mergeCell ref="D70:M70"/>
    <mergeCell ref="N70:R70"/>
    <mergeCell ref="S70:AB70"/>
    <mergeCell ref="D71:M71"/>
    <mergeCell ref="N71:R71"/>
    <mergeCell ref="S71:AB71"/>
    <mergeCell ref="D72:M72"/>
    <mergeCell ref="N72:R72"/>
    <mergeCell ref="S72:AB72"/>
    <mergeCell ref="D73:M73"/>
    <mergeCell ref="N73:R73"/>
    <mergeCell ref="S73:AB73"/>
    <mergeCell ref="D74:M74"/>
    <mergeCell ref="N74:R74"/>
    <mergeCell ref="S74:AB74"/>
    <mergeCell ref="D75:M75"/>
    <mergeCell ref="R64:V64"/>
    <mergeCell ref="W64:AB64"/>
    <mergeCell ref="D65:H65"/>
    <mergeCell ref="I65:Q65"/>
    <mergeCell ref="R65:V65"/>
    <mergeCell ref="W65:AB65"/>
    <mergeCell ref="D66:H66"/>
    <mergeCell ref="I66:Q66"/>
    <mergeCell ref="R66:V66"/>
    <mergeCell ref="W66:AB66"/>
    <mergeCell ref="B59:B66"/>
    <mergeCell ref="C59:C66"/>
    <mergeCell ref="D59:H59"/>
    <mergeCell ref="I59:Q59"/>
    <mergeCell ref="R59:V59"/>
    <mergeCell ref="W59:AB59"/>
    <mergeCell ref="D60:H60"/>
    <mergeCell ref="I60:Q60"/>
    <mergeCell ref="R60:V60"/>
    <mergeCell ref="W60:AB60"/>
    <mergeCell ref="D61:H61"/>
    <mergeCell ref="I61:Q61"/>
    <mergeCell ref="R61:V61"/>
    <mergeCell ref="W61:AB61"/>
    <mergeCell ref="D62:H62"/>
    <mergeCell ref="I62:Q62"/>
    <mergeCell ref="R62:V62"/>
    <mergeCell ref="W62:AB62"/>
    <mergeCell ref="D63:H63"/>
    <mergeCell ref="I63:Q63"/>
    <mergeCell ref="R63:V63"/>
    <mergeCell ref="W63:AB63"/>
    <mergeCell ref="D64:H64"/>
    <mergeCell ref="I64:Q64"/>
    <mergeCell ref="B50:B57"/>
    <mergeCell ref="C50:C57"/>
    <mergeCell ref="D50:Q50"/>
    <mergeCell ref="R50:AB50"/>
    <mergeCell ref="D51:Q51"/>
    <mergeCell ref="R51:AB51"/>
    <mergeCell ref="D52:Q52"/>
    <mergeCell ref="R52:AB52"/>
    <mergeCell ref="D53:Q53"/>
    <mergeCell ref="R53:AB53"/>
    <mergeCell ref="D54:Q54"/>
    <mergeCell ref="R54:AB54"/>
    <mergeCell ref="D55:Q55"/>
    <mergeCell ref="R55:AB55"/>
    <mergeCell ref="D56:Q56"/>
    <mergeCell ref="R56:AB56"/>
    <mergeCell ref="D57:Q57"/>
    <mergeCell ref="R57:AB57"/>
    <mergeCell ref="B41:B48"/>
    <mergeCell ref="C41:C48"/>
    <mergeCell ref="D41:W41"/>
    <mergeCell ref="X41:AB41"/>
    <mergeCell ref="D42:W42"/>
    <mergeCell ref="X42:AB42"/>
    <mergeCell ref="D43:W43"/>
    <mergeCell ref="X43:AB43"/>
    <mergeCell ref="D44:W44"/>
    <mergeCell ref="X44:AB44"/>
    <mergeCell ref="D45:W45"/>
    <mergeCell ref="X45:AB45"/>
    <mergeCell ref="D46:W46"/>
    <mergeCell ref="X46:AB46"/>
    <mergeCell ref="D47:W47"/>
    <mergeCell ref="X47:AB47"/>
    <mergeCell ref="D48:W48"/>
    <mergeCell ref="X48:AB48"/>
    <mergeCell ref="B32:B39"/>
    <mergeCell ref="C32:C39"/>
    <mergeCell ref="D32:Q32"/>
    <mergeCell ref="R32:AB32"/>
    <mergeCell ref="D33:Q33"/>
    <mergeCell ref="R33:AB33"/>
    <mergeCell ref="D34:Q34"/>
    <mergeCell ref="R34:AB34"/>
    <mergeCell ref="D35:Q35"/>
    <mergeCell ref="R35:AB35"/>
    <mergeCell ref="D36:Q36"/>
    <mergeCell ref="R36:AB36"/>
    <mergeCell ref="D37:Q37"/>
    <mergeCell ref="R37:AB37"/>
    <mergeCell ref="D38:Q38"/>
    <mergeCell ref="R38:AB38"/>
    <mergeCell ref="D39:Q39"/>
    <mergeCell ref="R39:AB39"/>
    <mergeCell ref="B23:B30"/>
    <mergeCell ref="C23:C30"/>
    <mergeCell ref="D23:Q23"/>
    <mergeCell ref="R23:AB23"/>
    <mergeCell ref="D24:Q24"/>
    <mergeCell ref="R24:AB24"/>
    <mergeCell ref="D25:Q25"/>
    <mergeCell ref="R25:AB25"/>
    <mergeCell ref="D26:Q26"/>
    <mergeCell ref="R26:AB26"/>
    <mergeCell ref="D27:Q27"/>
    <mergeCell ref="R27:AB27"/>
    <mergeCell ref="D28:Q28"/>
    <mergeCell ref="R28:AB28"/>
    <mergeCell ref="D29:Q29"/>
    <mergeCell ref="R29:AB29"/>
    <mergeCell ref="D30:Q30"/>
    <mergeCell ref="R30:AB30"/>
    <mergeCell ref="B14:B21"/>
    <mergeCell ref="C14:C21"/>
    <mergeCell ref="D14:K14"/>
    <mergeCell ref="L14:AB14"/>
    <mergeCell ref="D15:K15"/>
    <mergeCell ref="L15:AB15"/>
    <mergeCell ref="D16:K16"/>
    <mergeCell ref="L16:AB16"/>
    <mergeCell ref="D17:K17"/>
    <mergeCell ref="L17:AB17"/>
    <mergeCell ref="D18:K18"/>
    <mergeCell ref="L18:AB18"/>
    <mergeCell ref="D19:K19"/>
    <mergeCell ref="L19:AB19"/>
    <mergeCell ref="D20:K20"/>
    <mergeCell ref="L20:AB20"/>
    <mergeCell ref="D21:AB21"/>
    <mergeCell ref="A1:AD1"/>
    <mergeCell ref="A2:AD2"/>
    <mergeCell ref="D3:AB3"/>
    <mergeCell ref="D4:AB4"/>
    <mergeCell ref="B5:B12"/>
    <mergeCell ref="C5:C12"/>
    <mergeCell ref="D5:K5"/>
    <mergeCell ref="L5:AB5"/>
    <mergeCell ref="D6:K6"/>
    <mergeCell ref="L6:AB6"/>
    <mergeCell ref="D7:K7"/>
    <mergeCell ref="L7:AB7"/>
    <mergeCell ref="D8:K8"/>
    <mergeCell ref="L8:AB8"/>
    <mergeCell ref="D9:K9"/>
    <mergeCell ref="L9:AB9"/>
    <mergeCell ref="D10:K10"/>
    <mergeCell ref="L10:AB10"/>
    <mergeCell ref="D11:K11"/>
    <mergeCell ref="L11:AB11"/>
    <mergeCell ref="D12:K12"/>
    <mergeCell ref="L12:AB12"/>
  </mergeCells>
  <pageMargins left="0.75" right="0.75" top="1" bottom="1" header="0.5" footer="0.5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7"/>
  <sheetViews>
    <sheetView showGridLines="0" zoomScaleNormal="100" workbookViewId="0">
      <selection activeCell="D80" sqref="D80"/>
    </sheetView>
  </sheetViews>
  <sheetFormatPr defaultColWidth="8.6328125" defaultRowHeight="14.5" x14ac:dyDescent="0.35"/>
  <cols>
    <col min="1" max="1" width="12" customWidth="1"/>
    <col min="2" max="2" width="28" customWidth="1"/>
    <col min="3" max="3" width="14" customWidth="1"/>
    <col min="4" max="4" width="15.08984375" customWidth="1"/>
    <col min="5" max="5" width="10" customWidth="1"/>
    <col min="6" max="6" width="12" customWidth="1"/>
    <col min="7" max="7" width="10" customWidth="1"/>
    <col min="8" max="9" width="14" customWidth="1"/>
    <col min="10" max="10" width="10" customWidth="1"/>
    <col min="11" max="11" width="12.08984375" customWidth="1"/>
    <col min="12" max="13" width="14" customWidth="1"/>
    <col min="14" max="14" width="12" customWidth="1"/>
    <col min="15" max="15" width="30" customWidth="1"/>
  </cols>
  <sheetData>
    <row r="1" spans="1:15" ht="27.75" customHeight="1" x14ac:dyDescent="0.35">
      <c r="A1" s="303" t="s">
        <v>503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18"/>
      <c r="O1" s="18"/>
    </row>
    <row r="2" spans="1:15" ht="27.75" customHeight="1" x14ac:dyDescent="0.35">
      <c r="A2" s="23" t="s">
        <v>504</v>
      </c>
      <c r="B2" s="23" t="s">
        <v>63</v>
      </c>
      <c r="C2" s="23" t="s">
        <v>505</v>
      </c>
      <c r="D2" s="23" t="s">
        <v>272</v>
      </c>
      <c r="E2" s="23" t="s">
        <v>65</v>
      </c>
      <c r="F2" s="23" t="s">
        <v>69</v>
      </c>
      <c r="G2" s="23" t="s">
        <v>506</v>
      </c>
      <c r="H2" s="23" t="s">
        <v>507</v>
      </c>
      <c r="I2" s="23" t="s">
        <v>508</v>
      </c>
      <c r="J2" s="23" t="s">
        <v>509</v>
      </c>
      <c r="K2" s="23" t="s">
        <v>510</v>
      </c>
      <c r="L2" s="23" t="s">
        <v>511</v>
      </c>
      <c r="M2" s="23" t="s">
        <v>512</v>
      </c>
      <c r="N2" s="23" t="s">
        <v>513</v>
      </c>
      <c r="O2" s="23" t="s">
        <v>87</v>
      </c>
    </row>
    <row r="3" spans="1:15" ht="18" customHeight="1" x14ac:dyDescent="0.35">
      <c r="A3" s="40">
        <v>45962</v>
      </c>
      <c r="B3" s="27" t="s">
        <v>192</v>
      </c>
      <c r="C3" s="106" t="s">
        <v>514</v>
      </c>
      <c r="D3" s="26" t="s">
        <v>191</v>
      </c>
      <c r="E3" s="39">
        <v>251</v>
      </c>
      <c r="F3" s="42">
        <v>985</v>
      </c>
      <c r="G3" s="200">
        <v>3.5000000000000003E-2</v>
      </c>
      <c r="H3" s="40">
        <v>45962</v>
      </c>
      <c r="I3" s="40">
        <v>47787</v>
      </c>
      <c r="J3" s="26" t="s">
        <v>515</v>
      </c>
      <c r="K3" s="201">
        <v>0.37</v>
      </c>
      <c r="L3" s="42">
        <v>0</v>
      </c>
      <c r="M3" s="42">
        <v>66750.12</v>
      </c>
      <c r="N3" s="42">
        <v>0</v>
      </c>
      <c r="O3" s="27" t="s">
        <v>516</v>
      </c>
    </row>
    <row r="4" spans="1:15" ht="18" customHeight="1" x14ac:dyDescent="0.35">
      <c r="A4" s="52">
        <v>45992</v>
      </c>
      <c r="B4" s="34" t="s">
        <v>197</v>
      </c>
      <c r="C4" s="106" t="s">
        <v>514</v>
      </c>
      <c r="D4" s="49" t="s">
        <v>196</v>
      </c>
      <c r="E4" s="51">
        <v>344.5</v>
      </c>
      <c r="F4" s="54">
        <v>990.29</v>
      </c>
      <c r="G4" s="202">
        <v>3.5000000000000003E-2</v>
      </c>
      <c r="H4" s="52">
        <v>45992</v>
      </c>
      <c r="I4" s="52">
        <v>47483</v>
      </c>
      <c r="J4" s="49" t="s">
        <v>517</v>
      </c>
      <c r="K4" s="145">
        <v>0.4</v>
      </c>
      <c r="L4" s="54">
        <v>0</v>
      </c>
      <c r="M4" s="54">
        <v>137802.12</v>
      </c>
      <c r="N4" s="54">
        <v>0</v>
      </c>
      <c r="O4" s="34" t="s">
        <v>518</v>
      </c>
    </row>
    <row r="5" spans="1:15" ht="18" customHeight="1" x14ac:dyDescent="0.35">
      <c r="A5" s="40">
        <v>45870</v>
      </c>
      <c r="B5" s="27" t="s">
        <v>152</v>
      </c>
      <c r="C5" s="106" t="s">
        <v>514</v>
      </c>
      <c r="D5" s="26" t="s">
        <v>151</v>
      </c>
      <c r="E5" s="39">
        <v>267.89999999999998</v>
      </c>
      <c r="F5" s="42">
        <v>920</v>
      </c>
      <c r="G5" s="25"/>
      <c r="H5" s="40">
        <v>45870</v>
      </c>
      <c r="I5" s="40">
        <v>48426</v>
      </c>
      <c r="J5" s="26" t="s">
        <v>519</v>
      </c>
      <c r="K5" s="201">
        <v>0.4</v>
      </c>
      <c r="L5" s="42">
        <v>0</v>
      </c>
      <c r="M5" s="42">
        <v>690110</v>
      </c>
      <c r="N5" s="42">
        <v>0</v>
      </c>
      <c r="O5" s="27" t="s">
        <v>520</v>
      </c>
    </row>
    <row r="6" spans="1:15" ht="18" customHeight="1" x14ac:dyDescent="0.35">
      <c r="A6" s="52">
        <v>45809</v>
      </c>
      <c r="B6" s="34" t="s">
        <v>178</v>
      </c>
      <c r="C6" s="106" t="s">
        <v>514</v>
      </c>
      <c r="D6" s="49" t="s">
        <v>177</v>
      </c>
      <c r="E6" s="51">
        <v>116.3</v>
      </c>
      <c r="F6" s="54">
        <v>990</v>
      </c>
      <c r="G6" s="202">
        <v>3.7499999999999999E-2</v>
      </c>
      <c r="H6" s="52">
        <v>45809</v>
      </c>
      <c r="I6" s="52">
        <v>47787</v>
      </c>
      <c r="J6" s="49" t="s">
        <v>521</v>
      </c>
      <c r="K6" s="145">
        <v>0.42</v>
      </c>
      <c r="L6" s="54">
        <v>0</v>
      </c>
      <c r="M6" s="54">
        <v>48357.48</v>
      </c>
      <c r="N6" s="54">
        <v>0</v>
      </c>
      <c r="O6" s="34" t="s">
        <v>522</v>
      </c>
    </row>
    <row r="7" spans="1:15" ht="18" customHeight="1" x14ac:dyDescent="0.35">
      <c r="A7" s="40">
        <v>45762</v>
      </c>
      <c r="B7" s="27" t="s">
        <v>138</v>
      </c>
      <c r="C7" s="106" t="s">
        <v>514</v>
      </c>
      <c r="D7" s="26" t="s">
        <v>137</v>
      </c>
      <c r="E7" s="39">
        <v>451.7</v>
      </c>
      <c r="F7" s="42">
        <v>954.5</v>
      </c>
      <c r="G7" s="200">
        <v>3.7499999999999999E-2</v>
      </c>
      <c r="H7" s="40">
        <v>45762</v>
      </c>
      <c r="I7" s="40">
        <v>47375</v>
      </c>
      <c r="J7" s="26" t="s">
        <v>523</v>
      </c>
      <c r="K7" s="201">
        <v>0.5</v>
      </c>
      <c r="L7" s="42">
        <v>0</v>
      </c>
      <c r="M7" s="42">
        <v>211718.64</v>
      </c>
      <c r="N7" s="42">
        <v>0</v>
      </c>
      <c r="O7" s="27" t="s">
        <v>524</v>
      </c>
    </row>
    <row r="8" spans="1:15" ht="18" customHeight="1" x14ac:dyDescent="0.35">
      <c r="A8" s="52">
        <v>45642</v>
      </c>
      <c r="B8" s="34" t="s">
        <v>202</v>
      </c>
      <c r="C8" s="106" t="s">
        <v>514</v>
      </c>
      <c r="D8" s="49" t="s">
        <v>201</v>
      </c>
      <c r="E8" s="51">
        <v>536</v>
      </c>
      <c r="F8" s="54">
        <v>988</v>
      </c>
      <c r="G8" s="202">
        <v>0.04</v>
      </c>
      <c r="H8" s="52">
        <v>45642</v>
      </c>
      <c r="I8" s="52">
        <v>47832</v>
      </c>
      <c r="J8" s="49" t="s">
        <v>525</v>
      </c>
      <c r="K8" s="145">
        <v>0.35</v>
      </c>
      <c r="L8" s="54">
        <v>762115</v>
      </c>
      <c r="M8" s="54">
        <v>51200.76</v>
      </c>
      <c r="N8" s="54">
        <v>0</v>
      </c>
      <c r="O8" s="34" t="s">
        <v>526</v>
      </c>
    </row>
    <row r="9" spans="1:15" ht="18" customHeight="1" x14ac:dyDescent="0.35">
      <c r="A9" s="40">
        <v>45352</v>
      </c>
      <c r="B9" s="27" t="s">
        <v>131</v>
      </c>
      <c r="C9" s="106" t="s">
        <v>514</v>
      </c>
      <c r="D9" s="26" t="s">
        <v>130</v>
      </c>
      <c r="E9" s="39">
        <v>413.5</v>
      </c>
      <c r="F9" s="42">
        <v>1005.89</v>
      </c>
      <c r="G9" s="200">
        <v>0.04</v>
      </c>
      <c r="H9" s="40">
        <v>45352</v>
      </c>
      <c r="I9" s="40">
        <v>47177</v>
      </c>
      <c r="J9" s="26" t="s">
        <v>515</v>
      </c>
      <c r="K9" s="201">
        <v>0.25</v>
      </c>
      <c r="L9" s="42">
        <v>672971.25</v>
      </c>
      <c r="M9" s="42">
        <v>104594.28</v>
      </c>
      <c r="N9" s="42">
        <v>0</v>
      </c>
      <c r="O9" s="27" t="s">
        <v>527</v>
      </c>
    </row>
    <row r="10" spans="1:15" ht="18" customHeight="1" x14ac:dyDescent="0.35">
      <c r="A10" s="52">
        <v>45444</v>
      </c>
      <c r="B10" s="34" t="s">
        <v>122</v>
      </c>
      <c r="C10" s="26" t="s">
        <v>528</v>
      </c>
      <c r="D10" s="49" t="s">
        <v>121</v>
      </c>
      <c r="E10" s="51">
        <v>229.8</v>
      </c>
      <c r="F10" s="54">
        <v>877.01</v>
      </c>
      <c r="G10" s="202">
        <v>3.5000000000000003E-2</v>
      </c>
      <c r="H10" s="52">
        <v>45444</v>
      </c>
      <c r="I10" s="52">
        <v>47269</v>
      </c>
      <c r="J10" s="49" t="s">
        <v>515</v>
      </c>
      <c r="K10" s="145">
        <v>0</v>
      </c>
      <c r="L10" s="54">
        <v>0</v>
      </c>
      <c r="M10" s="54">
        <v>0</v>
      </c>
      <c r="N10" s="54">
        <v>0</v>
      </c>
      <c r="O10" s="34" t="s">
        <v>529</v>
      </c>
    </row>
    <row r="11" spans="1:15" ht="18" customHeight="1" x14ac:dyDescent="0.35">
      <c r="A11" s="40">
        <v>45992</v>
      </c>
      <c r="B11" s="27" t="s">
        <v>530</v>
      </c>
      <c r="C11" s="106" t="s">
        <v>514</v>
      </c>
      <c r="D11" s="26" t="s">
        <v>207</v>
      </c>
      <c r="E11" s="39">
        <v>186.4</v>
      </c>
      <c r="F11" s="42">
        <v>920</v>
      </c>
      <c r="G11" s="25"/>
      <c r="H11" s="40">
        <v>46204</v>
      </c>
      <c r="I11" s="40">
        <v>48395</v>
      </c>
      <c r="J11" s="26" t="s">
        <v>525</v>
      </c>
      <c r="K11" s="26">
        <v>46.5</v>
      </c>
      <c r="L11" s="203">
        <v>0</v>
      </c>
      <c r="M11" s="204">
        <v>512255</v>
      </c>
      <c r="N11" s="42">
        <v>0</v>
      </c>
      <c r="O11" s="27" t="s">
        <v>531</v>
      </c>
    </row>
    <row r="12" spans="1:15" ht="18" customHeight="1" x14ac:dyDescent="0.35">
      <c r="A12" s="40">
        <v>45931</v>
      </c>
      <c r="B12" s="27" t="s">
        <v>225</v>
      </c>
      <c r="C12" s="106" t="s">
        <v>514</v>
      </c>
      <c r="D12" s="49">
        <v>11.02</v>
      </c>
      <c r="E12" s="51">
        <v>536</v>
      </c>
      <c r="F12" s="54">
        <v>1040</v>
      </c>
      <c r="G12" s="202">
        <v>3.5000000000000003E-2</v>
      </c>
      <c r="H12" s="52">
        <v>46296</v>
      </c>
      <c r="I12" s="52">
        <v>49582</v>
      </c>
      <c r="J12" s="49" t="s">
        <v>525</v>
      </c>
      <c r="K12" s="145">
        <v>0.42499999999999999</v>
      </c>
      <c r="L12" s="203">
        <v>750400</v>
      </c>
      <c r="M12" s="204">
        <v>671072</v>
      </c>
      <c r="N12" s="54">
        <v>0</v>
      </c>
      <c r="O12" s="27" t="s">
        <v>532</v>
      </c>
    </row>
    <row r="13" spans="1:15" ht="18" customHeight="1" x14ac:dyDescent="0.35">
      <c r="A13" s="195"/>
      <c r="B13" s="134"/>
      <c r="C13" s="205"/>
      <c r="D13" s="25"/>
      <c r="E13" s="206"/>
      <c r="F13" s="207"/>
      <c r="G13" s="25"/>
      <c r="H13" s="195"/>
      <c r="I13" s="195"/>
      <c r="J13" s="25"/>
      <c r="K13" s="25"/>
      <c r="L13" s="25"/>
      <c r="M13" s="25"/>
      <c r="N13" s="207"/>
      <c r="O13" s="134"/>
    </row>
    <row r="14" spans="1:15" ht="14.25" customHeight="1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spans="1:15" ht="14.25" customHeight="1" x14ac:dyDescent="0.3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spans="1:15" ht="19.5" customHeight="1" x14ac:dyDescent="0.35">
      <c r="A16" s="233" t="s">
        <v>533</v>
      </c>
      <c r="B16" s="233"/>
      <c r="C16" s="233"/>
      <c r="D16" s="233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1:15" ht="15.75" customHeight="1" x14ac:dyDescent="0.35">
      <c r="A17" s="282" t="s">
        <v>534</v>
      </c>
      <c r="B17" s="282"/>
      <c r="C17" s="282"/>
      <c r="D17" s="208" t="str">
        <f ca="1">TEXT(Dashboard!E14,"0.0")&amp;" years"</f>
        <v>3.9 years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 spans="1:15" ht="15.75" customHeight="1" x14ac:dyDescent="0.35">
      <c r="A18" s="341" t="s">
        <v>535</v>
      </c>
      <c r="B18" s="341"/>
      <c r="C18" s="341"/>
      <c r="D18" s="33" t="str">
        <f>TEXT('Input Data'!K26,"0.00%")</f>
        <v>91.20%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1:15" ht="15.75" customHeight="1" x14ac:dyDescent="0.35">
      <c r="A19" s="282" t="s">
        <v>536</v>
      </c>
      <c r="B19" s="282"/>
      <c r="C19" s="282"/>
      <c r="D19" s="208" t="s">
        <v>537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 spans="1:15" ht="15.75" customHeight="1" x14ac:dyDescent="0.35">
      <c r="A20" s="341" t="s">
        <v>538</v>
      </c>
      <c r="B20" s="341"/>
      <c r="C20" s="341"/>
      <c r="D20" s="33" t="s">
        <v>539</v>
      </c>
      <c r="E20" s="18"/>
      <c r="F20" s="18"/>
      <c r="G20" s="18"/>
      <c r="H20" s="18"/>
      <c r="I20" s="18"/>
      <c r="J20" s="18"/>
      <c r="K20" s="118" t="s">
        <v>540</v>
      </c>
      <c r="L20" s="18"/>
      <c r="M20" s="18"/>
      <c r="N20" s="18"/>
      <c r="O20" s="18"/>
    </row>
    <row r="21" spans="1:15" ht="15.75" customHeight="1" x14ac:dyDescent="0.35">
      <c r="A21" s="282" t="s">
        <v>541</v>
      </c>
      <c r="B21" s="282"/>
      <c r="C21" s="282"/>
      <c r="D21" s="208" t="s">
        <v>542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spans="1:15" ht="15.75" customHeight="1" x14ac:dyDescent="0.35">
      <c r="A22" s="341" t="s">
        <v>543</v>
      </c>
      <c r="B22" s="341"/>
      <c r="C22" s="341"/>
      <c r="D22" s="33" t="s">
        <v>544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ht="15.75" customHeight="1" x14ac:dyDescent="0.35">
      <c r="A23" s="282" t="s">
        <v>545</v>
      </c>
      <c r="B23" s="282"/>
      <c r="C23" s="282"/>
      <c r="D23" s="208" t="str">
        <f>TEXT(SUM(E3:E12),"#,##0")&amp;" sqm leased/renewed"</f>
        <v>3,333 sqm leased/renewed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1:15" ht="14.25" customHeight="1" x14ac:dyDescent="0.3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 ht="14.25" customHeight="1" x14ac:dyDescent="0.3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spans="1:15" ht="14.25" customHeight="1" x14ac:dyDescent="0.3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1:15" ht="14.25" customHeight="1" x14ac:dyDescent="0.3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209"/>
      <c r="L27" s="18"/>
      <c r="M27" s="18"/>
      <c r="N27" s="18"/>
      <c r="O27" s="18"/>
    </row>
  </sheetData>
  <mergeCells count="9">
    <mergeCell ref="A20:C20"/>
    <mergeCell ref="A21:C21"/>
    <mergeCell ref="A22:C22"/>
    <mergeCell ref="A23:C23"/>
    <mergeCell ref="A1:M1"/>
    <mergeCell ref="A16:D16"/>
    <mergeCell ref="A17:C17"/>
    <mergeCell ref="A18:C18"/>
    <mergeCell ref="A19:C19"/>
  </mergeCells>
  <pageMargins left="0.75" right="0.75" top="1" bottom="1" header="0.5" footer="0.5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5"/>
  <sheetViews>
    <sheetView showGridLines="0" zoomScaleNormal="100" workbookViewId="0"/>
  </sheetViews>
  <sheetFormatPr defaultColWidth="8.6328125" defaultRowHeight="14.5" x14ac:dyDescent="0.35"/>
  <cols>
    <col min="1" max="1" width="1.453125" customWidth="1"/>
    <col min="2" max="2" width="12" customWidth="1"/>
    <col min="3" max="3" width="30" customWidth="1"/>
    <col min="4" max="4" width="10" customWidth="1"/>
    <col min="5" max="5" width="12" customWidth="1"/>
    <col min="6" max="7" width="14" customWidth="1"/>
    <col min="8" max="8" width="12" customWidth="1"/>
    <col min="9" max="9" width="14" customWidth="1"/>
    <col min="10" max="10" width="12" customWidth="1"/>
    <col min="11" max="11" width="16" customWidth="1"/>
    <col min="12" max="12" width="14" customWidth="1"/>
    <col min="13" max="13" width="28" customWidth="1"/>
  </cols>
  <sheetData>
    <row r="1" spans="1:13" ht="27.75" customHeight="1" x14ac:dyDescent="0.35">
      <c r="A1" s="303" t="s">
        <v>546</v>
      </c>
      <c r="B1" s="303"/>
      <c r="C1" s="303"/>
      <c r="D1" s="303"/>
      <c r="E1" s="303"/>
      <c r="F1" s="303"/>
      <c r="G1" s="303"/>
      <c r="H1" s="303"/>
      <c r="I1" s="303"/>
      <c r="J1" s="303"/>
      <c r="K1" s="18"/>
      <c r="L1" s="18"/>
      <c r="M1" s="18"/>
    </row>
    <row r="2" spans="1:13" ht="15.75" customHeight="1" x14ac:dyDescent="0.35">
      <c r="A2" s="13" t="s">
        <v>547</v>
      </c>
      <c r="B2" s="13"/>
      <c r="C2" s="13"/>
      <c r="D2" s="13"/>
      <c r="E2" s="13"/>
      <c r="F2" s="13"/>
      <c r="G2" s="13"/>
      <c r="H2" s="13"/>
      <c r="I2" s="13"/>
      <c r="J2" s="13"/>
      <c r="K2" s="18"/>
      <c r="L2" s="18"/>
      <c r="M2" s="18"/>
    </row>
    <row r="3" spans="1:13" ht="7.5" customHeigh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19.5" customHeight="1" x14ac:dyDescent="0.35">
      <c r="A4" s="18"/>
      <c r="B4" s="12" t="s">
        <v>548</v>
      </c>
      <c r="C4" s="12"/>
      <c r="D4" s="12"/>
      <c r="E4" s="12"/>
      <c r="F4" s="12"/>
      <c r="G4" s="12"/>
      <c r="H4" s="12"/>
      <c r="I4" s="12"/>
      <c r="J4" s="18"/>
      <c r="K4" s="18"/>
      <c r="L4" s="18"/>
      <c r="M4" s="18"/>
    </row>
    <row r="5" spans="1:13" ht="21.75" customHeight="1" x14ac:dyDescent="0.35">
      <c r="A5" s="18"/>
      <c r="B5" s="282" t="s">
        <v>549</v>
      </c>
      <c r="C5" s="282"/>
      <c r="D5" s="282" t="s">
        <v>550</v>
      </c>
      <c r="E5" s="282"/>
      <c r="F5" s="282" t="s">
        <v>551</v>
      </c>
      <c r="G5" s="282"/>
      <c r="H5" s="282" t="s">
        <v>552</v>
      </c>
      <c r="I5" s="282"/>
      <c r="J5" s="18"/>
      <c r="K5" s="18"/>
      <c r="L5" s="18"/>
      <c r="M5" s="18"/>
    </row>
    <row r="6" spans="1:13" ht="21.75" customHeight="1" x14ac:dyDescent="0.35">
      <c r="A6" s="18"/>
      <c r="B6" s="342" t="s">
        <v>4</v>
      </c>
      <c r="C6" s="342"/>
      <c r="D6" s="342" t="s">
        <v>4</v>
      </c>
      <c r="E6" s="342"/>
      <c r="F6" s="342" t="s">
        <v>4</v>
      </c>
      <c r="G6" s="342"/>
      <c r="H6" s="342" t="s">
        <v>4</v>
      </c>
      <c r="I6" s="342"/>
      <c r="J6" s="18"/>
      <c r="K6" s="18"/>
      <c r="L6" s="18"/>
      <c r="M6" s="18"/>
    </row>
    <row r="7" spans="1:13" ht="7.5" customHeight="1" x14ac:dyDescent="0.3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19.5" customHeight="1" x14ac:dyDescent="0.35">
      <c r="A8" s="18"/>
      <c r="B8" s="12" t="s">
        <v>553</v>
      </c>
      <c r="C8" s="12"/>
      <c r="D8" s="12"/>
      <c r="E8" s="12"/>
      <c r="F8" s="12"/>
      <c r="G8" s="12"/>
      <c r="H8" s="12"/>
      <c r="I8" s="12"/>
      <c r="J8" s="18"/>
      <c r="K8" s="18"/>
      <c r="L8" s="18"/>
      <c r="M8" s="18"/>
    </row>
    <row r="9" spans="1:13" ht="31.5" customHeight="1" x14ac:dyDescent="0.35">
      <c r="A9" s="18"/>
      <c r="B9" s="23" t="s">
        <v>554</v>
      </c>
      <c r="C9" s="23" t="s">
        <v>555</v>
      </c>
      <c r="D9" s="23" t="s">
        <v>65</v>
      </c>
      <c r="E9" s="23" t="s">
        <v>556</v>
      </c>
      <c r="F9" s="23" t="s">
        <v>88</v>
      </c>
      <c r="G9" s="23" t="s">
        <v>557</v>
      </c>
      <c r="H9" s="23" t="s">
        <v>558</v>
      </c>
      <c r="I9" s="23" t="s">
        <v>559</v>
      </c>
      <c r="J9" s="23" t="s">
        <v>560</v>
      </c>
      <c r="K9" s="23" t="s">
        <v>561</v>
      </c>
      <c r="L9" s="23" t="s">
        <v>562</v>
      </c>
      <c r="M9" s="23" t="s">
        <v>87</v>
      </c>
    </row>
    <row r="10" spans="1:13" ht="19.5" customHeight="1" x14ac:dyDescent="0.35">
      <c r="A10" s="18"/>
      <c r="B10" s="26" t="s">
        <v>184</v>
      </c>
      <c r="C10" s="27" t="s">
        <v>563</v>
      </c>
      <c r="D10" s="39">
        <v>453.3</v>
      </c>
      <c r="E10" s="40">
        <v>44746</v>
      </c>
      <c r="F10" s="106" t="s">
        <v>564</v>
      </c>
      <c r="G10" s="42">
        <v>64625.279999999999</v>
      </c>
      <c r="H10" s="42">
        <v>186.24</v>
      </c>
      <c r="I10" s="26">
        <v>0</v>
      </c>
      <c r="J10" s="42">
        <v>64625.279999999999</v>
      </c>
      <c r="K10" s="25"/>
      <c r="L10" s="27" t="s">
        <v>565</v>
      </c>
      <c r="M10" s="26" t="s">
        <v>566</v>
      </c>
    </row>
    <row r="11" spans="1:13" ht="19.5" customHeight="1" x14ac:dyDescent="0.35">
      <c r="A11" s="18"/>
      <c r="B11" s="210" t="s">
        <v>213</v>
      </c>
      <c r="C11" s="36" t="s">
        <v>567</v>
      </c>
      <c r="D11" s="211">
        <v>349</v>
      </c>
      <c r="E11" s="113">
        <v>45292</v>
      </c>
      <c r="F11" s="106" t="s">
        <v>564</v>
      </c>
      <c r="G11" s="212">
        <v>86789.32</v>
      </c>
      <c r="H11" s="212">
        <v>248.68</v>
      </c>
      <c r="I11" s="210">
        <v>0</v>
      </c>
      <c r="J11" s="212">
        <v>86789.32</v>
      </c>
      <c r="K11" s="187"/>
      <c r="L11" s="36" t="s">
        <v>568</v>
      </c>
      <c r="M11" s="210" t="s">
        <v>569</v>
      </c>
    </row>
    <row r="12" spans="1:13" ht="19.5" customHeight="1" x14ac:dyDescent="0.35">
      <c r="A12" s="18"/>
      <c r="B12" s="26" t="s">
        <v>216</v>
      </c>
      <c r="C12" s="27" t="s">
        <v>570</v>
      </c>
      <c r="D12" s="39">
        <v>438</v>
      </c>
      <c r="E12" s="40">
        <v>45292</v>
      </c>
      <c r="F12" s="106" t="s">
        <v>564</v>
      </c>
      <c r="G12" s="42">
        <v>671825</v>
      </c>
      <c r="H12" s="42">
        <v>1547.98</v>
      </c>
      <c r="I12" s="26">
        <v>0</v>
      </c>
      <c r="J12" s="42">
        <v>671825</v>
      </c>
      <c r="K12" s="25"/>
      <c r="L12" s="27" t="s">
        <v>568</v>
      </c>
      <c r="M12" s="26" t="s">
        <v>571</v>
      </c>
    </row>
    <row r="13" spans="1:13" ht="19.5" customHeight="1" x14ac:dyDescent="0.35">
      <c r="A13" s="18"/>
      <c r="B13" s="210" t="s">
        <v>207</v>
      </c>
      <c r="C13" s="36" t="s">
        <v>572</v>
      </c>
      <c r="D13" s="211">
        <v>186.4</v>
      </c>
      <c r="E13" s="113">
        <v>44562</v>
      </c>
      <c r="F13" s="106" t="s">
        <v>564</v>
      </c>
      <c r="G13" s="212">
        <v>170556</v>
      </c>
      <c r="H13" s="212">
        <v>915</v>
      </c>
      <c r="I13" s="210">
        <v>0</v>
      </c>
      <c r="J13" s="212">
        <v>170556</v>
      </c>
      <c r="K13" s="187"/>
      <c r="L13" s="36" t="s">
        <v>565</v>
      </c>
      <c r="M13" s="210" t="s">
        <v>573</v>
      </c>
    </row>
    <row r="14" spans="1:13" ht="19.5" customHeight="1" x14ac:dyDescent="0.35">
      <c r="A14" s="18"/>
      <c r="B14" s="26" t="s">
        <v>191</v>
      </c>
      <c r="C14" s="27" t="s">
        <v>574</v>
      </c>
      <c r="D14" s="39">
        <v>251</v>
      </c>
      <c r="E14" s="40">
        <v>44562</v>
      </c>
      <c r="F14" s="106" t="s">
        <v>564</v>
      </c>
      <c r="G14" s="42">
        <v>248030.67</v>
      </c>
      <c r="H14" s="42">
        <v>988.17</v>
      </c>
      <c r="I14" s="26">
        <v>0</v>
      </c>
      <c r="J14" s="42">
        <v>248030.67</v>
      </c>
      <c r="K14" s="25"/>
      <c r="L14" s="27" t="s">
        <v>575</v>
      </c>
      <c r="M14" s="26" t="s">
        <v>576</v>
      </c>
    </row>
    <row r="15" spans="1:13" ht="19.5" customHeight="1" x14ac:dyDescent="0.35">
      <c r="A15" s="18"/>
      <c r="B15" s="210" t="s">
        <v>177</v>
      </c>
      <c r="C15" s="36" t="s">
        <v>577</v>
      </c>
      <c r="D15" s="211">
        <v>116.3</v>
      </c>
      <c r="E15" s="113">
        <v>45658</v>
      </c>
      <c r="F15" s="106" t="s">
        <v>564</v>
      </c>
      <c r="G15" s="212">
        <v>3023.8</v>
      </c>
      <c r="H15" s="212">
        <v>26</v>
      </c>
      <c r="I15" s="210">
        <v>0</v>
      </c>
      <c r="J15" s="212">
        <v>3023.8</v>
      </c>
      <c r="K15" s="187"/>
      <c r="L15" s="36" t="s">
        <v>578</v>
      </c>
      <c r="M15" s="210" t="s">
        <v>579</v>
      </c>
    </row>
    <row r="16" spans="1:13" ht="19.5" customHeight="1" x14ac:dyDescent="0.35">
      <c r="A16" s="18"/>
      <c r="B16" s="26" t="s">
        <v>580</v>
      </c>
      <c r="C16" s="27" t="s">
        <v>581</v>
      </c>
      <c r="D16" s="39">
        <v>850.4</v>
      </c>
      <c r="E16" s="40">
        <v>45809</v>
      </c>
      <c r="F16" s="26" t="s">
        <v>582</v>
      </c>
      <c r="G16" s="58" t="s">
        <v>4</v>
      </c>
      <c r="H16" s="58" t="s">
        <v>4</v>
      </c>
      <c r="I16" s="58" t="s">
        <v>4</v>
      </c>
      <c r="J16" s="58" t="s">
        <v>4</v>
      </c>
      <c r="K16" s="25"/>
      <c r="L16" s="27" t="s">
        <v>264</v>
      </c>
      <c r="M16" s="26" t="s">
        <v>583</v>
      </c>
    </row>
    <row r="17" spans="1:13" ht="19.5" customHeight="1" x14ac:dyDescent="0.35">
      <c r="A17" s="18"/>
      <c r="B17" s="210" t="s">
        <v>196</v>
      </c>
      <c r="C17" s="36" t="s">
        <v>584</v>
      </c>
      <c r="D17" s="211">
        <v>344.5</v>
      </c>
      <c r="E17" s="113">
        <v>45658</v>
      </c>
      <c r="F17" s="106" t="s">
        <v>564</v>
      </c>
      <c r="G17" s="212">
        <v>64161</v>
      </c>
      <c r="H17" s="212">
        <v>186.24</v>
      </c>
      <c r="I17" s="210">
        <v>0</v>
      </c>
      <c r="J17" s="212">
        <v>64161</v>
      </c>
      <c r="K17" s="187"/>
      <c r="L17" s="36" t="s">
        <v>578</v>
      </c>
      <c r="M17" s="210" t="s">
        <v>585</v>
      </c>
    </row>
    <row r="18" spans="1:13" ht="19.5" customHeight="1" x14ac:dyDescent="0.35">
      <c r="A18" s="18"/>
      <c r="B18" s="26" t="s">
        <v>130</v>
      </c>
      <c r="C18" s="27" t="s">
        <v>586</v>
      </c>
      <c r="D18" s="39">
        <v>413.5</v>
      </c>
      <c r="E18" s="40">
        <v>45352</v>
      </c>
      <c r="F18" s="106" t="s">
        <v>564</v>
      </c>
      <c r="G18" s="58" t="s">
        <v>4</v>
      </c>
      <c r="H18" s="58" t="s">
        <v>4</v>
      </c>
      <c r="I18" s="42">
        <v>672971.25</v>
      </c>
      <c r="J18" s="58" t="s">
        <v>4</v>
      </c>
      <c r="K18" s="25"/>
      <c r="L18" s="27" t="s">
        <v>568</v>
      </c>
      <c r="M18" s="26" t="s">
        <v>587</v>
      </c>
    </row>
    <row r="19" spans="1:13" ht="19.5" customHeight="1" x14ac:dyDescent="0.35">
      <c r="A19" s="18"/>
      <c r="B19" s="120" t="s">
        <v>219</v>
      </c>
      <c r="C19" s="120" t="s">
        <v>588</v>
      </c>
      <c r="D19" s="120">
        <v>242.5</v>
      </c>
      <c r="E19" s="213">
        <v>46296</v>
      </c>
      <c r="F19" s="88" t="s">
        <v>582</v>
      </c>
      <c r="G19" s="88" t="s">
        <v>4</v>
      </c>
      <c r="H19" s="88" t="s">
        <v>4</v>
      </c>
      <c r="I19" s="88">
        <v>369812.5</v>
      </c>
      <c r="J19" s="88" t="s">
        <v>4</v>
      </c>
      <c r="K19" s="88"/>
      <c r="L19" s="120" t="s">
        <v>264</v>
      </c>
      <c r="M19" s="120" t="s">
        <v>589</v>
      </c>
    </row>
    <row r="20" spans="1:13" ht="19.5" customHeight="1" x14ac:dyDescent="0.35">
      <c r="A20" s="18"/>
      <c r="B20" s="32"/>
      <c r="C20" s="32"/>
      <c r="D20" s="32"/>
      <c r="E20" s="32"/>
      <c r="F20" s="88"/>
      <c r="G20" s="88"/>
      <c r="H20" s="88"/>
      <c r="I20" s="88"/>
      <c r="J20" s="88"/>
      <c r="K20" s="88"/>
      <c r="L20" s="32"/>
      <c r="M20" s="32"/>
    </row>
    <row r="21" spans="1:13" ht="19.5" customHeight="1" x14ac:dyDescent="0.35">
      <c r="A21" s="18"/>
      <c r="B21" s="120"/>
      <c r="C21" s="120"/>
      <c r="D21" s="120"/>
      <c r="E21" s="120"/>
      <c r="F21" s="88"/>
      <c r="G21" s="88"/>
      <c r="H21" s="88"/>
      <c r="I21" s="88"/>
      <c r="J21" s="88"/>
      <c r="K21" s="88"/>
      <c r="L21" s="120"/>
      <c r="M21" s="120"/>
    </row>
    <row r="22" spans="1:13" ht="19.5" customHeight="1" x14ac:dyDescent="0.35">
      <c r="A22" s="18"/>
      <c r="B22" s="32"/>
      <c r="C22" s="32"/>
      <c r="D22" s="32"/>
      <c r="E22" s="32"/>
      <c r="F22" s="88"/>
      <c r="G22" s="88"/>
      <c r="H22" s="88"/>
      <c r="I22" s="88"/>
      <c r="J22" s="88"/>
      <c r="K22" s="88"/>
      <c r="L22" s="32"/>
      <c r="M22" s="32"/>
    </row>
    <row r="23" spans="1:13" ht="19.5" customHeight="1" x14ac:dyDescent="0.35">
      <c r="A23" s="18"/>
      <c r="B23" s="120"/>
      <c r="C23" s="120"/>
      <c r="D23" s="120"/>
      <c r="E23" s="120"/>
      <c r="F23" s="88"/>
      <c r="G23" s="88"/>
      <c r="H23" s="88"/>
      <c r="I23" s="88"/>
      <c r="J23" s="88"/>
      <c r="K23" s="88"/>
      <c r="L23" s="120"/>
      <c r="M23" s="120"/>
    </row>
    <row r="24" spans="1:13" ht="19.5" customHeight="1" x14ac:dyDescent="0.35">
      <c r="A24" s="18"/>
      <c r="B24" s="32"/>
      <c r="C24" s="32"/>
      <c r="D24" s="32"/>
      <c r="E24" s="32"/>
      <c r="F24" s="88"/>
      <c r="G24" s="88"/>
      <c r="H24" s="88"/>
      <c r="I24" s="88"/>
      <c r="J24" s="88"/>
      <c r="K24" s="88"/>
      <c r="L24" s="32"/>
      <c r="M24" s="32"/>
    </row>
    <row r="25" spans="1:13" ht="14.25" customHeight="1" x14ac:dyDescent="0.3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 ht="14.25" customHeight="1" x14ac:dyDescent="0.3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ht="19.5" customHeight="1" x14ac:dyDescent="0.35">
      <c r="A27" s="18"/>
      <c r="B27" s="12" t="s">
        <v>590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13" ht="18" customHeight="1" x14ac:dyDescent="0.35">
      <c r="A28" s="18"/>
      <c r="B28" s="133" t="s">
        <v>591</v>
      </c>
      <c r="C28" s="214" t="s">
        <v>592</v>
      </c>
      <c r="D28" s="214" t="s">
        <v>593</v>
      </c>
      <c r="E28" s="214" t="s">
        <v>594</v>
      </c>
      <c r="F28" s="133" t="s">
        <v>87</v>
      </c>
      <c r="G28" s="18"/>
      <c r="H28" s="18"/>
      <c r="I28" s="18"/>
      <c r="J28" s="18"/>
      <c r="K28" s="18"/>
      <c r="L28" s="18"/>
      <c r="M28" s="18"/>
    </row>
    <row r="29" spans="1:13" ht="18" customHeight="1" x14ac:dyDescent="0.35">
      <c r="A29" s="18"/>
      <c r="B29" s="36" t="s">
        <v>595</v>
      </c>
      <c r="C29" s="210" t="s">
        <v>596</v>
      </c>
      <c r="D29" s="210" t="s">
        <v>597</v>
      </c>
      <c r="E29" s="210" t="s">
        <v>598</v>
      </c>
      <c r="F29" s="36" t="s">
        <v>599</v>
      </c>
      <c r="G29" s="18"/>
      <c r="H29" s="18"/>
      <c r="I29" s="18"/>
      <c r="J29" s="18"/>
      <c r="K29" s="18"/>
      <c r="L29" s="18"/>
      <c r="M29" s="18"/>
    </row>
    <row r="30" spans="1:13" ht="18" customHeight="1" x14ac:dyDescent="0.35">
      <c r="A30" s="18"/>
      <c r="B30" s="27" t="s">
        <v>600</v>
      </c>
      <c r="C30" s="26" t="s">
        <v>601</v>
      </c>
      <c r="D30" s="26" t="s">
        <v>602</v>
      </c>
      <c r="E30" s="26" t="s">
        <v>603</v>
      </c>
      <c r="F30" s="27" t="s">
        <v>604</v>
      </c>
      <c r="G30" s="18"/>
      <c r="H30" s="18"/>
      <c r="I30" s="18"/>
      <c r="J30" s="18"/>
      <c r="K30" s="18"/>
      <c r="L30" s="18"/>
      <c r="M30" s="18"/>
    </row>
    <row r="31" spans="1:13" ht="18" customHeight="1" x14ac:dyDescent="0.35">
      <c r="A31" s="18"/>
      <c r="B31" s="36" t="s">
        <v>605</v>
      </c>
      <c r="C31" s="210" t="s">
        <v>606</v>
      </c>
      <c r="D31" s="210" t="s">
        <v>607</v>
      </c>
      <c r="E31" s="210" t="s">
        <v>608</v>
      </c>
      <c r="F31" s="36" t="s">
        <v>609</v>
      </c>
      <c r="G31" s="18"/>
      <c r="H31" s="18"/>
      <c r="I31" s="18"/>
      <c r="J31" s="18"/>
      <c r="K31" s="18"/>
      <c r="L31" s="18"/>
      <c r="M31" s="18"/>
    </row>
    <row r="32" spans="1:13" ht="18" customHeight="1" x14ac:dyDescent="0.35">
      <c r="A32" s="18"/>
      <c r="B32" s="27" t="s">
        <v>610</v>
      </c>
      <c r="C32" s="26" t="s">
        <v>607</v>
      </c>
      <c r="D32" s="26" t="s">
        <v>611</v>
      </c>
      <c r="E32" s="26" t="s">
        <v>612</v>
      </c>
      <c r="F32" s="27" t="s">
        <v>613</v>
      </c>
      <c r="G32" s="18"/>
      <c r="H32" s="18"/>
      <c r="I32" s="18"/>
      <c r="J32" s="18"/>
      <c r="K32" s="18"/>
      <c r="L32" s="18"/>
      <c r="M32" s="18"/>
    </row>
    <row r="33" spans="1:13" ht="18" customHeight="1" x14ac:dyDescent="0.35">
      <c r="A33" s="18"/>
      <c r="B33" s="36" t="s">
        <v>614</v>
      </c>
      <c r="C33" s="210" t="s">
        <v>615</v>
      </c>
      <c r="D33" s="210" t="s">
        <v>616</v>
      </c>
      <c r="E33" s="210" t="s">
        <v>617</v>
      </c>
      <c r="F33" s="36" t="s">
        <v>618</v>
      </c>
      <c r="G33" s="18"/>
      <c r="H33" s="18"/>
      <c r="I33" s="18"/>
      <c r="J33" s="18"/>
      <c r="K33" s="18"/>
      <c r="L33" s="18"/>
      <c r="M33" s="18"/>
    </row>
    <row r="34" spans="1:13" ht="18" customHeight="1" x14ac:dyDescent="0.35">
      <c r="A34" s="18"/>
      <c r="B34" s="27" t="s">
        <v>619</v>
      </c>
      <c r="C34" s="26" t="s">
        <v>620</v>
      </c>
      <c r="D34" s="26" t="s">
        <v>621</v>
      </c>
      <c r="E34" s="26" t="s">
        <v>622</v>
      </c>
      <c r="F34" s="27" t="s">
        <v>623</v>
      </c>
      <c r="G34" s="18"/>
      <c r="H34" s="18"/>
      <c r="I34" s="18"/>
      <c r="J34" s="18"/>
      <c r="K34" s="18"/>
      <c r="L34" s="18"/>
      <c r="M34" s="18"/>
    </row>
    <row r="35" spans="1:13" ht="18" customHeight="1" x14ac:dyDescent="0.35">
      <c r="A35" s="18"/>
      <c r="B35" s="36" t="s">
        <v>624</v>
      </c>
      <c r="C35" s="210" t="s">
        <v>625</v>
      </c>
      <c r="D35" s="210" t="s">
        <v>626</v>
      </c>
      <c r="E35" s="210" t="s">
        <v>627</v>
      </c>
      <c r="F35" s="36" t="s">
        <v>628</v>
      </c>
      <c r="G35" s="18"/>
      <c r="H35" s="18"/>
      <c r="I35" s="18"/>
      <c r="J35" s="18"/>
      <c r="K35" s="18"/>
      <c r="L35" s="18"/>
      <c r="M35" s="18"/>
    </row>
  </sheetData>
  <mergeCells count="13">
    <mergeCell ref="B27:M27"/>
    <mergeCell ref="B6:C6"/>
    <mergeCell ref="D6:E6"/>
    <mergeCell ref="F6:G6"/>
    <mergeCell ref="H6:I6"/>
    <mergeCell ref="B8:I8"/>
    <mergeCell ref="A1:J1"/>
    <mergeCell ref="A2:J2"/>
    <mergeCell ref="B4:I4"/>
    <mergeCell ref="B5:C5"/>
    <mergeCell ref="D5:E5"/>
    <mergeCell ref="F5:G5"/>
    <mergeCell ref="H5:I5"/>
  </mergeCells>
  <pageMargins left="0.75" right="0.75" top="1" bottom="1" header="0.5" footer="0.5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5"/>
  <sheetViews>
    <sheetView showGridLines="0" zoomScaleNormal="100" workbookViewId="0"/>
  </sheetViews>
  <sheetFormatPr defaultColWidth="8.6328125" defaultRowHeight="14.5" x14ac:dyDescent="0.35"/>
  <cols>
    <col min="1" max="1" width="1.453125" customWidth="1"/>
    <col min="2" max="2" width="8" customWidth="1"/>
    <col min="3" max="3" width="10" customWidth="1"/>
    <col min="4" max="7" width="12" customWidth="1"/>
    <col min="8" max="8" width="14" customWidth="1"/>
    <col min="9" max="9" width="12" customWidth="1"/>
    <col min="10" max="10" width="11" customWidth="1"/>
    <col min="11" max="11" width="10" customWidth="1"/>
    <col min="12" max="12" width="35" customWidth="1"/>
    <col min="13" max="13" width="12" customWidth="1"/>
    <col min="14" max="14" width="1.453125" customWidth="1"/>
  </cols>
  <sheetData>
    <row r="1" spans="1:14" ht="27.75" customHeight="1" x14ac:dyDescent="0.35">
      <c r="A1" s="303" t="s">
        <v>629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</row>
    <row r="2" spans="1:14" ht="15.75" customHeight="1" x14ac:dyDescent="0.35">
      <c r="A2" s="13" t="s">
        <v>630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19.5" customHeight="1" x14ac:dyDescent="0.35">
      <c r="A3" s="18"/>
      <c r="B3" s="12" t="s">
        <v>631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8"/>
    </row>
    <row r="4" spans="1:14" ht="24" customHeight="1" x14ac:dyDescent="0.35">
      <c r="A4" s="18"/>
      <c r="B4" s="282" t="s">
        <v>632</v>
      </c>
      <c r="C4" s="282"/>
      <c r="D4" s="215" t="s">
        <v>633</v>
      </c>
      <c r="E4" s="282" t="s">
        <v>634</v>
      </c>
      <c r="F4" s="282"/>
      <c r="G4" s="215" t="s">
        <v>635</v>
      </c>
      <c r="H4" s="282" t="s">
        <v>636</v>
      </c>
      <c r="I4" s="282"/>
      <c r="J4" s="215" t="s">
        <v>637</v>
      </c>
      <c r="K4" s="282" t="s">
        <v>638</v>
      </c>
      <c r="L4" s="282"/>
      <c r="M4" s="215" t="s">
        <v>639</v>
      </c>
      <c r="N4" s="18"/>
    </row>
    <row r="5" spans="1:14" ht="7.5" customHeight="1" x14ac:dyDescent="0.3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4" ht="19.5" customHeight="1" x14ac:dyDescent="0.35">
      <c r="A6" s="18"/>
      <c r="B6" s="12" t="s">
        <v>640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8"/>
    </row>
    <row r="7" spans="1:14" ht="31.5" customHeight="1" x14ac:dyDescent="0.35">
      <c r="A7" s="18"/>
      <c r="B7" s="23" t="s">
        <v>272</v>
      </c>
      <c r="C7" s="23" t="s">
        <v>274</v>
      </c>
      <c r="D7" s="23" t="s">
        <v>641</v>
      </c>
      <c r="E7" s="23" t="s">
        <v>642</v>
      </c>
      <c r="F7" s="23" t="s">
        <v>643</v>
      </c>
      <c r="G7" s="23" t="s">
        <v>644</v>
      </c>
      <c r="H7" s="23" t="s">
        <v>645</v>
      </c>
      <c r="I7" s="23" t="s">
        <v>646</v>
      </c>
      <c r="J7" s="23" t="s">
        <v>647</v>
      </c>
      <c r="K7" s="23" t="s">
        <v>648</v>
      </c>
      <c r="L7" s="23" t="s">
        <v>649</v>
      </c>
      <c r="M7" s="18"/>
      <c r="N7" s="18"/>
    </row>
    <row r="8" spans="1:14" ht="19.5" customHeight="1" x14ac:dyDescent="0.35">
      <c r="A8" s="18"/>
      <c r="B8" s="26"/>
      <c r="C8" s="39"/>
      <c r="D8" s="42"/>
      <c r="E8" s="42"/>
      <c r="F8" s="42"/>
      <c r="G8" s="42"/>
      <c r="H8" s="42"/>
      <c r="I8" s="42"/>
      <c r="J8" s="201"/>
      <c r="K8" s="26"/>
      <c r="L8" s="27"/>
      <c r="M8" s="18"/>
      <c r="N8" s="18"/>
    </row>
    <row r="9" spans="1:14" ht="19.5" customHeight="1" x14ac:dyDescent="0.35">
      <c r="A9" s="18"/>
      <c r="B9" s="210" t="s">
        <v>213</v>
      </c>
      <c r="C9" s="211">
        <v>349</v>
      </c>
      <c r="D9" s="212">
        <v>5235</v>
      </c>
      <c r="E9" s="212">
        <v>6980</v>
      </c>
      <c r="F9" s="212">
        <v>6980</v>
      </c>
      <c r="G9" s="212">
        <v>8725</v>
      </c>
      <c r="H9" s="212">
        <v>248.68</v>
      </c>
      <c r="I9" s="212">
        <v>990</v>
      </c>
      <c r="J9" s="210" t="s">
        <v>4</v>
      </c>
      <c r="K9" s="210">
        <v>2</v>
      </c>
      <c r="L9" s="36" t="s">
        <v>650</v>
      </c>
      <c r="M9" s="18"/>
      <c r="N9" s="18"/>
    </row>
    <row r="10" spans="1:14" ht="19.5" customHeight="1" x14ac:dyDescent="0.35">
      <c r="A10" s="18"/>
      <c r="B10" s="26" t="s">
        <v>216</v>
      </c>
      <c r="C10" s="39">
        <v>438</v>
      </c>
      <c r="D10" s="42">
        <v>6570</v>
      </c>
      <c r="E10" s="42">
        <v>8760</v>
      </c>
      <c r="F10" s="42">
        <v>8760</v>
      </c>
      <c r="G10" s="42">
        <v>10950</v>
      </c>
      <c r="H10" s="42">
        <v>1547.98</v>
      </c>
      <c r="I10" s="42">
        <v>1000</v>
      </c>
      <c r="J10" s="201">
        <v>0.38</v>
      </c>
      <c r="K10" s="26">
        <v>3</v>
      </c>
      <c r="L10" s="27" t="s">
        <v>651</v>
      </c>
      <c r="M10" s="18"/>
      <c r="N10" s="18"/>
    </row>
    <row r="11" spans="1:14" ht="19.5" customHeight="1" x14ac:dyDescent="0.35">
      <c r="A11" s="18"/>
      <c r="B11" s="210"/>
      <c r="C11" s="211"/>
      <c r="D11" s="212"/>
      <c r="E11" s="212"/>
      <c r="F11" s="212"/>
      <c r="G11" s="212"/>
      <c r="H11" s="210"/>
      <c r="I11" s="212"/>
      <c r="J11" s="151"/>
      <c r="K11" s="210"/>
      <c r="L11" s="36"/>
      <c r="M11" s="18"/>
      <c r="N11" s="18"/>
    </row>
    <row r="12" spans="1:14" ht="19.5" customHeight="1" x14ac:dyDescent="0.35">
      <c r="A12" s="18"/>
      <c r="B12" s="233" t="s">
        <v>652</v>
      </c>
      <c r="C12" s="233"/>
      <c r="D12" s="122">
        <v>787</v>
      </c>
      <c r="E12" s="80">
        <f>D9+D10</f>
        <v>11805</v>
      </c>
      <c r="F12" s="80">
        <f>E9+E10</f>
        <v>15740</v>
      </c>
      <c r="G12" s="80">
        <f>F9+F10</f>
        <v>15740</v>
      </c>
      <c r="H12" s="80">
        <f>G9+G10</f>
        <v>19675</v>
      </c>
      <c r="I12" s="86">
        <f>H9+H10</f>
        <v>1796.66</v>
      </c>
      <c r="J12" s="86"/>
      <c r="K12" s="86"/>
      <c r="L12" s="86"/>
      <c r="M12" s="86"/>
      <c r="N12" s="18"/>
    </row>
    <row r="13" spans="1:14" ht="7.5" customHeight="1" x14ac:dyDescent="0.3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ht="19.5" customHeight="1" x14ac:dyDescent="0.35">
      <c r="A14" s="18"/>
      <c r="B14" s="12" t="s">
        <v>653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8"/>
    </row>
    <row r="15" spans="1:14" ht="49.5" customHeight="1" x14ac:dyDescent="0.35">
      <c r="A15" s="18"/>
      <c r="B15" s="270" t="s">
        <v>654</v>
      </c>
      <c r="C15" s="270"/>
      <c r="D15" s="270"/>
      <c r="E15" s="270"/>
      <c r="F15" s="270"/>
      <c r="G15" s="270"/>
      <c r="H15" s="270"/>
      <c r="I15" s="270"/>
      <c r="J15" s="270"/>
      <c r="K15" s="270"/>
      <c r="L15" s="270"/>
      <c r="M15" s="270"/>
      <c r="N15" s="18"/>
    </row>
  </sheetData>
  <mergeCells count="11">
    <mergeCell ref="B6:M6"/>
    <mergeCell ref="B12:C12"/>
    <mergeCell ref="B14:M14"/>
    <mergeCell ref="B15:M15"/>
    <mergeCell ref="A1:N1"/>
    <mergeCell ref="A2:N2"/>
    <mergeCell ref="B3:M3"/>
    <mergeCell ref="B4:C4"/>
    <mergeCell ref="E4:F4"/>
    <mergeCell ref="H4:I4"/>
    <mergeCell ref="K4:L4"/>
  </mergeCells>
  <pageMargins left="0.75" right="0.75" top="1" bottom="1" header="0.5" footer="0.5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6"/>
  <sheetViews>
    <sheetView showGridLines="0" zoomScaleNormal="100" workbookViewId="0"/>
  </sheetViews>
  <sheetFormatPr defaultColWidth="8.6328125" defaultRowHeight="14.5" x14ac:dyDescent="0.35"/>
  <cols>
    <col min="1" max="1" width="1.453125" customWidth="1"/>
    <col min="2" max="2" width="28" customWidth="1"/>
    <col min="3" max="3" width="8" customWidth="1"/>
    <col min="4" max="4" width="20" customWidth="1"/>
    <col min="5" max="8" width="12" customWidth="1"/>
    <col min="9" max="9" width="1.453125" customWidth="1"/>
  </cols>
  <sheetData>
    <row r="1" spans="1:8" ht="27.75" customHeight="1" x14ac:dyDescent="0.35">
      <c r="A1" s="14" t="s">
        <v>655</v>
      </c>
      <c r="B1" s="14"/>
      <c r="C1" s="14"/>
      <c r="D1" s="14"/>
      <c r="E1" s="14"/>
      <c r="F1" s="14"/>
      <c r="G1" s="14"/>
      <c r="H1" s="14"/>
    </row>
    <row r="2" spans="1:8" ht="15.75" customHeight="1" x14ac:dyDescent="0.35">
      <c r="A2" s="13" t="s">
        <v>656</v>
      </c>
      <c r="B2" s="13"/>
      <c r="C2" s="13"/>
      <c r="D2" s="13"/>
      <c r="E2" s="13"/>
      <c r="F2" s="13"/>
      <c r="G2" s="13"/>
      <c r="H2" s="13"/>
    </row>
    <row r="3" spans="1:8" ht="7.5" customHeight="1" x14ac:dyDescent="0.35">
      <c r="A3" s="18"/>
      <c r="B3" s="18"/>
      <c r="C3" s="18"/>
      <c r="D3" s="18"/>
      <c r="E3" s="18"/>
      <c r="F3" s="18"/>
      <c r="G3" s="18"/>
      <c r="H3" s="18"/>
    </row>
    <row r="4" spans="1:8" ht="19.5" customHeight="1" x14ac:dyDescent="0.35">
      <c r="A4" s="18"/>
      <c r="B4" s="12" t="s">
        <v>657</v>
      </c>
      <c r="C4" s="12"/>
      <c r="D4" s="12"/>
      <c r="E4" s="12"/>
      <c r="F4" s="12"/>
      <c r="G4" s="12"/>
      <c r="H4" s="18"/>
    </row>
    <row r="5" spans="1:8" ht="18" customHeight="1" x14ac:dyDescent="0.35">
      <c r="A5" s="18"/>
      <c r="B5" s="19" t="s">
        <v>658</v>
      </c>
      <c r="C5" s="26" t="s">
        <v>659</v>
      </c>
      <c r="D5" s="216">
        <v>8940.9</v>
      </c>
      <c r="E5" s="18"/>
      <c r="F5" s="18"/>
      <c r="G5" s="18"/>
      <c r="H5" s="18"/>
    </row>
    <row r="6" spans="1:8" ht="18" customHeight="1" x14ac:dyDescent="0.35">
      <c r="A6" s="18"/>
      <c r="B6" s="21" t="s">
        <v>660</v>
      </c>
      <c r="C6" s="217" t="s">
        <v>661</v>
      </c>
      <c r="D6" s="218">
        <f>D9/D5</f>
        <v>2.8073236475075217E-2</v>
      </c>
      <c r="E6" s="18"/>
      <c r="F6" s="18"/>
      <c r="G6" s="18"/>
      <c r="H6" s="18"/>
    </row>
    <row r="7" spans="1:8" ht="7.5" customHeight="1" x14ac:dyDescent="0.35">
      <c r="A7" s="18"/>
      <c r="B7" s="18"/>
      <c r="C7" s="18"/>
      <c r="D7" s="18"/>
      <c r="E7" s="18"/>
      <c r="F7" s="18"/>
      <c r="G7" s="18"/>
      <c r="H7" s="18"/>
    </row>
    <row r="8" spans="1:8" ht="19.5" customHeight="1" x14ac:dyDescent="0.35">
      <c r="A8" s="18"/>
      <c r="B8" s="12" t="s">
        <v>662</v>
      </c>
      <c r="C8" s="12"/>
      <c r="D8" s="12"/>
      <c r="E8" s="12"/>
      <c r="F8" s="12"/>
      <c r="G8" s="12"/>
      <c r="H8" s="18"/>
    </row>
    <row r="9" spans="1:8" ht="18" customHeight="1" x14ac:dyDescent="0.35">
      <c r="A9" s="18"/>
      <c r="B9" s="19" t="s">
        <v>663</v>
      </c>
      <c r="C9" s="26" t="s">
        <v>659</v>
      </c>
      <c r="D9" s="219">
        <v>251</v>
      </c>
      <c r="E9" s="18"/>
      <c r="F9" s="18"/>
      <c r="G9" s="18"/>
      <c r="H9" s="18"/>
    </row>
    <row r="10" spans="1:8" ht="18" customHeight="1" x14ac:dyDescent="0.35">
      <c r="A10" s="18"/>
      <c r="B10" s="21" t="s">
        <v>664</v>
      </c>
      <c r="C10" s="217" t="s">
        <v>665</v>
      </c>
      <c r="D10" s="220">
        <v>5</v>
      </c>
      <c r="E10" s="18"/>
      <c r="F10" s="18"/>
      <c r="G10" s="18"/>
      <c r="H10" s="18"/>
    </row>
    <row r="11" spans="1:8" ht="18" customHeight="1" x14ac:dyDescent="0.35">
      <c r="A11" s="18"/>
      <c r="B11" s="19" t="s">
        <v>666</v>
      </c>
      <c r="C11" s="26" t="s">
        <v>667</v>
      </c>
      <c r="D11" s="221">
        <v>985</v>
      </c>
      <c r="E11" s="18"/>
      <c r="F11" s="18"/>
      <c r="G11" s="18"/>
      <c r="H11" s="18"/>
    </row>
    <row r="12" spans="1:8" ht="18" customHeight="1" x14ac:dyDescent="0.35">
      <c r="A12" s="18"/>
      <c r="B12" s="21" t="s">
        <v>668</v>
      </c>
      <c r="C12" s="217" t="s">
        <v>669</v>
      </c>
      <c r="D12" s="222">
        <f>D10*D9</f>
        <v>1255</v>
      </c>
      <c r="E12" s="18"/>
      <c r="F12" s="18"/>
      <c r="G12" s="18"/>
      <c r="H12" s="18"/>
    </row>
    <row r="13" spans="1:8" ht="18" customHeight="1" x14ac:dyDescent="0.35">
      <c r="A13" s="18"/>
      <c r="B13" s="19" t="s">
        <v>670</v>
      </c>
      <c r="C13" s="26" t="s">
        <v>671</v>
      </c>
      <c r="D13" s="223">
        <f>D11*D9</f>
        <v>247235</v>
      </c>
      <c r="E13" s="18"/>
      <c r="F13" s="18"/>
      <c r="G13" s="18"/>
      <c r="H13" s="18"/>
    </row>
    <row r="14" spans="1:8" ht="7.5" customHeight="1" x14ac:dyDescent="0.35">
      <c r="A14" s="18"/>
      <c r="B14" s="18"/>
      <c r="C14" s="18"/>
      <c r="D14" s="18"/>
      <c r="E14" s="18"/>
      <c r="F14" s="18"/>
      <c r="G14" s="18"/>
      <c r="H14" s="18"/>
    </row>
    <row r="15" spans="1:8" ht="19.5" customHeight="1" x14ac:dyDescent="0.35">
      <c r="A15" s="18"/>
      <c r="B15" s="12" t="s">
        <v>672</v>
      </c>
      <c r="C15" s="12"/>
      <c r="D15" s="12"/>
      <c r="E15" s="12"/>
      <c r="F15" s="12"/>
      <c r="G15" s="12"/>
      <c r="H15" s="18"/>
    </row>
    <row r="16" spans="1:8" ht="18" customHeight="1" x14ac:dyDescent="0.35">
      <c r="A16" s="18"/>
      <c r="B16" s="19" t="s">
        <v>673</v>
      </c>
      <c r="C16" s="26" t="s">
        <v>661</v>
      </c>
      <c r="D16" s="224">
        <v>0.3</v>
      </c>
      <c r="E16" s="18"/>
      <c r="F16" s="18"/>
      <c r="G16" s="18"/>
      <c r="H16" s="18"/>
    </row>
    <row r="17" spans="1:8" ht="18" customHeight="1" x14ac:dyDescent="0.35">
      <c r="A17" s="18"/>
      <c r="B17" s="90" t="s">
        <v>674</v>
      </c>
      <c r="C17" s="225" t="s">
        <v>671</v>
      </c>
      <c r="D17" s="226">
        <f>D11*D16</f>
        <v>295.5</v>
      </c>
      <c r="E17" s="18"/>
      <c r="F17" s="18"/>
      <c r="G17" s="18"/>
      <c r="H17" s="18"/>
    </row>
    <row r="18" spans="1:8" ht="18" customHeight="1" x14ac:dyDescent="0.35">
      <c r="A18" s="18"/>
      <c r="B18" s="19" t="s">
        <v>675</v>
      </c>
      <c r="C18" s="26" t="s">
        <v>669</v>
      </c>
      <c r="D18" s="223">
        <f>D17/D9</f>
        <v>1.1772908366533865</v>
      </c>
      <c r="E18" s="18"/>
      <c r="F18" s="18"/>
      <c r="G18" s="18"/>
      <c r="H18" s="18"/>
    </row>
    <row r="19" spans="1:8" ht="18" customHeight="1" x14ac:dyDescent="0.35">
      <c r="A19" s="18"/>
      <c r="B19" s="90" t="s">
        <v>676</v>
      </c>
      <c r="C19" s="225" t="s">
        <v>671</v>
      </c>
      <c r="D19" s="226">
        <f>D18/12</f>
        <v>9.8107569721115548E-2</v>
      </c>
      <c r="E19" s="18"/>
      <c r="F19" s="18"/>
      <c r="G19" s="18"/>
      <c r="H19" s="18"/>
    </row>
    <row r="20" spans="1:8" ht="18" customHeight="1" x14ac:dyDescent="0.35">
      <c r="A20" s="18"/>
      <c r="B20" s="19" t="s">
        <v>677</v>
      </c>
      <c r="C20" s="26" t="s">
        <v>665</v>
      </c>
      <c r="D20" s="220">
        <v>0</v>
      </c>
      <c r="E20" s="18"/>
      <c r="F20" s="18"/>
      <c r="G20" s="18"/>
      <c r="H20" s="18"/>
    </row>
    <row r="21" spans="1:8" ht="18" customHeight="1" x14ac:dyDescent="0.35">
      <c r="A21" s="18"/>
      <c r="B21" s="90" t="s">
        <v>678</v>
      </c>
      <c r="C21" s="225" t="s">
        <v>671</v>
      </c>
      <c r="D21" s="226">
        <f>D11/D9/12*D20</f>
        <v>0</v>
      </c>
      <c r="E21" s="18"/>
      <c r="F21" s="18"/>
      <c r="G21" s="18"/>
      <c r="H21" s="18"/>
    </row>
    <row r="22" spans="1:8" ht="18" customHeight="1" x14ac:dyDescent="0.35">
      <c r="A22" s="18"/>
      <c r="B22" s="19" t="s">
        <v>679</v>
      </c>
      <c r="C22" s="26" t="s">
        <v>671</v>
      </c>
      <c r="D22" s="221">
        <v>248030.67</v>
      </c>
      <c r="E22" s="18"/>
      <c r="F22" s="18"/>
      <c r="G22" s="18"/>
      <c r="H22" s="18"/>
    </row>
    <row r="23" spans="1:8" ht="7.5" customHeight="1" x14ac:dyDescent="0.35">
      <c r="A23" s="18"/>
      <c r="B23" s="18"/>
      <c r="C23" s="18"/>
      <c r="D23" s="18"/>
      <c r="E23" s="18"/>
      <c r="F23" s="18"/>
      <c r="G23" s="18"/>
      <c r="H23" s="18"/>
    </row>
    <row r="24" spans="1:8" ht="19.5" customHeight="1" x14ac:dyDescent="0.35">
      <c r="A24" s="18"/>
      <c r="B24" s="12" t="s">
        <v>680</v>
      </c>
      <c r="C24" s="12"/>
      <c r="D24" s="12"/>
      <c r="E24" s="12"/>
      <c r="F24" s="12"/>
      <c r="G24" s="12"/>
      <c r="H24" s="18"/>
    </row>
    <row r="25" spans="1:8" ht="18" customHeight="1" x14ac:dyDescent="0.35">
      <c r="A25" s="18"/>
      <c r="B25" s="19" t="s">
        <v>681</v>
      </c>
      <c r="C25" s="26" t="s">
        <v>661</v>
      </c>
      <c r="D25" s="227">
        <v>3.5000000000000003E-2</v>
      </c>
      <c r="E25" s="18"/>
      <c r="F25" s="18"/>
      <c r="G25" s="18"/>
      <c r="H25" s="18"/>
    </row>
    <row r="26" spans="1:8" ht="18" customHeight="1" x14ac:dyDescent="0.35">
      <c r="A26" s="18"/>
      <c r="B26" s="21" t="s">
        <v>682</v>
      </c>
      <c r="C26" s="217" t="s">
        <v>667</v>
      </c>
      <c r="D26" s="221">
        <v>15.77</v>
      </c>
      <c r="E26" s="18"/>
      <c r="F26" s="18"/>
      <c r="G26" s="18"/>
      <c r="H26" s="18"/>
    </row>
    <row r="27" spans="1:8" ht="18" customHeight="1" x14ac:dyDescent="0.35">
      <c r="A27" s="18"/>
      <c r="B27" s="19" t="s">
        <v>683</v>
      </c>
      <c r="C27" s="26" t="s">
        <v>671</v>
      </c>
      <c r="D27" s="223">
        <f>D10*D26</f>
        <v>78.849999999999994</v>
      </c>
      <c r="E27" s="18"/>
      <c r="F27" s="18"/>
      <c r="G27" s="18"/>
      <c r="H27" s="18"/>
    </row>
    <row r="28" spans="1:8" ht="18" customHeight="1" x14ac:dyDescent="0.35">
      <c r="A28" s="18"/>
      <c r="B28" s="21" t="s">
        <v>684</v>
      </c>
      <c r="C28" s="217" t="s">
        <v>665</v>
      </c>
      <c r="D28" s="220">
        <v>0</v>
      </c>
      <c r="E28" s="18"/>
      <c r="F28" s="18"/>
      <c r="G28" s="18"/>
      <c r="H28" s="18"/>
    </row>
    <row r="29" spans="1:8" ht="18" customHeight="1" x14ac:dyDescent="0.35">
      <c r="A29" s="18"/>
      <c r="B29" s="19" t="s">
        <v>685</v>
      </c>
      <c r="C29" s="26" t="s">
        <v>686</v>
      </c>
      <c r="D29" s="221">
        <v>1000</v>
      </c>
      <c r="E29" s="18"/>
      <c r="F29" s="18"/>
      <c r="G29" s="18"/>
      <c r="H29" s="18"/>
    </row>
    <row r="30" spans="1:8" ht="18" customHeight="1" x14ac:dyDescent="0.35">
      <c r="A30" s="18"/>
      <c r="B30" s="21" t="s">
        <v>687</v>
      </c>
      <c r="C30" s="217" t="s">
        <v>671</v>
      </c>
      <c r="D30" s="222">
        <f>D28*D29</f>
        <v>0</v>
      </c>
      <c r="E30" s="18"/>
      <c r="F30" s="18"/>
      <c r="G30" s="18"/>
      <c r="H30" s="18"/>
    </row>
    <row r="31" spans="1:8" ht="7.5" customHeight="1" x14ac:dyDescent="0.35">
      <c r="A31" s="18"/>
      <c r="B31" s="18"/>
      <c r="C31" s="18"/>
      <c r="D31" s="18"/>
      <c r="E31" s="18"/>
      <c r="F31" s="18"/>
      <c r="G31" s="18"/>
      <c r="H31" s="18"/>
    </row>
    <row r="32" spans="1:8" ht="19.5" customHeight="1" x14ac:dyDescent="0.35">
      <c r="A32" s="18"/>
      <c r="B32" s="12" t="s">
        <v>688</v>
      </c>
      <c r="C32" s="12"/>
      <c r="D32" s="12"/>
      <c r="E32" s="12"/>
      <c r="F32" s="12"/>
      <c r="G32" s="12"/>
      <c r="H32" s="18"/>
    </row>
    <row r="33" spans="1:8" ht="19.5" customHeight="1" x14ac:dyDescent="0.35">
      <c r="A33" s="18"/>
      <c r="B33" s="257" t="s">
        <v>689</v>
      </c>
      <c r="C33" s="257"/>
      <c r="D33" s="257"/>
      <c r="E33" s="23" t="s">
        <v>690</v>
      </c>
      <c r="F33" s="23" t="s">
        <v>691</v>
      </c>
      <c r="G33" s="23" t="s">
        <v>692</v>
      </c>
      <c r="H33" s="23" t="s">
        <v>693</v>
      </c>
    </row>
    <row r="34" spans="1:8" ht="18" customHeight="1" x14ac:dyDescent="0.35">
      <c r="A34" s="18"/>
      <c r="B34" s="10" t="s">
        <v>694</v>
      </c>
      <c r="C34" s="10"/>
      <c r="D34" s="10"/>
      <c r="E34" s="223">
        <f>D11</f>
        <v>985</v>
      </c>
      <c r="F34" s="223">
        <f>E34*(1+D25)</f>
        <v>1019.4749999999999</v>
      </c>
      <c r="G34" s="223">
        <f>F34*(1+D25)</f>
        <v>1055.1566249999998</v>
      </c>
      <c r="H34" s="223">
        <f>G34*(1+D25)</f>
        <v>1092.0871068749998</v>
      </c>
    </row>
    <row r="35" spans="1:8" ht="18" customHeight="1" x14ac:dyDescent="0.35">
      <c r="A35" s="18"/>
      <c r="B35" s="343" t="s">
        <v>695</v>
      </c>
      <c r="C35" s="343"/>
      <c r="D35" s="343"/>
      <c r="E35" s="226">
        <f>D27</f>
        <v>78.849999999999994</v>
      </c>
      <c r="F35" s="226">
        <f t="shared" ref="F35:H36" si="0">E35</f>
        <v>78.849999999999994</v>
      </c>
      <c r="G35" s="226">
        <f t="shared" si="0"/>
        <v>78.849999999999994</v>
      </c>
      <c r="H35" s="226">
        <f t="shared" si="0"/>
        <v>78.849999999999994</v>
      </c>
    </row>
    <row r="36" spans="1:8" ht="18" customHeight="1" x14ac:dyDescent="0.35">
      <c r="A36" s="18"/>
      <c r="B36" s="10" t="s">
        <v>696</v>
      </c>
      <c r="C36" s="10"/>
      <c r="D36" s="10"/>
      <c r="E36" s="223">
        <f>D30</f>
        <v>0</v>
      </c>
      <c r="F36" s="223">
        <f t="shared" si="0"/>
        <v>0</v>
      </c>
      <c r="G36" s="223">
        <f t="shared" si="0"/>
        <v>0</v>
      </c>
      <c r="H36" s="223">
        <f t="shared" si="0"/>
        <v>0</v>
      </c>
    </row>
    <row r="37" spans="1:8" ht="18" customHeight="1" x14ac:dyDescent="0.35">
      <c r="A37" s="18"/>
      <c r="B37" s="343" t="s">
        <v>697</v>
      </c>
      <c r="C37" s="343"/>
      <c r="D37" s="343"/>
      <c r="E37" s="226">
        <f>IF(D20&gt;0,-D11/D9/12*MIN(D20,12),IF(D16&gt;0,-D18,0))</f>
        <v>-1.1772908366533865</v>
      </c>
      <c r="F37" s="226">
        <f>IF(D20&gt;1,-D11/D9/12*MIN(D20-12,12),IF(D16&gt;0,-D18,0))</f>
        <v>-1.1772908366533865</v>
      </c>
      <c r="G37" s="226">
        <f>0</f>
        <v>0</v>
      </c>
      <c r="H37" s="226">
        <f>0</f>
        <v>0</v>
      </c>
    </row>
    <row r="38" spans="1:8" ht="18" customHeight="1" x14ac:dyDescent="0.35">
      <c r="A38" s="18"/>
      <c r="B38" s="12" t="s">
        <v>698</v>
      </c>
      <c r="C38" s="12"/>
      <c r="D38" s="12"/>
      <c r="E38" s="229">
        <f>SUM(E34:E37)</f>
        <v>1062.6727091633466</v>
      </c>
      <c r="F38" s="229">
        <f>SUM(F34:F37)</f>
        <v>1097.1477091633465</v>
      </c>
      <c r="G38" s="229">
        <f>SUM(G34:G37)</f>
        <v>1134.0066249999998</v>
      </c>
      <c r="H38" s="229">
        <f>SUM(H34:H37)</f>
        <v>1170.9371068749997</v>
      </c>
    </row>
    <row r="39" spans="1:8" ht="7.5" customHeight="1" x14ac:dyDescent="0.35">
      <c r="A39" s="18"/>
      <c r="B39" s="18"/>
      <c r="C39" s="18"/>
      <c r="D39" s="18"/>
      <c r="E39" s="18"/>
      <c r="F39" s="18"/>
      <c r="G39" s="18"/>
      <c r="H39" s="18"/>
    </row>
    <row r="40" spans="1:8" ht="19.5" customHeight="1" x14ac:dyDescent="0.35">
      <c r="A40" s="18"/>
      <c r="B40" s="12" t="s">
        <v>699</v>
      </c>
      <c r="C40" s="12"/>
      <c r="D40" s="12"/>
      <c r="E40" s="12"/>
      <c r="F40" s="12"/>
      <c r="G40" s="12"/>
      <c r="H40" s="18"/>
    </row>
    <row r="41" spans="1:8" ht="18" customHeight="1" x14ac:dyDescent="0.35">
      <c r="A41" s="18"/>
      <c r="B41" s="20" t="s">
        <v>700</v>
      </c>
      <c r="C41" s="26" t="s">
        <v>665</v>
      </c>
      <c r="D41" s="220">
        <v>6</v>
      </c>
      <c r="E41" s="18"/>
      <c r="F41" s="18"/>
      <c r="G41" s="18"/>
      <c r="H41" s="18"/>
    </row>
    <row r="42" spans="1:8" ht="18" customHeight="1" x14ac:dyDescent="0.35">
      <c r="A42" s="18"/>
      <c r="B42" s="22" t="s">
        <v>701</v>
      </c>
      <c r="C42" s="217" t="s">
        <v>671</v>
      </c>
      <c r="D42" s="222">
        <f>D9*(D10/12)*D41</f>
        <v>627.5</v>
      </c>
      <c r="E42" s="18"/>
      <c r="F42" s="18"/>
      <c r="G42" s="18"/>
      <c r="H42" s="18"/>
    </row>
    <row r="43" spans="1:8" ht="18" customHeight="1" x14ac:dyDescent="0.35">
      <c r="A43" s="18"/>
      <c r="B43" s="20" t="s">
        <v>682</v>
      </c>
      <c r="C43" s="26" t="s">
        <v>671</v>
      </c>
      <c r="D43" s="223">
        <f>D27/12*D41</f>
        <v>39.424999999999997</v>
      </c>
      <c r="E43" s="18"/>
      <c r="F43" s="18"/>
      <c r="G43" s="18"/>
      <c r="H43" s="18"/>
    </row>
    <row r="44" spans="1:8" ht="18" customHeight="1" x14ac:dyDescent="0.35">
      <c r="A44" s="18"/>
      <c r="B44" s="22" t="s">
        <v>702</v>
      </c>
      <c r="C44" s="217" t="s">
        <v>671</v>
      </c>
      <c r="D44" s="222">
        <f>D30/12*D41</f>
        <v>0</v>
      </c>
      <c r="E44" s="18"/>
      <c r="F44" s="18"/>
      <c r="G44" s="18"/>
      <c r="H44" s="18"/>
    </row>
    <row r="45" spans="1:8" ht="18" customHeight="1" x14ac:dyDescent="0.35">
      <c r="A45" s="18"/>
      <c r="B45" s="19" t="s">
        <v>703</v>
      </c>
      <c r="C45" s="26" t="s">
        <v>671</v>
      </c>
      <c r="D45" s="230">
        <f>SUM(D42:D44)</f>
        <v>666.92499999999995</v>
      </c>
      <c r="E45" s="18"/>
      <c r="F45" s="18"/>
      <c r="G45" s="18"/>
      <c r="H45" s="18"/>
    </row>
    <row r="46" spans="1:8" ht="18" customHeight="1" x14ac:dyDescent="0.35">
      <c r="A46" s="18"/>
      <c r="B46" s="21" t="s">
        <v>704</v>
      </c>
      <c r="C46" s="217" t="s">
        <v>671</v>
      </c>
      <c r="D46" s="230">
        <f>D45*0.1</f>
        <v>66.692499999999995</v>
      </c>
      <c r="E46" s="18"/>
      <c r="F46" s="18"/>
      <c r="G46" s="18"/>
      <c r="H46" s="18"/>
    </row>
    <row r="47" spans="1:8" ht="18" customHeight="1" x14ac:dyDescent="0.35">
      <c r="A47" s="18"/>
      <c r="B47" s="19" t="s">
        <v>705</v>
      </c>
      <c r="C47" s="26" t="s">
        <v>671</v>
      </c>
      <c r="D47" s="230">
        <f>D45+D46</f>
        <v>733.61749999999995</v>
      </c>
      <c r="E47" s="18"/>
      <c r="F47" s="18"/>
      <c r="G47" s="18"/>
      <c r="H47" s="18"/>
    </row>
    <row r="48" spans="1:8" ht="7.5" customHeight="1" x14ac:dyDescent="0.35">
      <c r="A48" s="18"/>
      <c r="B48" s="18"/>
      <c r="C48" s="18"/>
      <c r="D48" s="18"/>
      <c r="E48" s="18"/>
      <c r="F48" s="18"/>
      <c r="G48" s="18"/>
      <c r="H48" s="18"/>
    </row>
    <row r="49" spans="1:8" ht="19.5" customHeight="1" x14ac:dyDescent="0.35">
      <c r="A49" s="18"/>
      <c r="B49" s="12" t="s">
        <v>706</v>
      </c>
      <c r="C49" s="12"/>
      <c r="D49" s="12"/>
      <c r="E49" s="12"/>
      <c r="F49" s="12"/>
      <c r="G49" s="12"/>
      <c r="H49" s="18"/>
    </row>
    <row r="50" spans="1:8" ht="18" customHeight="1" x14ac:dyDescent="0.35">
      <c r="A50" s="18"/>
      <c r="B50" s="20" t="s">
        <v>707</v>
      </c>
      <c r="C50" s="26" t="s">
        <v>671</v>
      </c>
      <c r="D50" s="223">
        <f>D34</f>
        <v>0</v>
      </c>
      <c r="E50" s="18"/>
      <c r="F50" s="18"/>
      <c r="G50" s="18"/>
      <c r="H50" s="18"/>
    </row>
    <row r="51" spans="1:8" ht="18" customHeight="1" x14ac:dyDescent="0.35">
      <c r="A51" s="18"/>
      <c r="B51" s="228" t="s">
        <v>708</v>
      </c>
      <c r="C51" s="225" t="s">
        <v>671</v>
      </c>
      <c r="D51" s="226">
        <f>D35</f>
        <v>0</v>
      </c>
      <c r="E51" s="18"/>
      <c r="F51" s="18"/>
      <c r="G51" s="18"/>
      <c r="H51" s="18"/>
    </row>
    <row r="52" spans="1:8" ht="18" customHeight="1" x14ac:dyDescent="0.35">
      <c r="A52" s="18"/>
      <c r="B52" s="20" t="s">
        <v>709</v>
      </c>
      <c r="C52" s="26" t="s">
        <v>671</v>
      </c>
      <c r="D52" s="223">
        <f>D36</f>
        <v>0</v>
      </c>
      <c r="E52" s="18"/>
      <c r="F52" s="18"/>
      <c r="G52" s="18"/>
      <c r="H52" s="18"/>
    </row>
    <row r="53" spans="1:8" ht="18" customHeight="1" x14ac:dyDescent="0.35">
      <c r="A53" s="18"/>
      <c r="B53" s="228" t="s">
        <v>710</v>
      </c>
      <c r="C53" s="225" t="s">
        <v>671</v>
      </c>
      <c r="D53" s="226">
        <f>D37</f>
        <v>0</v>
      </c>
      <c r="E53" s="18"/>
      <c r="F53" s="18"/>
      <c r="G53" s="18"/>
      <c r="H53" s="18"/>
    </row>
    <row r="54" spans="1:8" ht="18" customHeight="1" x14ac:dyDescent="0.35">
      <c r="A54" s="18"/>
      <c r="B54" s="19" t="s">
        <v>711</v>
      </c>
      <c r="C54" s="26" t="s">
        <v>671</v>
      </c>
      <c r="D54" s="230">
        <f>SUM(D50:D53)</f>
        <v>0</v>
      </c>
      <c r="E54" s="18"/>
      <c r="F54" s="18"/>
      <c r="G54" s="18"/>
      <c r="H54" s="18"/>
    </row>
    <row r="55" spans="1:8" ht="18" customHeight="1" x14ac:dyDescent="0.35">
      <c r="A55" s="18"/>
      <c r="B55" s="90" t="s">
        <v>712</v>
      </c>
      <c r="C55" s="225" t="s">
        <v>671</v>
      </c>
      <c r="D55" s="230">
        <f>D54/D10</f>
        <v>0</v>
      </c>
      <c r="E55" s="18"/>
      <c r="F55" s="18"/>
      <c r="G55" s="18"/>
      <c r="H55" s="18"/>
    </row>
    <row r="56" spans="1:8" ht="18" customHeight="1" x14ac:dyDescent="0.35">
      <c r="A56" s="18"/>
      <c r="B56" s="19" t="s">
        <v>713</v>
      </c>
      <c r="C56" s="26" t="s">
        <v>671</v>
      </c>
      <c r="D56" s="230">
        <f>D54/12</f>
        <v>0</v>
      </c>
      <c r="E56" s="18"/>
      <c r="F56" s="18"/>
      <c r="G56" s="18"/>
      <c r="H56" s="18"/>
    </row>
    <row r="57" spans="1:8" ht="14.25" customHeight="1" x14ac:dyDescent="0.35">
      <c r="A57" s="18"/>
      <c r="B57" s="18"/>
      <c r="C57" s="18"/>
      <c r="D57" s="18"/>
      <c r="E57" s="18"/>
      <c r="F57" s="18"/>
      <c r="G57" s="18"/>
      <c r="H57" s="18"/>
    </row>
    <row r="58" spans="1:8" ht="19.5" customHeight="1" x14ac:dyDescent="0.35">
      <c r="A58" s="18"/>
      <c r="B58" s="12" t="s">
        <v>714</v>
      </c>
      <c r="C58" s="12"/>
      <c r="D58" s="12"/>
      <c r="E58" s="12"/>
      <c r="F58" s="12"/>
      <c r="G58" s="12"/>
      <c r="H58" s="18"/>
    </row>
    <row r="59" spans="1:8" ht="18" customHeight="1" x14ac:dyDescent="0.35">
      <c r="A59" s="18"/>
      <c r="B59" s="20" t="s">
        <v>715</v>
      </c>
      <c r="C59" s="26" t="s">
        <v>671</v>
      </c>
      <c r="D59" s="223">
        <f>D17</f>
        <v>295.5</v>
      </c>
      <c r="E59" s="18"/>
      <c r="F59" s="18"/>
      <c r="G59" s="18"/>
      <c r="H59" s="18"/>
    </row>
    <row r="60" spans="1:8" ht="18" customHeight="1" x14ac:dyDescent="0.35">
      <c r="A60" s="18"/>
      <c r="B60" s="22" t="s">
        <v>716</v>
      </c>
      <c r="C60" s="217" t="s">
        <v>671</v>
      </c>
      <c r="D60" s="222">
        <f>D21</f>
        <v>0</v>
      </c>
      <c r="E60" s="18"/>
      <c r="F60" s="18"/>
      <c r="G60" s="18"/>
      <c r="H60" s="18"/>
    </row>
    <row r="61" spans="1:8" ht="18" customHeight="1" x14ac:dyDescent="0.35">
      <c r="A61" s="18"/>
      <c r="B61" s="20" t="s">
        <v>679</v>
      </c>
      <c r="C61" s="26" t="s">
        <v>671</v>
      </c>
      <c r="D61" s="223">
        <f>D22</f>
        <v>248030.67</v>
      </c>
      <c r="E61" s="18"/>
      <c r="F61" s="18"/>
      <c r="G61" s="18"/>
      <c r="H61" s="18"/>
    </row>
    <row r="62" spans="1:8" ht="18" customHeight="1" x14ac:dyDescent="0.35">
      <c r="A62" s="18"/>
      <c r="B62" s="21" t="s">
        <v>717</v>
      </c>
      <c r="C62" s="217" t="s">
        <v>671</v>
      </c>
      <c r="D62" s="230">
        <f>SUM(D59:D61)</f>
        <v>248326.17</v>
      </c>
      <c r="E62" s="18"/>
      <c r="F62" s="18"/>
      <c r="G62" s="18"/>
      <c r="H62" s="18"/>
    </row>
    <row r="63" spans="1:8" ht="18" customHeight="1" x14ac:dyDescent="0.35">
      <c r="A63" s="18"/>
      <c r="B63" s="19" t="s">
        <v>718</v>
      </c>
      <c r="C63" s="26" t="s">
        <v>671</v>
      </c>
      <c r="D63" s="230">
        <f>D62/D10</f>
        <v>49665.234000000004</v>
      </c>
      <c r="E63" s="18"/>
      <c r="F63" s="18"/>
      <c r="G63" s="18"/>
      <c r="H63" s="18"/>
    </row>
    <row r="64" spans="1:8" ht="18" customHeight="1" x14ac:dyDescent="0.35">
      <c r="A64" s="18"/>
      <c r="B64" s="21" t="s">
        <v>719</v>
      </c>
      <c r="C64" s="217" t="s">
        <v>661</v>
      </c>
      <c r="D64" s="231">
        <f>D62/D13</f>
        <v>1.0044134932351811</v>
      </c>
      <c r="E64" s="18"/>
      <c r="F64" s="18"/>
      <c r="G64" s="18"/>
      <c r="H64" s="18"/>
    </row>
    <row r="65" spans="1:8" ht="14.25" customHeight="1" x14ac:dyDescent="0.35">
      <c r="A65" s="18"/>
      <c r="B65" s="18"/>
      <c r="C65" s="18"/>
      <c r="D65" s="18"/>
      <c r="E65" s="18"/>
      <c r="F65" s="18"/>
      <c r="G65" s="18"/>
      <c r="H65" s="18"/>
    </row>
    <row r="66" spans="1:8" ht="19.5" customHeight="1" x14ac:dyDescent="0.35">
      <c r="A66" s="18"/>
      <c r="B66" s="302" t="s">
        <v>720</v>
      </c>
      <c r="C66" s="302"/>
      <c r="D66" s="302"/>
      <c r="E66" s="302"/>
      <c r="F66" s="302"/>
      <c r="G66" s="302"/>
      <c r="H66" s="302"/>
    </row>
  </sheetData>
  <mergeCells count="17">
    <mergeCell ref="B58:G58"/>
    <mergeCell ref="B66:H66"/>
    <mergeCell ref="B36:D36"/>
    <mergeCell ref="B37:D37"/>
    <mergeCell ref="B38:D38"/>
    <mergeCell ref="B40:G40"/>
    <mergeCell ref="B49:G49"/>
    <mergeCell ref="B24:G24"/>
    <mergeCell ref="B32:G32"/>
    <mergeCell ref="B33:D33"/>
    <mergeCell ref="B34:D34"/>
    <mergeCell ref="B35:D35"/>
    <mergeCell ref="A1:H1"/>
    <mergeCell ref="A2:H2"/>
    <mergeCell ref="B4:G4"/>
    <mergeCell ref="B8:G8"/>
    <mergeCell ref="B15:G15"/>
  </mergeCells>
  <pageMargins left="0.75" right="0.75" top="1" bottom="1" header="0.5" footer="0.5"/>
  <pageSetup paperSize="9" orientation="portrait" horizontalDpi="300" verticalDpi="300"/>
  <headerFooter>
    <oddHeader>&amp;C&amp;"Georgia,Regular"Goldberg Family Office</oddHeader>
    <oddFooter>&amp;C&amp;"Georgia,Regular"Prepared by jake goldberg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Last Updated</vt:lpstr>
      <vt:lpstr>Input Data</vt:lpstr>
      <vt:lpstr>Dashboard</vt:lpstr>
      <vt:lpstr>Valuations</vt:lpstr>
      <vt:lpstr>Market Rents 26-27</vt:lpstr>
      <vt:lpstr>Expiry Profile</vt:lpstr>
      <vt:lpstr>Leases</vt:lpstr>
      <vt:lpstr>Make Good Obligations</vt:lpstr>
      <vt:lpstr>Stack Plan</vt:lpstr>
      <vt:lpstr>Leasing Activity</vt:lpstr>
      <vt:lpstr>Fitout Costs</vt:lpstr>
      <vt:lpstr>Leasing Fees</vt:lpstr>
      <vt:lpstr>Rental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Jake Goldberg</cp:lastModifiedBy>
  <cp:revision>0</cp:revision>
  <dcterms:created xsi:type="dcterms:W3CDTF">2026-05-05T04:42:50Z</dcterms:created>
  <dcterms:modified xsi:type="dcterms:W3CDTF">2026-10-15T23:38:05Z</dcterms:modified>
  <dc:language>en-US</dc:language>
</cp:coreProperties>
</file>