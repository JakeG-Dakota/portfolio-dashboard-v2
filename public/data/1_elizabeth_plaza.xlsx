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2BED2B97-027C-4088-BCC3-E6A674E33A23}" xr6:coauthVersionLast="47" xr6:coauthVersionMax="47" xr10:uidLastSave="{00000000-0000-0000-0000-000000000000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D61" i="13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E21" i="6"/>
  <c r="G21" i="6" s="1"/>
  <c r="D21" i="6"/>
  <c r="E20" i="6"/>
  <c r="H20" i="6" s="1"/>
  <c r="D20" i="6"/>
  <c r="E19" i="6"/>
  <c r="G19" i="6" s="1"/>
  <c r="D19" i="6"/>
  <c r="C19" i="6"/>
  <c r="E18" i="6"/>
  <c r="H18" i="6" s="1"/>
  <c r="D18" i="6"/>
  <c r="C18" i="6"/>
  <c r="E17" i="6"/>
  <c r="H17" i="6" s="1"/>
  <c r="D17" i="6"/>
  <c r="C17" i="6"/>
  <c r="E16" i="6"/>
  <c r="H16" i="6" s="1"/>
  <c r="D16" i="6"/>
  <c r="C16" i="6"/>
  <c r="E15" i="6"/>
  <c r="G15" i="6" s="1"/>
  <c r="D15" i="6"/>
  <c r="C15" i="6"/>
  <c r="E14" i="6"/>
  <c r="G14" i="6" s="1"/>
  <c r="D14" i="6"/>
  <c r="C14" i="6"/>
  <c r="E13" i="6"/>
  <c r="G13" i="6" s="1"/>
  <c r="D13" i="6"/>
  <c r="C13" i="6"/>
  <c r="E12" i="6"/>
  <c r="H12" i="6" s="1"/>
  <c r="D12" i="6"/>
  <c r="C12" i="6"/>
  <c r="H11" i="6"/>
  <c r="G11" i="6"/>
  <c r="E11" i="6"/>
  <c r="D11" i="6"/>
  <c r="C11" i="6"/>
  <c r="E10" i="6"/>
  <c r="H10" i="6" s="1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5" i="6"/>
  <c r="G5" i="6" s="1"/>
  <c r="D5" i="6"/>
  <c r="C5" i="6"/>
  <c r="E4" i="6"/>
  <c r="G4" i="6" s="1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G17" i="6" l="1"/>
  <c r="H5" i="6"/>
  <c r="G10" i="6"/>
  <c r="G16" i="6"/>
  <c r="E26" i="6"/>
  <c r="F26" i="6"/>
  <c r="G12" i="6"/>
  <c r="H14" i="6"/>
  <c r="G18" i="6"/>
  <c r="H21" i="6"/>
  <c r="H15" i="6"/>
  <c r="L10" i="9"/>
  <c r="L11" i="9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<sst xmlns="http://schemas.openxmlformats.org/spreadsheetml/2006/main" count="1051" uniqueCount="654">
  <si>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</si>
  <si>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</si>
  <si>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</si>
  <si>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</si>
  <si>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</si>
  <si>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</si>
  <si>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</si>
  <si>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</si>
  <si>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</si>
  <si>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</si>
  <si>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</si>
  <si>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</si>
  <si>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</si>
  <si>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</si>
  <si>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</si>
  <si>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</si>
  <si>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</si>
  <si>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</si>
  <si>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</si>
  <si>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</si>
  <si>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</si>
  <si>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</si>
  <si>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</si>
  <si>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</si>
  <si>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</si>
  <si>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</si>
  <si>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</si>
  <si>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</si>
  <si>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</si>
  <si>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</si>
  <si>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</si>
  <si>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</si>
  <si>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</si>
  <si>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</si>
  <si>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</si>
  <si>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</si>
  <si>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</si>
  <si>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</si>
  <si>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</si>
  <si>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</si>
  <si>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</si>
  <si>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</si>
  <si>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</si>
  <si>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</si>
  <si>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</si>
  <si>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</si>
  <si>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</si>
  <si>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</si>
  <si>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</si>
  <si>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</si>
  <si>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</si>
  <si>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</si>
  <si>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</si>
  <si>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</si>
  <si>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</si>
  <si>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</si>
  <si>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</si>
  <si>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</si>
  <si>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</si>
  <si>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</si>
  <si>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</si>
  <si>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</si>
  <si>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</si>
  <si>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</si>
  <si>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</si>
  <si>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</si>
  <si>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</si>
  <si>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</si>
  <si>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</si>
  <si>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</si>
  <si>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</si>
  <si>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</si>
  <si>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</si>
  <si>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</si>
  <si>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</si>
  <si>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</si>
  <si>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</si>
  <si>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</si>
  <si>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</si>
  <si>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</si>
  <si>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</si>
  <si>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</si>
  <si>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</si>
  <si>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</si>
  <si>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</si>
  <si>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</si>
  <si>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</si>
  <si>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</si>
  <si>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</si>
  <si>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</si>
  <si>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</si>
  <si>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</si>
  <si>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</si>
  <si>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</si>
  <si>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</si>
  <si>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</si>
  <si>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</si>
  <si>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</si>
  <si>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</si>
  <si>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</si>
  <si>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</si>
  <si>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</si>
  <si>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</si>
  <si>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</si>
  <si>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</si>
  <si>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</si>
  <si>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</si>
  <si>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</si>
  <si>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</si>
  <si>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</si>
  <si>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</si>
  <si>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</si>
  <si>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</si>
  <si>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</si>
  <si>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</si>
  <si>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</si>
  <si>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</si>
  <si>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</si>
  <si>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</si>
  <si>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</si>
  <si>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</si>
  <si>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</si>
  <si>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</si>
  <si>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</si>
  <si>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</si>
  <si>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</si>
  <si>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</si>
  <si>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</si>
  <si>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</si>
  <si>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</si>
  <si>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</si>
  <si>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</si>
  <si>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</si>
  <si>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</si>
  <si>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</si>
  <si>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</si>
  <si>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</si>
  <si>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</si>
  <si>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</si>
  <si>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</si>
  <si>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</si>
  <si>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</si>
  <si>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</si>
  <si>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</si>
  <si>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</si>
  <si>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</si>
  <si>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</si>
  <si>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</si>
  <si>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</si>
  <si>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</si>
  <si>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</si>
  <si>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</si>
  <si>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</si>
  <si>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</si>
  <si>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</si>
  <si>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</si>
  <si>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</si>
  <si>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</si>
  <si>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</si>
  <si>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</si>
  <si>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</si>
  <si>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</si>
  <si>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</si>
  <si>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</si>
  <si>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</si>
  <si>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</si>
  <si>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</si>
  <si>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</si>
  <si>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</si>
  <si>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</si>
  <si>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</si>
  <si>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</si>
  <si>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</si>
  <si>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</si>
  <si>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</si>
  <si>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</si>
  <si>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</si>
  <si>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</si>
  <si>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</si>
  <si>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</si>
  <si>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</si>
  <si>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</si>
  <si>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</si>
  <si>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</si>
  <si>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</si>
  <si>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</si>
  <si>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</si>
  <si>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</si>
  <si>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</si>
  <si>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</si>
  <si>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</si>
  <si>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</si>
  <si>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</si>
  <si>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</si>
  <si>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</si>
  <si>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</si>
  <si>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</si>
  <si>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</si>
  <si>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</si>
  <si>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</si>
  <si>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</si>
  <si>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</si>
  <si>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</si>
  <si>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</si>
  <si>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</si>
  <si>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</si>
  <si>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</si>
  <si>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</si>
  <si>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</si>
  <si>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</si>
  <si>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</si>
  <si>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</si>
  <si>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</si>
  <si>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</si>
  <si>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</si>
  <si>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</si>
  <si>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</si>
  <si>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</si>
  <si>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</si>
  <si>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</si>
  <si>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</si>
  <si>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</si>
  <si>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</si>
  <si>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</si>
  <si>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</si>
  <si>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</si>
  <si>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</si>
  <si>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</si>
  <si>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</si>
  <si>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</si>
  <si>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</si>
  <si>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</si>
  <si>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</si>
  <si>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</si>
  <si>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</si>
  <si>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</si>
  <si>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</si>
  <si>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</si>
  <si>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</si>
  <si>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</si>
  <si>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</si>
  <si>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</si>
  <si>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</si>
  <si>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</si>
  <si>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</si>
  <si>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</si>
  <si>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</si>
  <si>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</si>
  <si>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</si>
  <si>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</si>
  <si>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</si>
  <si>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</si>
  <si>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</si>
  <si>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</si>
  <si>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</si>
  <si>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</si>
  <si>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</si>
  <si>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</si>
  <si>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</si>
  <si>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</si>
  <si>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</si>
  <si>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</si>
  <si>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</si>
  <si>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</si>
  <si>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</si>
  <si>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</si>
  <si>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</si>
  <si>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</si>
  <si>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</si>
  <si>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</si>
  <si>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</si>
  <si>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</si>
  <si>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</si>
  <si>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</si>
  <si>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</si>
  <si>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</si>
  <si>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</si>
  <si>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</si>
  <si>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</si>
  <si>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</si>
  <si>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</si>
  <si>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</si>
  <si>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</si>
  <si>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</si>
  <si>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</si>
  <si>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</si>
  <si>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</si>
  <si>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</si>
  <si>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</si>
  <si>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</si>
  <si>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</si>
  <si>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</si>
  <si>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</si>
  <si>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</si>
  <si>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</si>
  <si>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</si>
  <si>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</si>
  <si>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</si>
  <si>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</si>
  <si>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</si>
  <si>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</si>
  <si>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</si>
  <si>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</si>
  <si>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</si>
  <si>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</si>
  <si>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</si>
  <si>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</si>
  <si>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</si>
  <si>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</si>
  <si>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</si>
  <si>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</si>
  <si>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</si>
  <si>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</si>
  <si>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</si>
  <si>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</si>
  <si>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</si>
  <si>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</si>
  <si>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</si>
  <si>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</si>
  <si>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</si>
  <si>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</si>
  <si>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</si>
  <si>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</si>
  <si>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</si>
  <si>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</si>
  <si>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</si>
  <si>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</si>
  <si>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</si>
  <si>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</si>
  <si>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</si>
  <si>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</si>
  <si>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</si>
  <si>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</si>
  <si>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</si>
  <si>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</si>
  <si>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</si>
  <si>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</si>
  <si>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</si>
  <si>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</si>
  <si>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</si>
  <si>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</si>
  <si>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</si>
  <si>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</si>
  <si>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</si>
  <si>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</si>
  <si>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</si>
  <si>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</si>
  <si>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</si>
  <si>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</si>
  <si>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</si>
  <si>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</si>
  <si>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</si>
  <si>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</si>
  <si>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</si>
  <si>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</si>
  <si>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</si>
  <si>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</si>
  <si>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</si>
  <si>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</si>
  <si>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</si>
  <si>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</si>
  <si>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</si>
  <si>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</si>
  <si>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</si>
  <si>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</si>
  <si>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</si>
  <si>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</si>
  <si>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</si>
  <si>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</si>
  <si>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</si>
  <si>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</si>
  <si>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</si>
  <si>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</si>
  <si>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</si>
  <si>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</si>
  <si>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</si>
  <si>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</si>
  <si>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</si>
  <si>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</si>
  <si>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</si>
  <si>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</si>
  <si>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</si>
  <si>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</si>
  <si>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</si>
  <si>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</si>
  <si>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</si>
  <si>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</si>
  <si>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</si>
  <si>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</si>
  <si>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</si>
  <si>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</si>
  <si>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</si>
  <si>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</si>
  <si>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</si>
  <si>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</si>
  <si>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</si>
  <si>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</si>
  <si>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</si>
  <si>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</si>
  <si>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</si>
  <si>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</si>
  <si>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</si>
  <si>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</si>
  <si>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</si>
  <si>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</si>
  <si>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</si>
  <si>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</si>
  <si>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</si>
  <si>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</si>
  <si>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</si>
  <si>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</si>
  <si>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</si>
  <si>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</si>
  <si>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</si>
  <si>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</si>
  <si>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</si>
  <si>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</si>
  <si>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</si>
  <si>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</si>
  <si>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</si>
  <si>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</si>
  <si>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</si>
  <si>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</si>
  <si>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</si>
  <si>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</si>
  <si>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</si>
  <si>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</si>
  <si>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</si>
  <si>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</si>
  <si>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</si>
  <si>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</si>
  <si>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</si>
  <si>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</si>
  <si>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</si>
  <si>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</si>
  <si>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</si>
  <si>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</si>
  <si>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</si>
  <si>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</si>
  <si>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</si>
  <si>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</si>
  <si>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</si>
  <si>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</si>
  <si>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</si>
  <si>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</si>
  <si>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</si>
  <si>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</si>
  <si>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</si>
  <si>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</si>
  <si>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</si>
  <si>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</si>
  <si>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</si>
  <si>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</si>
  <si>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</si>
  <si>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</si>
  <si>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</si>
  <si>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</si>
  <si>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</si>
  <si>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</si>
  <si>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</si>
  <si>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</si>
  <si>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</si>
  <si>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</si>
  <si>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</si>
  <si>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</si>
  <si>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</si>
  <si>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</si>
  <si>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</si>
  <si>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</si>
  <si>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</si>
  <si>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</si>
  <si>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</si>
  <si>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</si>
  <si>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</si>
  <si>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</si>
  <si>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</si>
  <si>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</si>
  <si>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</si>
  <si>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</si>
  <si>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</si>
  <si>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</si>
  <si>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</si>
  <si>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</si>
  <si>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</si>
  <si>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</si>
  <si>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</si>
  <si>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</si>
  <si>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</si>
  <si>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</si>
  <si>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</si>
  <si>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</si>
  <si>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</si>
  <si>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</si>
  <si>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</si>
  <si>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</si>
  <si>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</si>
  <si>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</si>
  <si>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</si>
  <si>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</si>
  <si>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</si>
  <si>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</si>
  <si>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</si>
  <si>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</si>
  <si>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</si>
  <si>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</si>
  <si>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</si>
  <si>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</si>
  <si>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</si>
  <si>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</si>
  <si>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</si>
  <si>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</si>
  <si>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</si>
  <si>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</si>
  <si>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</si>
  <si>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</si>
  <si>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</si>
  <si>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</si>
  <si>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</si>
  <si>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</si>
  <si>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</si>
  <si>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</si>
  <si>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</si>
  <si>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</si>
  <si>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</si>
  <si>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</si>
  <si>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</si>
  <si>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</si>
  <si>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</si>
  <si>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</si>
  <si>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</si>
  <si>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</si>
  <si>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</si>
  <si>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</si>
  <si>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</si>
  <si>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</si>
  <si>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</si>
  <si>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</si>
  <si>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</si>
  <si>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</si>
  <si>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</si>
  <si>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</si>
  <si>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</si>
  <si>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</si>
  <si>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</si>
  <si>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</si>
  <si>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</si>
  <si>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</si>
  <si>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</si>
  <si>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</si>
  <si>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</si>
  <si>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</si>
  <si>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</si>
  <si>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</si>
  <si>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</si>
  <si>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</si>
  <si>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</si>
  <si>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</si>
  <si>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</si>
  <si>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</si>
  <si>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</si>
  <si>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</si>
  <si>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</si>
  <si>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</si>
  <si>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</si>
  <si>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</si>
  <si>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</si>
  <si>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</si>
  <si>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</si>
  <si>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</si>
  <si>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</si>
  <si>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</si>
  <si>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</si>
  <si>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</si>
  <si>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</si>
  <si>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</si>
  <si>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</si>
  <si>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</si>
  <si>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</si>
  <si>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</si>
  <si>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</si>
  <si>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</si>
  <si>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</si>
  <si>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</si>
  <si>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</si>
  <si>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</si>
  <si>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</si>
  <si>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</si>
  <si>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</si>
  <si>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</si>
  <si>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</si>
  <si>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</si>
  <si>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</si>
  <si>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</si>
  <si>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</si>
  <si>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</si>
  <si>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</si>
  <si>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</si>
  <si>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</si>
  <si>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</si>
  <si>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</si>
  <si>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</si>
  <si>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</si>
  <si>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</si>
  <si>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</si>
  <si>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</si>
  <si>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</si>
  <si>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</si>
  <si>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</si>
  <si>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</si>
  <si>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</si>
  <si>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</si>
  <si>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</si>
  <si>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</si>
  <si>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</si>
  <si>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</si>
  <si>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</si>
  <si>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</si>
  <si>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</si>
  <si>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</si>
  <si>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</si>
  <si>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</si>
  <si>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</si>
  <si>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</si>
  <si>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</si>
  <si>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</si>
  <si>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</si>
  <si>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</si>
  <si>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</si>
  <si>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</si>
  <si>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</si>
  <si>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</si>
  <si>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</si>
  <si>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</si>
  <si>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</si>
  <si>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</si>
  <si>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</si>
  <si>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</si>
  <si>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</si>
  <si>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</si>
  <si>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</si>
  <si>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</si>
  <si>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</si>
  <si>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</si>
  <si>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</si>
  <si>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</si>
  <si>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</si>
  <si>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</si>
  <si>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</si>
  <si>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</si>
  <si>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</si>
  <si>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</si>
  <si>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</si>
  <si>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</si>
  <si>
    <t>9/30/2035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</si>
</sst>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2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70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25" fillId="4" borderId="2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1" fillId="4" borderId="2" xfId="0" applyNumberFormat="1" applyFont="1" applyFill="1" applyBorder="1" applyAlignment="1">
      <alignment horizontal="center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0" fontId="8" fillId="4" borderId="0" xfId="0" applyFont="1" applyFill="1"/>
    <xf numFmtId="0" fontId="12" fillId="5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9" fillId="13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7" borderId="0" xfId="0" applyFont="1" applyFill="1"/>
    <xf numFmtId="0" fontId="8" fillId="5" borderId="0" xfId="0" applyFont="1" applyFill="1"/>
    <xf numFmtId="0" fontId="18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11" fillId="5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8" fillId="2" borderId="0" xfId="0" applyFont="1" applyFill="1"/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5" t="s">
        <v>1</v>
      </c>
      <c r="C9" s="245"/>
      <c r="D9" s="245"/>
      <c r="E9" s="245"/>
      <c r="F9" s="245"/>
      <c r="G9" s="245"/>
      <c r="H9" s="245"/>
      <c r="I9" s="3"/>
    </row>
    <row r="10" spans="1:9" x14ac:dyDescent="0.35">
      <c r="A10" s="3"/>
      <c r="B10" s="245"/>
      <c r="C10" s="245"/>
      <c r="D10" s="245"/>
      <c r="E10" s="245"/>
      <c r="F10" s="245"/>
      <c r="G10" s="245"/>
      <c r="H10" s="245"/>
      <c r="I10" s="3"/>
    </row>
    <row r="11" spans="1:9" x14ac:dyDescent="0.35">
      <c r="A11" s="3"/>
      <c r="B11" s="245"/>
      <c r="C11" s="245"/>
      <c r="D11" s="245"/>
      <c r="E11" s="245"/>
      <c r="F11" s="245"/>
      <c r="G11" s="245"/>
      <c r="H11" s="245"/>
      <c r="I11" s="3"/>
    </row>
    <row r="12" spans="1:9" x14ac:dyDescent="0.35">
      <c r="A12" s="3"/>
      <c r="B12" s="245"/>
      <c r="C12" s="245"/>
      <c r="D12" s="245"/>
      <c r="E12" s="245"/>
      <c r="F12" s="245"/>
      <c r="G12" s="245"/>
      <c r="H12" s="245"/>
      <c r="I12" s="3"/>
    </row>
    <row r="13" spans="1:9" x14ac:dyDescent="0.35">
      <c r="A13" s="3"/>
      <c r="B13" s="245"/>
      <c r="C13" s="245"/>
      <c r="D13" s="245"/>
      <c r="E13" s="245"/>
      <c r="F13" s="245"/>
      <c r="G13" s="245"/>
      <c r="H13" s="245"/>
      <c r="I13" s="3"/>
    </row>
    <row r="14" spans="1:9" x14ac:dyDescent="0.35">
      <c r="A14" s="3"/>
      <c r="B14" s="245"/>
      <c r="C14" s="245"/>
      <c r="D14" s="245"/>
      <c r="E14" s="245"/>
      <c r="F14" s="245"/>
      <c r="G14" s="245"/>
      <c r="H14" s="245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6" t="s">
        <v>2</v>
      </c>
      <c r="C16" s="246"/>
      <c r="D16" s="246"/>
      <c r="E16" s="246"/>
      <c r="F16" s="246"/>
      <c r="G16" s="246"/>
      <c r="H16" s="24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7" t="s">
        <v>3</v>
      </c>
      <c r="C18" s="247"/>
      <c r="D18" s="247"/>
      <c r="E18" s="247"/>
      <c r="F18" s="247"/>
      <c r="G18" s="247"/>
      <c r="H18" s="247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7" t="s">
        <v>5</v>
      </c>
      <c r="D27" s="247"/>
      <c r="E27" s="247"/>
      <c r="F27" s="247"/>
      <c r="G27" s="247"/>
      <c r="H27" s="247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54" t="s">
        <v>6</v>
      </c>
      <c r="B1" s="254"/>
      <c r="C1" s="254"/>
      <c r="D1" s="254"/>
      <c r="E1" s="254"/>
      <c r="F1" s="254"/>
      <c r="G1" s="254"/>
      <c r="H1" s="254"/>
    </row>
    <row r="2" spans="1:8" ht="15.75" customHeight="1" x14ac:dyDescent="0.35">
      <c r="A2" s="255" t="s">
        <v>7</v>
      </c>
      <c r="B2" s="255"/>
      <c r="C2" s="255"/>
      <c r="D2" s="255"/>
      <c r="E2" s="255"/>
      <c r="F2" s="255"/>
      <c r="G2" s="255"/>
      <c r="H2" s="25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1" t="s">
        <v>8</v>
      </c>
      <c r="C4" s="191"/>
      <c r="D4" s="191"/>
      <c r="E4" s="191"/>
      <c r="F4" s="191"/>
      <c r="G4" s="191"/>
      <c r="H4" s="6"/>
    </row>
    <row r="5" spans="1:8" ht="18" customHeight="1" x14ac:dyDescent="0.35">
      <c r="A5" s="6"/>
      <c r="B5" s="220" t="s">
        <v>9</v>
      </c>
      <c r="C5" s="220"/>
      <c r="D5" s="252" t="s">
        <v>10</v>
      </c>
      <c r="E5" s="252"/>
      <c r="F5" s="252"/>
      <c r="G5" s="252"/>
      <c r="H5" s="6"/>
    </row>
    <row r="6" spans="1:8" ht="18" customHeight="1" x14ac:dyDescent="0.35">
      <c r="A6" s="6"/>
      <c r="B6" s="249" t="s">
        <v>11</v>
      </c>
      <c r="C6" s="249"/>
      <c r="D6" s="253">
        <v>46142</v>
      </c>
      <c r="E6" s="253"/>
      <c r="F6" s="253"/>
      <c r="G6" s="253"/>
      <c r="H6" s="6"/>
    </row>
    <row r="7" spans="1:8" ht="18" customHeight="1" x14ac:dyDescent="0.35">
      <c r="A7" s="6"/>
      <c r="B7" s="220" t="s">
        <v>12</v>
      </c>
      <c r="C7" s="220"/>
      <c r="D7" s="252" t="s">
        <v>13</v>
      </c>
      <c r="E7" s="252"/>
      <c r="F7" s="252"/>
      <c r="G7" s="252"/>
      <c r="H7" s="6"/>
    </row>
    <row r="8" spans="1:8" ht="18" customHeight="1" x14ac:dyDescent="0.35">
      <c r="A8" s="6"/>
      <c r="B8" s="249" t="s">
        <v>14</v>
      </c>
      <c r="C8" s="249"/>
      <c r="D8" s="251">
        <f>'Input Data'!B53</f>
        <v>0</v>
      </c>
      <c r="E8" s="251"/>
      <c r="F8" s="251"/>
      <c r="G8" s="251"/>
      <c r="H8" s="6"/>
    </row>
    <row r="9" spans="1:8" ht="18" customHeight="1" x14ac:dyDescent="0.35">
      <c r="A9" s="6"/>
      <c r="B9" s="220" t="s">
        <v>15</v>
      </c>
      <c r="C9" s="220"/>
      <c r="D9" s="252">
        <f>'Input Data'!B54</f>
        <v>0</v>
      </c>
      <c r="E9" s="252"/>
      <c r="F9" s="252"/>
      <c r="G9" s="252"/>
      <c r="H9" s="6"/>
    </row>
    <row r="10" spans="1:8" ht="18" customHeight="1" x14ac:dyDescent="0.35">
      <c r="A10" s="6"/>
      <c r="B10" s="249" t="s">
        <v>16</v>
      </c>
      <c r="C10" s="249"/>
      <c r="D10" s="251">
        <f>'Input Data'!V53</f>
        <v>0</v>
      </c>
      <c r="E10" s="251"/>
      <c r="F10" s="251"/>
      <c r="G10" s="251"/>
      <c r="H10" s="6"/>
    </row>
    <row r="11" spans="1:8" ht="18" customHeight="1" x14ac:dyDescent="0.35">
      <c r="A11" s="6"/>
      <c r="B11" s="220" t="s">
        <v>17</v>
      </c>
      <c r="C11" s="220"/>
      <c r="D11" s="252">
        <f>'Input Data'!K53</f>
        <v>0</v>
      </c>
      <c r="E11" s="252"/>
      <c r="F11" s="252"/>
      <c r="G11" s="252"/>
      <c r="H11" s="6"/>
    </row>
    <row r="12" spans="1:8" ht="18" customHeight="1" x14ac:dyDescent="0.35">
      <c r="A12" s="6"/>
      <c r="B12" s="249" t="s">
        <v>18</v>
      </c>
      <c r="C12" s="249"/>
      <c r="D12" s="251" t="s">
        <v>19</v>
      </c>
      <c r="E12" s="251"/>
      <c r="F12" s="251"/>
      <c r="G12" s="251"/>
      <c r="H12" s="6"/>
    </row>
    <row r="13" spans="1:8" ht="18" customHeight="1" x14ac:dyDescent="0.35">
      <c r="A13" s="6"/>
      <c r="B13" s="220" t="s">
        <v>20</v>
      </c>
      <c r="C13" s="220"/>
      <c r="D13" s="252" t="s">
        <v>21</v>
      </c>
      <c r="E13" s="252"/>
      <c r="F13" s="252"/>
      <c r="G13" s="252"/>
      <c r="H13" s="6"/>
    </row>
    <row r="14" spans="1:8" ht="18" customHeight="1" x14ac:dyDescent="0.35">
      <c r="A14" s="6"/>
      <c r="B14" s="249" t="s">
        <v>22</v>
      </c>
      <c r="C14" s="249"/>
      <c r="D14" s="248"/>
      <c r="E14" s="248"/>
      <c r="F14" s="248"/>
      <c r="G14" s="248"/>
      <c r="H14" s="6"/>
    </row>
    <row r="15" spans="1:8" ht="18" customHeight="1" x14ac:dyDescent="0.35">
      <c r="A15" s="6"/>
      <c r="B15" s="220" t="s">
        <v>23</v>
      </c>
      <c r="C15" s="220"/>
      <c r="D15" s="248"/>
      <c r="E15" s="248"/>
      <c r="F15" s="248"/>
      <c r="G15" s="248"/>
      <c r="H15" s="6"/>
    </row>
    <row r="16" spans="1:8" ht="18" customHeight="1" x14ac:dyDescent="0.35">
      <c r="A16" s="6"/>
      <c r="B16" s="249" t="s">
        <v>24</v>
      </c>
      <c r="C16" s="249"/>
      <c r="D16" s="250"/>
      <c r="E16" s="250"/>
      <c r="F16" s="250"/>
      <c r="G16" s="250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191" t="s">
        <v>25</v>
      </c>
      <c r="C18" s="191"/>
      <c r="D18" s="191"/>
      <c r="E18" s="191"/>
      <c r="F18" s="191"/>
      <c r="G18" s="191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191" t="s">
        <v>36</v>
      </c>
      <c r="C39" s="191"/>
      <c r="D39" s="191"/>
      <c r="E39" s="191"/>
      <c r="F39" s="191"/>
      <c r="G39" s="191"/>
      <c r="H39" s="6"/>
    </row>
    <row r="40" spans="1:8" ht="18" customHeight="1" x14ac:dyDescent="0.35">
      <c r="A40" s="6"/>
      <c r="B40" s="16" t="s">
        <v>37</v>
      </c>
      <c r="C40" s="209" t="s">
        <v>38</v>
      </c>
      <c r="D40" s="209"/>
      <c r="E40" s="209"/>
      <c r="F40" s="209"/>
      <c r="G40" s="209"/>
      <c r="H40" s="6"/>
    </row>
    <row r="41" spans="1:8" ht="18" customHeight="1" x14ac:dyDescent="0.35">
      <c r="A41" s="6"/>
      <c r="B41" s="18" t="s">
        <v>39</v>
      </c>
      <c r="C41" s="208" t="s">
        <v>40</v>
      </c>
      <c r="D41" s="208"/>
      <c r="E41" s="208"/>
      <c r="F41" s="208"/>
      <c r="G41" s="208"/>
      <c r="H41" s="6"/>
    </row>
    <row r="42" spans="1:8" ht="18" customHeight="1" x14ac:dyDescent="0.35">
      <c r="A42" s="6"/>
      <c r="B42" s="16" t="s">
        <v>41</v>
      </c>
      <c r="C42" s="209" t="s">
        <v>42</v>
      </c>
      <c r="D42" s="209"/>
      <c r="E42" s="209"/>
      <c r="F42" s="209"/>
      <c r="G42" s="209"/>
      <c r="H42" s="6"/>
    </row>
    <row r="43" spans="1:8" ht="18" customHeight="1" x14ac:dyDescent="0.35">
      <c r="A43" s="6"/>
      <c r="B43" s="18" t="s">
        <v>43</v>
      </c>
      <c r="C43" s="208" t="s">
        <v>44</v>
      </c>
      <c r="D43" s="208"/>
      <c r="E43" s="208"/>
      <c r="F43" s="208"/>
      <c r="G43" s="208"/>
      <c r="H43" s="6"/>
    </row>
    <row r="44" spans="1:8" ht="18" customHeight="1" x14ac:dyDescent="0.35">
      <c r="A44" s="6"/>
      <c r="B44" s="16" t="s">
        <v>45</v>
      </c>
      <c r="C44" s="209" t="s">
        <v>46</v>
      </c>
      <c r="D44" s="209"/>
      <c r="E44" s="209"/>
      <c r="F44" s="209"/>
      <c r="G44" s="209"/>
      <c r="H44" s="6"/>
    </row>
    <row r="45" spans="1:8" ht="18" customHeight="1" x14ac:dyDescent="0.35">
      <c r="A45" s="6"/>
      <c r="B45" s="18" t="s">
        <v>47</v>
      </c>
      <c r="C45" s="208" t="s">
        <v>48</v>
      </c>
      <c r="D45" s="208"/>
      <c r="E45" s="208"/>
      <c r="F45" s="208"/>
      <c r="G45" s="208"/>
      <c r="H45" s="6"/>
    </row>
    <row r="46" spans="1:8" ht="18" customHeight="1" x14ac:dyDescent="0.35">
      <c r="A46" s="6"/>
      <c r="B46" s="16" t="s">
        <v>49</v>
      </c>
      <c r="C46" s="209" t="s">
        <v>50</v>
      </c>
      <c r="D46" s="209"/>
      <c r="E46" s="209"/>
      <c r="F46" s="209"/>
      <c r="G46" s="209"/>
      <c r="H46" s="6"/>
    </row>
    <row r="47" spans="1:8" ht="18" customHeight="1" x14ac:dyDescent="0.35">
      <c r="A47" s="6"/>
      <c r="B47" s="18" t="s">
        <v>51</v>
      </c>
      <c r="C47" s="208" t="s">
        <v>52</v>
      </c>
      <c r="D47" s="208"/>
      <c r="E47" s="208"/>
      <c r="F47" s="208"/>
      <c r="G47" s="208"/>
      <c r="H47" s="6"/>
    </row>
    <row r="48" spans="1:8" ht="18" customHeight="1" x14ac:dyDescent="0.35">
      <c r="A48" s="6"/>
      <c r="B48" s="16" t="s">
        <v>53</v>
      </c>
      <c r="C48" s="209" t="s">
        <v>54</v>
      </c>
      <c r="D48" s="209"/>
      <c r="E48" s="209"/>
      <c r="F48" s="209"/>
      <c r="G48" s="209"/>
      <c r="H48" s="6"/>
    </row>
    <row r="49" spans="1:8" ht="18" customHeight="1" x14ac:dyDescent="0.35">
      <c r="A49" s="6"/>
      <c r="B49" s="18" t="s">
        <v>55</v>
      </c>
      <c r="C49" s="208" t="s">
        <v>56</v>
      </c>
      <c r="D49" s="208"/>
      <c r="E49" s="208"/>
      <c r="F49" s="208"/>
      <c r="G49" s="208"/>
      <c r="H49" s="6"/>
    </row>
  </sheetData>
  <mergeCells count="39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8:G18"/>
    <mergeCell ref="B39:G39"/>
    <mergeCell ref="C40:G40"/>
    <mergeCell ref="C41:G41"/>
    <mergeCell ref="C42:G42"/>
    <mergeCell ref="C43:G43"/>
    <mergeCell ref="C49:G49"/>
    <mergeCell ref="C44:G44"/>
    <mergeCell ref="C45:G45"/>
    <mergeCell ref="C46:G46"/>
    <mergeCell ref="C47:G47"/>
    <mergeCell ref="C48:G4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topLeftCell="D1" zoomScaleNormal="100" workbookViewId="0">
      <pane ySplit="2" topLeftCell="A3" activePane="bottomLeft" state="frozen"/>
      <selection pane="bottomLeft" activeCell="F21" sqref="F21:F23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254" t="s">
        <v>57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52">
        <v>46204</v>
      </c>
      <c r="H20" s="52">
        <v>48395</v>
      </c>
      <c r="I20" s="49">
        <v>6</v>
      </c>
      <c r="J20" s="49">
        <v>920</v>
      </c>
      <c r="K20" s="53">
        <f t="shared" si="0"/>
        <v>171488</v>
      </c>
      <c r="L20" s="49">
        <v>-512255</v>
      </c>
      <c r="M20" s="54"/>
      <c r="N20" s="54"/>
      <c r="O20" s="54"/>
      <c r="P20" s="54"/>
      <c r="Q20" s="53">
        <f t="shared" si="1"/>
        <v>-340767</v>
      </c>
      <c r="R20" s="54"/>
      <c r="S20" s="54"/>
      <c r="T20" s="54"/>
      <c r="U20" s="54"/>
      <c r="V20" s="55">
        <f t="shared" ca="1" si="2"/>
        <v>6.0013689253935665</v>
      </c>
      <c r="W20" s="51">
        <f t="shared" ca="1" si="3"/>
        <v>1118.6551676933609</v>
      </c>
      <c r="X20" s="54"/>
      <c r="Y20" s="53">
        <f t="shared" si="4"/>
        <v>920</v>
      </c>
      <c r="Z20" s="56">
        <f t="shared" si="5"/>
        <v>0</v>
      </c>
      <c r="AA20" s="54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7"/>
      <c r="F21" s="51">
        <v>438</v>
      </c>
      <c r="G21" s="54"/>
      <c r="H21" s="54"/>
      <c r="I21" s="54"/>
      <c r="J21" s="54"/>
      <c r="K21" s="53">
        <f t="shared" si="0"/>
        <v>0</v>
      </c>
      <c r="L21" s="54"/>
      <c r="M21" s="54"/>
      <c r="N21" s="54"/>
      <c r="O21" s="54"/>
      <c r="P21" s="54"/>
      <c r="Q21" s="53">
        <f t="shared" si="1"/>
        <v>0</v>
      </c>
      <c r="R21" s="54"/>
      <c r="S21" s="54"/>
      <c r="T21" s="54"/>
      <c r="U21" s="54"/>
      <c r="V21" s="55">
        <f t="shared" ca="1" si="2"/>
        <v>0</v>
      </c>
      <c r="W21" s="51">
        <f t="shared" ca="1" si="3"/>
        <v>0</v>
      </c>
      <c r="X21" s="54"/>
      <c r="Y21" s="53">
        <f t="shared" si="4"/>
        <v>0</v>
      </c>
      <c r="Z21" s="56">
        <f t="shared" si="5"/>
        <v>0</v>
      </c>
      <c r="AA21" s="54"/>
      <c r="AB21" s="54"/>
      <c r="AC21" s="50" t="str">
        <f t="shared" ca="1" si="6"/>
        <v>VACANT</v>
      </c>
      <c r="AD21" s="58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7"/>
      <c r="F22" s="51">
        <v>349</v>
      </c>
      <c r="G22" s="54"/>
      <c r="H22" s="54"/>
      <c r="I22" s="54"/>
      <c r="J22" s="54"/>
      <c r="K22" s="53">
        <f t="shared" si="0"/>
        <v>0</v>
      </c>
      <c r="L22" s="54"/>
      <c r="M22" s="54"/>
      <c r="N22" s="54"/>
      <c r="O22" s="54"/>
      <c r="P22" s="54"/>
      <c r="Q22" s="53">
        <f t="shared" si="1"/>
        <v>0</v>
      </c>
      <c r="R22" s="54"/>
      <c r="S22" s="54"/>
      <c r="T22" s="54"/>
      <c r="U22" s="54"/>
      <c r="V22" s="55">
        <f t="shared" ca="1" si="2"/>
        <v>0</v>
      </c>
      <c r="W22" s="51">
        <f t="shared" ca="1" si="3"/>
        <v>0</v>
      </c>
      <c r="X22" s="54"/>
      <c r="Y22" s="53">
        <f t="shared" si="4"/>
        <v>0</v>
      </c>
      <c r="Z22" s="56">
        <f t="shared" si="5"/>
        <v>0</v>
      </c>
      <c r="AA22" s="54"/>
      <c r="AB22" s="54"/>
      <c r="AC22" s="50" t="str">
        <f t="shared" ca="1" si="6"/>
        <v>VACANT</v>
      </c>
      <c r="AD22" s="59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7"/>
      <c r="F23" s="51">
        <v>236</v>
      </c>
      <c r="G23" s="54"/>
      <c r="H23" s="54"/>
      <c r="I23" s="54"/>
      <c r="J23" s="54"/>
      <c r="K23" s="53">
        <f t="shared" si="0"/>
        <v>0</v>
      </c>
      <c r="L23" s="54"/>
      <c r="M23" s="54"/>
      <c r="N23" s="54"/>
      <c r="O23" s="54"/>
      <c r="P23" s="54"/>
      <c r="Q23" s="53">
        <f t="shared" si="1"/>
        <v>0</v>
      </c>
      <c r="R23" s="54"/>
      <c r="S23" s="54"/>
      <c r="T23" s="54"/>
      <c r="U23" s="54"/>
      <c r="V23" s="55">
        <f t="shared" ca="1" si="2"/>
        <v>0</v>
      </c>
      <c r="W23" s="51">
        <f t="shared" ca="1" si="3"/>
        <v>0</v>
      </c>
      <c r="X23" s="54"/>
      <c r="Y23" s="53">
        <f t="shared" si="4"/>
        <v>0</v>
      </c>
      <c r="Z23" s="56">
        <f t="shared" si="5"/>
        <v>0</v>
      </c>
      <c r="AA23" s="54"/>
      <c r="AB23" s="49" t="s">
        <v>218</v>
      </c>
      <c r="AC23" s="50" t="str">
        <f t="shared" ca="1" si="6"/>
        <v>VACANT</v>
      </c>
      <c r="AD23" s="58"/>
      <c r="AE23" s="30">
        <v>0</v>
      </c>
      <c r="AF23" s="31" t="s">
        <v>212</v>
      </c>
    </row>
    <row r="24" spans="1:32" ht="19.5" customHeight="1" x14ac:dyDescent="0.35">
      <c r="A24" s="13" t="s">
        <v>219</v>
      </c>
      <c r="B24" s="13" t="s">
        <v>216</v>
      </c>
      <c r="C24" s="13" t="s">
        <v>220</v>
      </c>
      <c r="D24" s="21" t="s">
        <v>221</v>
      </c>
      <c r="E24" s="21" t="s">
        <v>221</v>
      </c>
      <c r="F24" s="22">
        <v>536</v>
      </c>
      <c r="G24" s="23">
        <v>46296</v>
      </c>
      <c r="H24" s="23">
        <v>49582</v>
      </c>
      <c r="I24" s="24">
        <v>6</v>
      </c>
      <c r="J24" s="25">
        <v>1040</v>
      </c>
      <c r="K24" s="25">
        <f t="shared" si="0"/>
        <v>557440</v>
      </c>
      <c r="L24" s="25">
        <v>-671072</v>
      </c>
      <c r="M24" s="25"/>
      <c r="N24" s="25"/>
      <c r="O24" s="25"/>
      <c r="P24" s="25"/>
      <c r="Q24" s="25">
        <f t="shared" si="1"/>
        <v>-113632</v>
      </c>
      <c r="R24" s="13"/>
      <c r="S24" s="14" t="s">
        <v>122</v>
      </c>
      <c r="T24" s="23">
        <v>46661</v>
      </c>
      <c r="U24" s="14"/>
      <c r="V24" s="26">
        <f t="shared" ca="1" si="2"/>
        <v>9.2511978097193701</v>
      </c>
      <c r="W24" s="22">
        <f t="shared" ca="1" si="3"/>
        <v>4958.642026009582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222</v>
      </c>
      <c r="AC24" s="28" t="str">
        <f t="shared" ca="1" si="6"/>
        <v>ACTIVE</v>
      </c>
      <c r="AD24" s="40" t="s">
        <v>653</v>
      </c>
      <c r="AE24" s="30">
        <v>1040</v>
      </c>
      <c r="AF24" s="60" t="s">
        <v>223</v>
      </c>
    </row>
    <row r="25" spans="1:32" ht="24" customHeight="1" x14ac:dyDescent="0.35">
      <c r="A25" s="195" t="s">
        <v>224</v>
      </c>
      <c r="B25" s="195"/>
      <c r="C25" s="195"/>
      <c r="D25" s="195"/>
      <c r="E25" s="195"/>
      <c r="F25" s="63">
        <f>SUM(F3:F24)</f>
        <v>8922.4000000000015</v>
      </c>
      <c r="G25" s="62"/>
      <c r="H25" s="62"/>
      <c r="I25" s="62"/>
      <c r="J25" s="62"/>
      <c r="K25" s="64">
        <f>SUM(K3:K24)</f>
        <v>7199043.9990000008</v>
      </c>
      <c r="L25" s="64">
        <f>SUM(L3:L24)</f>
        <v>-2473509.17</v>
      </c>
      <c r="M25" s="62"/>
      <c r="N25" s="62"/>
      <c r="O25" s="62"/>
      <c r="P25" s="62"/>
      <c r="Q25" s="64">
        <f>SUM(Q3:Q24)</f>
        <v>5377867.9789999994</v>
      </c>
      <c r="R25" s="62"/>
      <c r="S25" s="62"/>
      <c r="T25" s="62"/>
      <c r="U25" s="62"/>
      <c r="V25" s="65">
        <f ca="1">IFERROR(SUMPRODUCT((H3:H24&lt;&gt;"")*F3:F24*MAX((H3:H24-TODAY())/365.25,0))/SUMPRODUCT((H3:H24&lt;&gt;"")*F3:F24),0)</f>
        <v>9.2511978097193683</v>
      </c>
      <c r="W25" s="63">
        <f ca="1">SUM(W3:W24)</f>
        <v>32518.432032854202</v>
      </c>
      <c r="X25" s="62"/>
      <c r="Y25" s="62"/>
      <c r="Z25" s="62"/>
      <c r="AA25" s="62"/>
      <c r="AB25" s="62"/>
      <c r="AC25" s="6"/>
      <c r="AD25" s="6"/>
      <c r="AE25" s="6"/>
      <c r="AF25" s="6"/>
    </row>
    <row r="26" spans="1:32" x14ac:dyDescent="0.35">
      <c r="A26" s="62" t="s">
        <v>225</v>
      </c>
      <c r="B26" s="6"/>
      <c r="C26" s="6"/>
      <c r="D26" s="66" t="s">
        <v>226</v>
      </c>
      <c r="E26" s="67">
        <f>SUMPRODUCT((H3:H24&lt;&gt;"")*F3:F24)</f>
        <v>7899.4000000000005</v>
      </c>
      <c r="F26" s="66" t="s">
        <v>227</v>
      </c>
      <c r="G26" s="67">
        <f>SUMPRODUCT((H3:H24="")*F3:F24)</f>
        <v>1023</v>
      </c>
      <c r="H26" s="66" t="s">
        <v>228</v>
      </c>
      <c r="I26" s="67">
        <f>SUM(F3:F24)</f>
        <v>8922.4000000000015</v>
      </c>
      <c r="J26" s="66" t="s">
        <v>229</v>
      </c>
      <c r="K26" s="68">
        <f>IFERROR(E26/I26,0)</f>
        <v>0.88534475029140136</v>
      </c>
      <c r="L26" s="66" t="s">
        <v>230</v>
      </c>
      <c r="M26" s="68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zoomScale="84" zoomScaleNormal="84" workbookViewId="0">
      <selection activeCell="P14" sqref="P14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5" t="s">
        <v>231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</row>
    <row r="2" spans="1:14" ht="18" customHeight="1" x14ac:dyDescent="0.35">
      <c r="A2" s="236" t="s">
        <v>232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233" t="s">
        <v>233</v>
      </c>
      <c r="C4" s="233"/>
      <c r="D4" s="237" t="s">
        <v>234</v>
      </c>
      <c r="E4" s="237"/>
      <c r="F4" s="234" t="s">
        <v>235</v>
      </c>
      <c r="G4" s="234"/>
      <c r="H4" s="237" t="s">
        <v>236</v>
      </c>
      <c r="I4" s="237"/>
      <c r="J4" s="238" t="s">
        <v>237</v>
      </c>
      <c r="K4" s="238"/>
      <c r="L4" s="232" t="s">
        <v>238</v>
      </c>
      <c r="M4" s="232"/>
      <c r="N4" s="6"/>
    </row>
    <row r="5" spans="1:14" ht="27.75" customHeight="1" x14ac:dyDescent="0.35">
      <c r="A5" s="6"/>
      <c r="B5" s="239">
        <f>SUM('Input Data'!F3:F24)</f>
        <v>8922.4000000000015</v>
      </c>
      <c r="C5" s="239"/>
      <c r="D5" s="240">
        <f>SUMPRODUCT(('Input Data'!H3:H24&lt;&gt;"")*'Input Data'!F3:F24)</f>
        <v>7899.4000000000005</v>
      </c>
      <c r="E5" s="240"/>
      <c r="F5" s="241">
        <f>SUMPRODUCT(('Input Data'!H3:H24="")*'Input Data'!F3:F24)</f>
        <v>1023</v>
      </c>
      <c r="G5" s="241"/>
      <c r="H5" s="242">
        <f>IFERROR(SUMPRODUCT(('Input Data'!H3:H24&lt;&gt;"")*'Input Data'!F3:F24)/SUM('Input Data'!F3:F24),0)</f>
        <v>0.88534475029140136</v>
      </c>
      <c r="I5" s="242"/>
      <c r="J5" s="243">
        <f>IFERROR(SUMPRODUCT(('Input Data'!H3:H24="")*'Input Data'!F3:F24)/SUM('Input Data'!F3:F24),0)</f>
        <v>0.11465524970859857</v>
      </c>
      <c r="K5" s="243"/>
      <c r="L5" s="244" t="s">
        <v>652</v>
      </c>
      <c r="M5" s="244"/>
      <c r="N5" s="6"/>
    </row>
    <row r="6" spans="1:14" ht="18" customHeight="1" x14ac:dyDescent="0.35">
      <c r="A6" s="6"/>
      <c r="B6" s="228"/>
      <c r="C6" s="228"/>
      <c r="D6" s="230"/>
      <c r="E6" s="230"/>
      <c r="F6" s="229"/>
      <c r="G6" s="229"/>
      <c r="H6" s="230"/>
      <c r="I6" s="230"/>
      <c r="J6" s="231"/>
      <c r="K6" s="231"/>
      <c r="L6" s="203"/>
      <c r="M6" s="203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232" t="s">
        <v>239</v>
      </c>
      <c r="C8" s="232"/>
      <c r="D8" s="233" t="s">
        <v>240</v>
      </c>
      <c r="E8" s="233"/>
      <c r="F8" s="234" t="s">
        <v>241</v>
      </c>
      <c r="G8" s="234"/>
      <c r="H8" s="232" t="s">
        <v>242</v>
      </c>
      <c r="I8" s="232"/>
      <c r="J8" s="232" t="s">
        <v>243</v>
      </c>
      <c r="K8" s="232"/>
      <c r="L8" s="232" t="s">
        <v>244</v>
      </c>
      <c r="M8" s="232"/>
      <c r="N8" s="6"/>
    </row>
    <row r="9" spans="1:14" ht="27.75" customHeight="1" x14ac:dyDescent="0.35">
      <c r="A9" s="6"/>
      <c r="B9" s="223">
        <f>SUM('Input Data'!K3:K24)</f>
        <v>7199043.9990000008</v>
      </c>
      <c r="C9" s="223"/>
      <c r="D9" s="224">
        <f>SUM('Input Data'!Q3:Q24)</f>
        <v>5377867.9789999994</v>
      </c>
      <c r="E9" s="224"/>
      <c r="F9" s="225">
        <f>SUM('Input Data'!L3:L24)</f>
        <v>-2473509.17</v>
      </c>
      <c r="G9" s="225"/>
      <c r="H9" s="226">
        <f ca="1">E14</f>
        <v>0</v>
      </c>
      <c r="I9" s="226"/>
      <c r="J9" s="226">
        <f ca="1">E15</f>
        <v>0</v>
      </c>
      <c r="K9" s="226"/>
      <c r="L9" s="227" t="s">
        <v>245</v>
      </c>
      <c r="M9" s="227"/>
      <c r="N9" s="6"/>
    </row>
    <row r="10" spans="1:14" ht="18" customHeight="1" x14ac:dyDescent="0.35">
      <c r="A10" s="6"/>
      <c r="B10" s="203"/>
      <c r="C10" s="203"/>
      <c r="D10" s="228"/>
      <c r="E10" s="228"/>
      <c r="F10" s="229"/>
      <c r="G10" s="229"/>
      <c r="H10" s="203"/>
      <c r="I10" s="203"/>
      <c r="J10" s="203"/>
      <c r="K10" s="203"/>
      <c r="L10" s="203"/>
      <c r="M10" s="203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191" t="s">
        <v>246</v>
      </c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6"/>
    </row>
    <row r="13" spans="1:14" ht="19.5" customHeight="1" x14ac:dyDescent="0.35">
      <c r="A13" s="6"/>
      <c r="B13" s="207" t="s">
        <v>247</v>
      </c>
      <c r="C13" s="207"/>
      <c r="D13" s="207"/>
      <c r="E13" s="2" t="s">
        <v>248</v>
      </c>
      <c r="F13" s="207" t="s">
        <v>249</v>
      </c>
      <c r="G13" s="207"/>
      <c r="H13" s="207"/>
      <c r="I13" s="207"/>
      <c r="J13" s="207"/>
      <c r="K13" s="207"/>
      <c r="L13" s="207"/>
      <c r="M13" s="207"/>
      <c r="N13" s="6"/>
    </row>
    <row r="14" spans="1:14" ht="18" customHeight="1" x14ac:dyDescent="0.35">
      <c r="A14" s="6"/>
      <c r="B14" s="220" t="s">
        <v>242</v>
      </c>
      <c r="C14" s="220"/>
      <c r="D14" s="220"/>
      <c r="E14" s="72">
        <f ca="1">IFERROR(SUMPRODUCT(('Input Data'!AD3:AD24&gt;TODAY())*('Input Data'!AE3:AE24&gt;0)*'Input Data'!F3:F24*('Input Data'!AD3:AD24-TODAY())/365.25)/SUMPRODUCT(('Input Data'!AD3:AD24&gt;TODAY())*('Input Data'!AE3:AE24&gt;0)*'Input Data'!F3:F24),0)</f>
        <v>0</v>
      </c>
      <c r="F14" s="206" t="s">
        <v>250</v>
      </c>
      <c r="G14" s="206"/>
      <c r="H14" s="206"/>
      <c r="I14" s="206"/>
      <c r="J14" s="206"/>
      <c r="K14" s="206"/>
      <c r="L14" s="206"/>
      <c r="M14" s="206"/>
      <c r="N14" s="6"/>
    </row>
    <row r="15" spans="1:14" ht="18" customHeight="1" x14ac:dyDescent="0.35">
      <c r="A15" s="6"/>
      <c r="B15" s="221" t="s">
        <v>243</v>
      </c>
      <c r="C15" s="221"/>
      <c r="D15" s="221"/>
      <c r="E15" s="74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0</v>
      </c>
      <c r="F15" s="222" t="s">
        <v>251</v>
      </c>
      <c r="G15" s="222"/>
      <c r="H15" s="222"/>
      <c r="I15" s="222"/>
      <c r="J15" s="222"/>
      <c r="K15" s="222"/>
      <c r="L15" s="222"/>
      <c r="M15" s="222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191" t="s">
        <v>252</v>
      </c>
      <c r="C17" s="191"/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6"/>
    </row>
    <row r="18" spans="1:14" ht="19.5" customHeight="1" x14ac:dyDescent="0.35">
      <c r="A18" s="6"/>
      <c r="B18" s="207" t="s">
        <v>253</v>
      </c>
      <c r="C18" s="207"/>
      <c r="D18" s="207" t="s">
        <v>254</v>
      </c>
      <c r="E18" s="207"/>
      <c r="F18" s="2" t="s">
        <v>255</v>
      </c>
      <c r="G18" s="2" t="s">
        <v>63</v>
      </c>
      <c r="H18" s="2" t="s">
        <v>256</v>
      </c>
      <c r="I18" s="2" t="s">
        <v>257</v>
      </c>
      <c r="J18" s="207" t="s">
        <v>258</v>
      </c>
      <c r="K18" s="207"/>
      <c r="L18" s="207"/>
      <c r="M18" s="207"/>
      <c r="N18" s="6"/>
    </row>
    <row r="19" spans="1:14" ht="18" customHeight="1" x14ac:dyDescent="0.35">
      <c r="A19" s="6"/>
      <c r="B19" s="213" t="s">
        <v>259</v>
      </c>
      <c r="C19" s="213"/>
      <c r="D19" s="214">
        <f>SUMPRODUCT(('Input Data'!AD3:AD24&lt;&gt;"")*('Input Data'!AD3:AD24&lt;=DATE(2026,12,31))*'Input Data'!AE3:AE24*'Input Data'!F3:F24)</f>
        <v>0</v>
      </c>
      <c r="E19" s="214"/>
      <c r="F19" s="75">
        <f ca="1">IFERROR(D19/(SUMPRODUCT(('Input Data'!AD3:AD24&gt;TODAY())*('Input Data'!AE3:AE24&gt;0)*'Input Data'!AE3:AE24*'Input Data'!F3:F24)),0)</f>
        <v>0</v>
      </c>
      <c r="G19" s="76">
        <f>SUMPRODUCT(('Input Data'!AD3:AD24&lt;&gt;"")*('Input Data'!AD3:AD24&lt;=DATE(2026,12,31))*'Input Data'!F3:F24)</f>
        <v>0</v>
      </c>
      <c r="H19" s="75">
        <f ca="1">IFERROR(G19/(SUMPRODUCT(('Input Data'!AD3:AD24&gt;TODAY())*('Input Data'!AE3:AE24&gt;0)*'Input Data'!F3:F24)),0)</f>
        <v>0</v>
      </c>
      <c r="I19" s="77">
        <f>SUMPRODUCT(('Input Data'!AD3:AD24&lt;&gt;"")*('Input Data'!AD3:AD24&lt;=DATE(2026,12,31))*1)</f>
        <v>0</v>
      </c>
      <c r="J19" s="215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5"/>
      <c r="L19" s="215"/>
      <c r="M19" s="215"/>
      <c r="N19" s="6"/>
    </row>
    <row r="20" spans="1:14" ht="18" customHeight="1" x14ac:dyDescent="0.35">
      <c r="A20" s="6"/>
      <c r="B20" s="211" t="s">
        <v>260</v>
      </c>
      <c r="C20" s="211"/>
      <c r="D20" s="216" t="e">
        <f ca="1">SUMPRODUCT(('Input Data'!AD3:AD24&gt;TODAY())*(YEAR('Input Data'!AD3:AD24)=2027)*('Input Data'!AE3:AE24&gt;0)*'Input Data'!AE3:AE24*'Input Data'!F3:F24)</f>
        <v>#VALUE!</v>
      </c>
      <c r="E20" s="216"/>
      <c r="F20" s="78">
        <f ca="1">IFERROR(D20/(SUMPRODUCT(('Input Data'!AD3:AD24&gt;TODAY())*('Input Data'!AE3:AE24&gt;0)*'Input Data'!AE3:AE24*'Input Data'!F3:F24)),0)</f>
        <v>0</v>
      </c>
      <c r="G20" s="79" t="e">
        <f ca="1">SUMPRODUCT(('Input Data'!AD3:AD24&gt;TODAY())*(YEAR('Input Data'!AD3:AD24)=2027)*('Input Data'!AE3:AE24&gt;0)*'Input Data'!F3:F24)</f>
        <v>#VALUE!</v>
      </c>
      <c r="H20" s="78">
        <f ca="1">IFERROR(G20/(SUMPRODUCT(('Input Data'!AD3:AD24&gt;TODAY())*('Input Data'!AE3:AE24&gt;0)*'Input Data'!F3:F24)),0)</f>
        <v>0</v>
      </c>
      <c r="I20" s="80" t="e">
        <f ca="1">SUMPRODUCT(('Input Data'!AD3:AD24&gt;TODAY())*(YEAR('Input Data'!AD3:AD24)=2027)*('Input Data'!AE3:AE24&gt;0)*1)</f>
        <v>#VALUE!</v>
      </c>
      <c r="J20" s="217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—</v>
      </c>
      <c r="K20" s="217"/>
      <c r="L20" s="217"/>
      <c r="M20" s="217"/>
      <c r="N20" s="6"/>
    </row>
    <row r="21" spans="1:14" ht="26.25" customHeight="1" x14ac:dyDescent="0.35">
      <c r="A21" s="6"/>
      <c r="B21" s="195" t="s">
        <v>261</v>
      </c>
      <c r="C21" s="195"/>
      <c r="D21" s="218" t="e">
        <f ca="1">SUMPRODUCT(('Input Data'!AD3:AD24&gt;TODAY())*(YEAR('Input Data'!AD3:AD24)=2028)*('Input Data'!AE3:AE24&gt;0)*'Input Data'!AE3:AE24*'Input Data'!F3:F24)</f>
        <v>#VALUE!</v>
      </c>
      <c r="E21" s="218"/>
      <c r="F21" s="82">
        <f ca="1">IFERROR(D21/(SUMPRODUCT(('Input Data'!AD3:AD24&gt;TODAY())*('Input Data'!AE3:AE24&gt;0)*'Input Data'!AE3:AE24*'Input Data'!F3:F24)),0)</f>
        <v>0</v>
      </c>
      <c r="G21" s="83" t="e">
        <f ca="1">SUMPRODUCT(('Input Data'!AD3:AD24&gt;TODAY())*(YEAR('Input Data'!AD3:AD24)=2028)*('Input Data'!AE3:AE24&gt;0)*'Input Data'!F3:F24)</f>
        <v>#VALUE!</v>
      </c>
      <c r="H21" s="82">
        <f ca="1">IFERROR(G21/(SUMPRODUCT(('Input Data'!AD3:AD24&gt;TODAY())*('Input Data'!AE3:AE24&gt;0)*'Input Data'!F3:F24)),0)</f>
        <v>0</v>
      </c>
      <c r="I21" s="84" t="e">
        <f ca="1">SUMPRODUCT(('Input Data'!AD3:AD24&gt;TODAY())*(YEAR('Input Data'!AD3:AD24)=2028)*('Input Data'!AE3:AE24&gt;0)*1)</f>
        <v>#VALUE!</v>
      </c>
      <c r="J21" s="219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—</v>
      </c>
      <c r="K21" s="219"/>
      <c r="L21" s="219"/>
      <c r="M21" s="219"/>
      <c r="N21" s="6"/>
    </row>
    <row r="22" spans="1:14" ht="26.25" customHeight="1" x14ac:dyDescent="0.35">
      <c r="A22" s="6"/>
      <c r="B22" s="211" t="s">
        <v>262</v>
      </c>
      <c r="C22" s="211"/>
      <c r="D22" s="184" t="e">
        <f ca="1">SUMPRODUCT(('Input Data'!AD3:AD24&gt;TODAY())*(YEAR('Input Data'!AD3:AD24)=2029)*('Input Data'!AE3:AE24&gt;0)*'Input Data'!AE3:AE24*'Input Data'!F3:F24)</f>
        <v>#VALUE!</v>
      </c>
      <c r="E22" s="184"/>
      <c r="F22" s="85">
        <f ca="1">IFERROR(D22/(SUMPRODUCT(('Input Data'!AD3:AD24&gt;TODAY())*('Input Data'!AE3:AE24&gt;0)*'Input Data'!AE3:AE24*'Input Data'!F3:F24)),0)</f>
        <v>0</v>
      </c>
      <c r="G22" s="86" t="e">
        <f ca="1">SUMPRODUCT(('Input Data'!AD3:AD24&gt;TODAY())*(YEAR('Input Data'!AD3:AD24)=2029)*('Input Data'!AE3:AE24&gt;0)*'Input Data'!F3:F24)</f>
        <v>#VALUE!</v>
      </c>
      <c r="H22" s="85">
        <f ca="1">IFERROR(G22/(SUMPRODUCT(('Input Data'!AD3:AD24&gt;TODAY())*('Input Data'!AE3:AE24&gt;0)*'Input Data'!F3:F24)),0)</f>
        <v>0</v>
      </c>
      <c r="I22" s="87" t="e">
        <f ca="1">SUMPRODUCT(('Input Data'!AD3:AD24&gt;TODAY())*(YEAR('Input Data'!AD3:AD24)=2029)*('Input Data'!AE3:AE24&gt;0)*1)</f>
        <v>#VALUE!</v>
      </c>
      <c r="J22" s="200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—</v>
      </c>
      <c r="K22" s="200"/>
      <c r="L22" s="200"/>
      <c r="M22" s="200"/>
      <c r="N22" s="6"/>
    </row>
    <row r="23" spans="1:14" ht="26.25" customHeight="1" x14ac:dyDescent="0.35">
      <c r="A23" s="6"/>
      <c r="B23" s="212" t="s">
        <v>263</v>
      </c>
      <c r="C23" s="212"/>
      <c r="D23" s="184" t="e">
        <f ca="1">SUMPRODUCT(('Input Data'!AD3:AD24&gt;TODAY())*(YEAR('Input Data'!AD3:AD24)=2030)*('Input Data'!AE3:AE24&gt;0)*'Input Data'!AE3:AE24*'Input Data'!F3:F24)</f>
        <v>#VALUE!</v>
      </c>
      <c r="E23" s="184"/>
      <c r="F23" s="85">
        <f ca="1">IFERROR(D23/(SUMPRODUCT(('Input Data'!AD3:AD24&gt;TODAY())*('Input Data'!AE3:AE24&gt;0)*'Input Data'!AE3:AE24*'Input Data'!F3:F24)),0)</f>
        <v>0</v>
      </c>
      <c r="G23" s="86" t="e">
        <f ca="1">SUMPRODUCT(('Input Data'!AD3:AD24&gt;TODAY())*(YEAR('Input Data'!AD3:AD24)=2030)*('Input Data'!AE3:AE24&gt;0)*'Input Data'!F3:F24)</f>
        <v>#VALUE!</v>
      </c>
      <c r="H23" s="85">
        <f ca="1">IFERROR(G23/(SUMPRODUCT(('Input Data'!AD3:AD24&gt;TODAY())*('Input Data'!AE3:AE24&gt;0)*'Input Data'!F3:F24)),0)</f>
        <v>0</v>
      </c>
      <c r="I23" s="87" t="e">
        <f ca="1">SUMPRODUCT(('Input Data'!AD3:AD24&gt;TODAY())*(YEAR('Input Data'!AD3:AD24)=2030)*('Input Data'!AE3:AE24&gt;0)*1)</f>
        <v>#VALUE!</v>
      </c>
      <c r="J23" s="200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—</v>
      </c>
      <c r="K23" s="200"/>
      <c r="L23" s="200"/>
      <c r="M23" s="200"/>
      <c r="N23" s="6"/>
    </row>
    <row r="24" spans="1:14" ht="26.25" customHeight="1" x14ac:dyDescent="0.35">
      <c r="A24" s="6"/>
      <c r="B24" s="211" t="s">
        <v>264</v>
      </c>
      <c r="C24" s="211"/>
      <c r="D24" s="184" t="e">
        <f ca="1">SUMPRODUCT(('Input Data'!AD3:AD24&gt;TODAY())*(YEAR('Input Data'!AD3:AD24)&gt;=2031)*('Input Data'!AE3:AE24&gt;0)*'Input Data'!AE3:AE24*'Input Data'!F3:F24)</f>
        <v>#VALUE!</v>
      </c>
      <c r="E24" s="184"/>
      <c r="F24" s="85">
        <f ca="1">IFERROR(D24/(SUMPRODUCT(('Input Data'!AD3:AD24&gt;TODAY())*('Input Data'!AE3:AE24&gt;0)*'Input Data'!AE3:AE24*'Input Data'!F3:F24)),0)</f>
        <v>0</v>
      </c>
      <c r="G24" s="86" t="e">
        <f ca="1">SUMPRODUCT(('Input Data'!AD3:AD24&gt;TODAY())*(YEAR('Input Data'!AD3:AD24)&gt;=2031)*('Input Data'!AE3:AE24&gt;0)*'Input Data'!F3:F24)</f>
        <v>#VALUE!</v>
      </c>
      <c r="H24" s="85">
        <f ca="1">IFERROR(G24/(SUMPRODUCT(('Input Data'!AD3:AD24&gt;TODAY())*('Input Data'!AE3:AE24&gt;0)*'Input Data'!F3:F24)),0)</f>
        <v>0</v>
      </c>
      <c r="I24" s="87" t="e">
        <f ca="1">SUMPRODUCT(('Input Data'!AD3:AD24&gt;TODAY())*(YEAR('Input Data'!AD3:AD24)&gt;=2031)*('Input Data'!AE3:AE24&gt;0)*1)</f>
        <v>#VALUE!</v>
      </c>
      <c r="J24" s="200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—</v>
      </c>
      <c r="K24" s="200"/>
      <c r="L24" s="200"/>
      <c r="M24" s="200"/>
      <c r="N24" s="6"/>
    </row>
    <row r="25" spans="1:14" ht="19.5" customHeight="1" x14ac:dyDescent="0.35">
      <c r="A25" s="6"/>
      <c r="B25" s="195" t="s">
        <v>265</v>
      </c>
      <c r="C25" s="195"/>
      <c r="D25" s="197">
        <f ca="1">SUMPRODUCT(('Input Data'!AD3:AD24&gt;TODAY())*('Input Data'!AE3:AE24&gt;0)*'Input Data'!AE3:AE24*'Input Data'!F3:F24)</f>
        <v>7199043.9990000008</v>
      </c>
      <c r="E25" s="197"/>
      <c r="F25" s="88">
        <v>1</v>
      </c>
      <c r="G25" s="63">
        <f ca="1">SUMPRODUCT(('Input Data'!AD3:AD24&gt;TODAY())*('Input Data'!AE3:AE24&gt;0)*'Input Data'!F3:F24)</f>
        <v>7533.9000000000005</v>
      </c>
      <c r="H25" s="88">
        <v>1</v>
      </c>
      <c r="I25" s="69"/>
      <c r="J25" s="69"/>
      <c r="K25" s="69"/>
      <c r="L25" s="69"/>
      <c r="M25" s="69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191" t="s">
        <v>266</v>
      </c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6"/>
    </row>
    <row r="28" spans="1:14" ht="19.5" customHeight="1" x14ac:dyDescent="0.35">
      <c r="A28" s="6"/>
      <c r="B28" s="2" t="s">
        <v>267</v>
      </c>
      <c r="C28" s="207" t="s">
        <v>268</v>
      </c>
      <c r="D28" s="207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7" t="s">
        <v>274</v>
      </c>
      <c r="K28" s="207"/>
      <c r="L28" s="207"/>
      <c r="M28" s="207"/>
      <c r="N28" s="6"/>
    </row>
    <row r="29" spans="1:14" ht="15" customHeight="1" x14ac:dyDescent="0.35">
      <c r="A29" s="6"/>
      <c r="B29" s="49" t="str">
        <f>'Input Data'!C3</f>
        <v>3.01</v>
      </c>
      <c r="C29" s="205" t="str">
        <f>'Input Data'!D3</f>
        <v>Sydney Smiletree Pty Ltd</v>
      </c>
      <c r="D29" s="205"/>
      <c r="E29" s="51">
        <f>'Input Data'!F3</f>
        <v>107.7</v>
      </c>
      <c r="F29" s="53">
        <f>'Input Data'!J3</f>
        <v>1342.25</v>
      </c>
      <c r="G29" s="53">
        <f>'Input Data'!X3</f>
        <v>950</v>
      </c>
      <c r="H29" s="53">
        <f>'Input Data'!Y3</f>
        <v>392.25</v>
      </c>
      <c r="I29" s="56">
        <f>'Input Data'!Z3</f>
        <v>0.41289473684210526</v>
      </c>
      <c r="J29" s="205" t="str">
        <f>IF('Input Data'!Y3&gt;0,"▲ Above Mkt",IF('Input Data'!Y3&lt;0,"▼ Below Mkt","≈ At Market"))</f>
        <v>▲ Above Mkt</v>
      </c>
      <c r="K29" s="205"/>
      <c r="L29" s="205"/>
      <c r="M29" s="205"/>
      <c r="N29" s="6"/>
    </row>
    <row r="30" spans="1:14" ht="15" customHeight="1" x14ac:dyDescent="0.35">
      <c r="A30" s="6"/>
      <c r="B30" s="32" t="str">
        <f>'Input Data'!C4</f>
        <v>3.02</v>
      </c>
      <c r="C30" s="209" t="str">
        <f>'Input Data'!D4</f>
        <v>Fitness First Australia Pty Limited</v>
      </c>
      <c r="D30" s="209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09" t="str">
        <f>IF('Input Data'!Y4&gt;0,"▲ Above Mkt",IF('Input Data'!Y4&lt;0,"▼ Below Mkt","≈ At Market"))</f>
        <v>▼ Below Mkt</v>
      </c>
      <c r="K30" s="209"/>
      <c r="L30" s="209"/>
      <c r="M30" s="209"/>
      <c r="N30" s="6"/>
    </row>
    <row r="31" spans="1:14" ht="15" customHeight="1" x14ac:dyDescent="0.35">
      <c r="A31" s="6"/>
      <c r="B31" s="13" t="str">
        <f>'Input Data'!C5</f>
        <v>4.01</v>
      </c>
      <c r="C31" s="206" t="str">
        <f>'Input Data'!D5</f>
        <v>Fitness First Australia Pty Limited</v>
      </c>
      <c r="D31" s="206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6" t="str">
        <f>IF('Input Data'!Y5&gt;0,"▲ Above Mkt",IF('Input Data'!Y5&lt;0,"▼ Below Mkt","≈ At Market"))</f>
        <v>▼ Below Mkt</v>
      </c>
      <c r="K31" s="206"/>
      <c r="L31" s="206"/>
      <c r="M31" s="206"/>
      <c r="N31" s="6"/>
    </row>
    <row r="32" spans="1:14" ht="15" customHeight="1" x14ac:dyDescent="0.35">
      <c r="A32" s="6"/>
      <c r="B32" s="32" t="str">
        <f>'Input Data'!C6</f>
        <v>5.01</v>
      </c>
      <c r="C32" s="209" t="str">
        <f>'Input Data'!D6</f>
        <v>Fitness First Australia Pty Limited</v>
      </c>
      <c r="D32" s="209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09" t="str">
        <f>IF('Input Data'!Y6&gt;0,"▲ Above Mkt",IF('Input Data'!Y6&lt;0,"▼ Below Mkt","≈ At Market"))</f>
        <v>▼ Below Mkt</v>
      </c>
      <c r="K32" s="209"/>
      <c r="L32" s="209"/>
      <c r="M32" s="209"/>
      <c r="N32" s="6"/>
    </row>
    <row r="33" spans="1:14" ht="15" customHeight="1" x14ac:dyDescent="0.35">
      <c r="A33" s="6"/>
      <c r="B33" s="89" t="str">
        <f>'Input Data'!C7</f>
        <v>5.03</v>
      </c>
      <c r="C33" s="210" t="str">
        <f>'Input Data'!D7</f>
        <v>Asterx Pty Ltd</v>
      </c>
      <c r="D33" s="210"/>
      <c r="E33" s="91">
        <f>'Input Data'!F7</f>
        <v>229.8</v>
      </c>
      <c r="F33" s="92">
        <f>'Input Data'!J7</f>
        <v>877.01</v>
      </c>
      <c r="G33" s="92">
        <f>'Input Data'!X7</f>
        <v>950</v>
      </c>
      <c r="H33" s="92">
        <f>'Input Data'!Y7</f>
        <v>-72.990000000000009</v>
      </c>
      <c r="I33" s="93">
        <f>'Input Data'!Z7</f>
        <v>-7.6831578947368431E-2</v>
      </c>
      <c r="J33" s="210" t="str">
        <f>IF('Input Data'!Y7&gt;0,"▲ Above Mkt",IF('Input Data'!Y7&lt;0,"▼ Below Mkt","≈ At Market"))</f>
        <v>▼ Below Mkt</v>
      </c>
      <c r="K33" s="210"/>
      <c r="L33" s="210"/>
      <c r="M33" s="210"/>
      <c r="N33" s="6"/>
    </row>
    <row r="34" spans="1:14" ht="15" customHeight="1" x14ac:dyDescent="0.35">
      <c r="A34" s="6"/>
      <c r="B34" s="32" t="str">
        <f>'Input Data'!C8</f>
        <v>5.04</v>
      </c>
      <c r="C34" s="209" t="str">
        <f>'Input Data'!D8</f>
        <v>Auctionsplus Pty Ltd</v>
      </c>
      <c r="D34" s="209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09" t="str">
        <f>IF('Input Data'!Y8&gt;0,"▲ Above Mkt",IF('Input Data'!Y8&lt;0,"▼ Below Mkt","≈ At Market"))</f>
        <v>▲ Above Mkt</v>
      </c>
      <c r="K34" s="209"/>
      <c r="L34" s="209"/>
      <c r="M34" s="209"/>
      <c r="N34" s="6"/>
    </row>
    <row r="35" spans="1:14" ht="15" customHeight="1" x14ac:dyDescent="0.35">
      <c r="A35" s="6"/>
      <c r="B35" s="13" t="str">
        <f>'Input Data'!C9</f>
        <v>6.02</v>
      </c>
      <c r="C35" s="206" t="str">
        <f>'Input Data'!D9</f>
        <v>Sungrow Australia Group</v>
      </c>
      <c r="D35" s="206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6" t="str">
        <f>IF('Input Data'!Y9&gt;0,"▲ Above Mkt",IF('Input Data'!Y9&lt;0,"▼ Below Mkt","≈ At Market"))</f>
        <v>▼ Below Mkt</v>
      </c>
      <c r="K35" s="206"/>
      <c r="L35" s="206"/>
      <c r="M35" s="206"/>
      <c r="N35" s="6"/>
    </row>
    <row r="36" spans="1:14" ht="15" customHeight="1" x14ac:dyDescent="0.35">
      <c r="A36" s="6"/>
      <c r="B36" s="32" t="str">
        <f>'Input Data'!C10</f>
        <v>6.03</v>
      </c>
      <c r="C36" s="209" t="str">
        <f>'Input Data'!D10</f>
        <v>Keeping Company Pty Ltd</v>
      </c>
      <c r="D36" s="209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09" t="str">
        <f>IF('Input Data'!Y10&gt;0,"▲ Above Mkt",IF('Input Data'!Y10&lt;0,"▼ Below Mkt","≈ At Market"))</f>
        <v>▲ Above Mkt</v>
      </c>
      <c r="K36" s="209"/>
      <c r="L36" s="209"/>
      <c r="M36" s="209"/>
      <c r="N36" s="6"/>
    </row>
    <row r="37" spans="1:14" ht="15" customHeight="1" x14ac:dyDescent="0.35">
      <c r="A37" s="6"/>
      <c r="B37" s="13" t="str">
        <f>'Input Data'!C11</f>
        <v>6.04</v>
      </c>
      <c r="C37" s="206" t="str">
        <f>'Input Data'!D11</f>
        <v>Elekta Pty Limited</v>
      </c>
      <c r="D37" s="206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6" t="str">
        <f>IF('Input Data'!Y11&gt;0,"▲ Above Mkt",IF('Input Data'!Y11&lt;0,"▼ Below Mkt","≈ At Market"))</f>
        <v>▼ Below Mkt</v>
      </c>
      <c r="K37" s="206"/>
      <c r="L37" s="206"/>
      <c r="M37" s="206"/>
      <c r="N37" s="6"/>
    </row>
    <row r="38" spans="1:14" ht="15" customHeight="1" x14ac:dyDescent="0.35">
      <c r="A38" s="6"/>
      <c r="B38" s="32" t="str">
        <f>'Input Data'!C12</f>
        <v>7.01</v>
      </c>
      <c r="C38" s="209" t="str">
        <f>'Input Data'!D12</f>
        <v>Sungrow Australia Group</v>
      </c>
      <c r="D38" s="209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09" t="str">
        <f>IF('Input Data'!Y12&gt;0,"▲ Above Mkt",IF('Input Data'!Y12&lt;0,"▼ Below Mkt","≈ At Market"))</f>
        <v>▲ Above Mkt</v>
      </c>
      <c r="K38" s="209"/>
      <c r="L38" s="209"/>
      <c r="M38" s="209"/>
      <c r="N38" s="6"/>
    </row>
    <row r="39" spans="1:14" ht="15" customHeight="1" x14ac:dyDescent="0.35">
      <c r="A39" s="6"/>
      <c r="B39" s="13" t="str">
        <f>'Input Data'!C14</f>
        <v>8.01</v>
      </c>
      <c r="C39" s="206" t="str">
        <f>'Input Data'!D14</f>
        <v>Vanderlande Industries Australia Pty Ltd</v>
      </c>
      <c r="D39" s="206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6" t="str">
        <f>IF('Input Data'!Y14&gt;0,"▲ Above Mkt",IF('Input Data'!Y14&lt;0,"▼ Below Mkt","≈ At Market"))</f>
        <v>▼ Below Mkt</v>
      </c>
      <c r="K39" s="206"/>
      <c r="L39" s="206"/>
      <c r="M39" s="206"/>
      <c r="N39" s="6"/>
    </row>
    <row r="40" spans="1:14" ht="15" customHeight="1" x14ac:dyDescent="0.35">
      <c r="A40" s="6"/>
      <c r="B40" s="32" t="str">
        <f>'Input Data'!C15</f>
        <v>8.03</v>
      </c>
      <c r="C40" s="209" t="str">
        <f>'Input Data'!D15</f>
        <v>Can Too Foundation Limited</v>
      </c>
      <c r="D40" s="209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09" t="str">
        <f>IF('Input Data'!Y15&gt;0,"▲ Above Mkt",IF('Input Data'!Y15&lt;0,"▼ Below Mkt","≈ At Market"))</f>
        <v>≈ At Market</v>
      </c>
      <c r="K40" s="209"/>
      <c r="L40" s="209"/>
      <c r="M40" s="209"/>
      <c r="N40" s="6"/>
    </row>
    <row r="41" spans="1:14" ht="15" customHeight="1" x14ac:dyDescent="0.35">
      <c r="A41" s="6"/>
      <c r="B41" s="13" t="str">
        <f>'Input Data'!C16</f>
        <v>9.01</v>
      </c>
      <c r="C41" s="206" t="str">
        <f>'Input Data'!D16</f>
        <v>Pitt &amp; Sherry (Operations) Pty Ltd</v>
      </c>
      <c r="D41" s="206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6" t="str">
        <f>IF('Input Data'!Y16&gt;0,"▲ Above Mkt",IF('Input Data'!Y16&lt;0,"▼ Below Mkt","≈ At Market"))</f>
        <v>▼ Below Mkt</v>
      </c>
      <c r="K41" s="206"/>
      <c r="L41" s="206"/>
      <c r="M41" s="206"/>
      <c r="N41" s="6"/>
    </row>
    <row r="42" spans="1:14" ht="15" customHeight="1" x14ac:dyDescent="0.35">
      <c r="A42" s="6"/>
      <c r="B42" s="32" t="str">
        <f>'Input Data'!C17</f>
        <v>12.01</v>
      </c>
      <c r="C42" s="209" t="str">
        <f>'Input Data'!D17</f>
        <v>Hulsbosch Design Pty Ltd</v>
      </c>
      <c r="D42" s="209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09" t="str">
        <f>IF('Input Data'!Y17&gt;0,"▲ Above Mkt",IF('Input Data'!Y17&lt;0,"▼ Below Mkt","≈ At Market"))</f>
        <v>▼ Below Mkt</v>
      </c>
      <c r="K42" s="209"/>
      <c r="L42" s="209"/>
      <c r="M42" s="209"/>
      <c r="N42" s="6"/>
    </row>
    <row r="43" spans="1:14" ht="15" customHeight="1" x14ac:dyDescent="0.35">
      <c r="A43" s="6"/>
      <c r="B43" s="13" t="str">
        <f>'Input Data'!C18</f>
        <v>9.02</v>
      </c>
      <c r="C43" s="206" t="str">
        <f>'Input Data'!D18</f>
        <v>Smile Partners Australia</v>
      </c>
      <c r="D43" s="206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6" t="str">
        <f>IF('Input Data'!Y18&gt;0,"▲ Above Mkt",IF('Input Data'!Y18&lt;0,"▼ Below Mkt","≈ At Market"))</f>
        <v>▼ Below Mkt</v>
      </c>
      <c r="K43" s="206"/>
      <c r="L43" s="206"/>
      <c r="M43" s="206"/>
      <c r="N43" s="6"/>
    </row>
    <row r="44" spans="1:14" ht="15" customHeight="1" x14ac:dyDescent="0.35">
      <c r="A44" s="6"/>
      <c r="B44" s="32" t="str">
        <f>'Input Data'!C19</f>
        <v>12.02</v>
      </c>
      <c r="C44" s="209" t="str">
        <f>'Input Data'!D19</f>
        <v>Aei Insurance Group Pty Ltd</v>
      </c>
      <c r="D44" s="209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09" t="str">
        <f>IF('Input Data'!Y19&gt;0,"▲ Above Mkt",IF('Input Data'!Y19&lt;0,"▼ Below Mkt","≈ At Market"))</f>
        <v>▼ Below Mkt</v>
      </c>
      <c r="K44" s="209"/>
      <c r="L44" s="209"/>
      <c r="M44" s="209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191" t="s">
        <v>275</v>
      </c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6"/>
    </row>
    <row r="47" spans="1:14" ht="19.5" customHeight="1" x14ac:dyDescent="0.35">
      <c r="A47" s="6"/>
      <c r="B47" s="207" t="s">
        <v>276</v>
      </c>
      <c r="C47" s="207"/>
      <c r="D47" s="2" t="s">
        <v>277</v>
      </c>
      <c r="E47" s="2" t="s">
        <v>278</v>
      </c>
      <c r="F47" s="2" t="s">
        <v>279</v>
      </c>
      <c r="G47" s="207" t="s">
        <v>280</v>
      </c>
      <c r="H47" s="207"/>
      <c r="I47" s="207"/>
      <c r="J47" s="207"/>
      <c r="K47" s="207"/>
      <c r="L47" s="207"/>
      <c r="M47" s="207"/>
      <c r="N47" s="6"/>
    </row>
    <row r="48" spans="1:14" ht="18" customHeight="1" x14ac:dyDescent="0.35">
      <c r="A48" s="6"/>
      <c r="B48" s="204" t="s">
        <v>281</v>
      </c>
      <c r="C48" s="204"/>
      <c r="D48" s="41" t="s">
        <v>282</v>
      </c>
      <c r="E48" s="11">
        <v>46204</v>
      </c>
      <c r="F48" s="94">
        <f t="shared" ref="F48:F60" ca="1" si="0">IFERROR(INT(E48-TODAY()),"")</f>
        <v>1</v>
      </c>
      <c r="G48" s="204" t="s">
        <v>283</v>
      </c>
      <c r="H48" s="204"/>
      <c r="I48" s="204"/>
      <c r="J48" s="204"/>
      <c r="K48" s="204"/>
      <c r="L48" s="204"/>
      <c r="M48" s="204"/>
      <c r="N48" s="6"/>
    </row>
    <row r="49" spans="1:14" ht="18" customHeight="1" x14ac:dyDescent="0.35">
      <c r="A49" s="6"/>
      <c r="B49" s="208" t="s">
        <v>284</v>
      </c>
      <c r="C49" s="208"/>
      <c r="D49" s="95" t="s">
        <v>65</v>
      </c>
      <c r="E49" s="96">
        <v>46538</v>
      </c>
      <c r="F49" s="97">
        <f t="shared" ca="1" si="0"/>
        <v>335</v>
      </c>
      <c r="G49" s="208" t="s">
        <v>285</v>
      </c>
      <c r="H49" s="208"/>
      <c r="I49" s="208"/>
      <c r="J49" s="208"/>
      <c r="K49" s="208"/>
      <c r="L49" s="208"/>
      <c r="M49" s="208"/>
      <c r="N49" s="6"/>
    </row>
    <row r="50" spans="1:14" ht="18" customHeight="1" x14ac:dyDescent="0.35">
      <c r="A50" s="6"/>
      <c r="B50" s="206" t="s">
        <v>286</v>
      </c>
      <c r="C50" s="206"/>
      <c r="D50" s="13" t="s">
        <v>287</v>
      </c>
      <c r="E50" s="23">
        <v>46447</v>
      </c>
      <c r="F50" s="98">
        <f t="shared" ca="1" si="0"/>
        <v>244</v>
      </c>
      <c r="G50" s="206" t="s">
        <v>288</v>
      </c>
      <c r="H50" s="206"/>
      <c r="I50" s="206"/>
      <c r="J50" s="206"/>
      <c r="K50" s="206"/>
      <c r="L50" s="206"/>
      <c r="M50" s="206"/>
      <c r="N50" s="6"/>
    </row>
    <row r="51" spans="1:14" ht="18" customHeight="1" x14ac:dyDescent="0.35">
      <c r="A51" s="6"/>
      <c r="B51" s="205" t="s">
        <v>289</v>
      </c>
      <c r="C51" s="205"/>
      <c r="D51" s="49" t="s">
        <v>290</v>
      </c>
      <c r="E51" s="99">
        <v>45809</v>
      </c>
      <c r="F51" s="100">
        <f t="shared" ca="1" si="0"/>
        <v>-394</v>
      </c>
      <c r="G51" s="205" t="s">
        <v>291</v>
      </c>
      <c r="H51" s="205"/>
      <c r="I51" s="205"/>
      <c r="J51" s="205"/>
      <c r="K51" s="205"/>
      <c r="L51" s="205"/>
      <c r="M51" s="205"/>
      <c r="N51" s="6"/>
    </row>
    <row r="52" spans="1:14" ht="18" customHeight="1" x14ac:dyDescent="0.35">
      <c r="A52" s="6"/>
      <c r="B52" s="204" t="s">
        <v>284</v>
      </c>
      <c r="C52" s="204"/>
      <c r="D52" s="41" t="s">
        <v>290</v>
      </c>
      <c r="E52" s="11">
        <v>46174</v>
      </c>
      <c r="F52" s="94">
        <f t="shared" ca="1" si="0"/>
        <v>-29</v>
      </c>
      <c r="G52" s="204" t="s">
        <v>292</v>
      </c>
      <c r="H52" s="204"/>
      <c r="I52" s="204"/>
      <c r="J52" s="204"/>
      <c r="K52" s="204"/>
      <c r="L52" s="204"/>
      <c r="M52" s="204"/>
      <c r="N52" s="6"/>
    </row>
    <row r="53" spans="1:14" ht="18" customHeight="1" x14ac:dyDescent="0.35">
      <c r="A53" s="6"/>
      <c r="B53" s="204" t="s">
        <v>293</v>
      </c>
      <c r="C53" s="204"/>
      <c r="D53" s="41" t="s">
        <v>287</v>
      </c>
      <c r="E53" s="11">
        <v>46204</v>
      </c>
      <c r="F53" s="94">
        <f t="shared" ca="1" si="0"/>
        <v>1</v>
      </c>
      <c r="G53" s="204" t="s">
        <v>294</v>
      </c>
      <c r="H53" s="204"/>
      <c r="I53" s="204"/>
      <c r="J53" s="204"/>
      <c r="K53" s="204"/>
      <c r="L53" s="204"/>
      <c r="M53" s="204"/>
      <c r="N53" s="6"/>
    </row>
    <row r="54" spans="1:14" ht="18" customHeight="1" x14ac:dyDescent="0.35">
      <c r="A54" s="6"/>
      <c r="B54" s="204" t="s">
        <v>295</v>
      </c>
      <c r="C54" s="204"/>
      <c r="D54" s="41" t="s">
        <v>296</v>
      </c>
      <c r="E54" s="11">
        <v>46207</v>
      </c>
      <c r="F54" s="94">
        <f t="shared" ca="1" si="0"/>
        <v>4</v>
      </c>
      <c r="G54" s="204" t="s">
        <v>297</v>
      </c>
      <c r="H54" s="204"/>
      <c r="I54" s="204"/>
      <c r="J54" s="204"/>
      <c r="K54" s="204"/>
      <c r="L54" s="204"/>
      <c r="M54" s="204"/>
      <c r="N54" s="6"/>
    </row>
    <row r="55" spans="1:14" ht="18" customHeight="1" x14ac:dyDescent="0.35">
      <c r="A55" s="6"/>
      <c r="B55" s="204" t="s">
        <v>298</v>
      </c>
      <c r="C55" s="204"/>
      <c r="D55" s="41" t="s">
        <v>287</v>
      </c>
      <c r="E55" s="11">
        <v>46204</v>
      </c>
      <c r="F55" s="94">
        <f t="shared" ca="1" si="0"/>
        <v>1</v>
      </c>
      <c r="G55" s="204" t="s">
        <v>299</v>
      </c>
      <c r="H55" s="204"/>
      <c r="I55" s="204"/>
      <c r="J55" s="204"/>
      <c r="K55" s="204"/>
      <c r="L55" s="204"/>
      <c r="M55" s="204"/>
      <c r="N55" s="6"/>
    </row>
    <row r="56" spans="1:14" ht="18" customHeight="1" x14ac:dyDescent="0.35">
      <c r="A56" s="6"/>
      <c r="B56" s="206" t="s">
        <v>295</v>
      </c>
      <c r="C56" s="206"/>
      <c r="D56" s="13" t="s">
        <v>65</v>
      </c>
      <c r="E56" s="23">
        <v>46571</v>
      </c>
      <c r="F56" s="98">
        <f t="shared" ca="1" si="0"/>
        <v>368</v>
      </c>
      <c r="G56" s="206" t="s">
        <v>300</v>
      </c>
      <c r="H56" s="206"/>
      <c r="I56" s="206"/>
      <c r="J56" s="206"/>
      <c r="K56" s="206"/>
      <c r="L56" s="206"/>
      <c r="M56" s="206"/>
      <c r="N56" s="6"/>
    </row>
    <row r="57" spans="1:14" ht="18" customHeight="1" x14ac:dyDescent="0.35">
      <c r="A57" s="6"/>
      <c r="B57" s="204" t="s">
        <v>301</v>
      </c>
      <c r="C57" s="204"/>
      <c r="D57" s="41" t="s">
        <v>296</v>
      </c>
      <c r="E57" s="11">
        <v>46174</v>
      </c>
      <c r="F57" s="94">
        <f t="shared" ca="1" si="0"/>
        <v>-29</v>
      </c>
      <c r="G57" s="204" t="s">
        <v>294</v>
      </c>
      <c r="H57" s="204"/>
      <c r="I57" s="204"/>
      <c r="J57" s="204"/>
      <c r="K57" s="204"/>
      <c r="L57" s="204"/>
      <c r="M57" s="204"/>
      <c r="N57" s="6"/>
    </row>
    <row r="58" spans="1:14" ht="18" customHeight="1" x14ac:dyDescent="0.35">
      <c r="A58" s="6"/>
      <c r="B58" s="205" t="s">
        <v>302</v>
      </c>
      <c r="C58" s="205"/>
      <c r="D58" s="49" t="s">
        <v>303</v>
      </c>
      <c r="E58" s="99" t="s">
        <v>304</v>
      </c>
      <c r="F58" s="100" t="str">
        <f t="shared" ca="1" si="0"/>
        <v/>
      </c>
      <c r="G58" s="205" t="s">
        <v>305</v>
      </c>
      <c r="H58" s="205"/>
      <c r="I58" s="205"/>
      <c r="J58" s="205"/>
      <c r="K58" s="205"/>
      <c r="L58" s="205"/>
      <c r="M58" s="205"/>
      <c r="N58" s="6"/>
    </row>
    <row r="59" spans="1:14" ht="18" customHeight="1" x14ac:dyDescent="0.35">
      <c r="A59" s="6"/>
      <c r="B59" s="205" t="s">
        <v>306</v>
      </c>
      <c r="C59" s="205"/>
      <c r="D59" s="49" t="s">
        <v>303</v>
      </c>
      <c r="E59" s="99" t="s">
        <v>304</v>
      </c>
      <c r="F59" s="100" t="str">
        <f t="shared" ca="1" si="0"/>
        <v/>
      </c>
      <c r="G59" s="205" t="s">
        <v>307</v>
      </c>
      <c r="H59" s="205"/>
      <c r="I59" s="205"/>
      <c r="J59" s="205"/>
      <c r="K59" s="205"/>
      <c r="L59" s="205"/>
      <c r="M59" s="205"/>
      <c r="N59" s="6"/>
    </row>
    <row r="60" spans="1:14" ht="7.5" customHeight="1" x14ac:dyDescent="0.35">
      <c r="A60" s="1"/>
      <c r="B60" s="60" t="s">
        <v>308</v>
      </c>
      <c r="C60" s="1"/>
      <c r="D60" s="60" t="s">
        <v>282</v>
      </c>
      <c r="E60" s="61">
        <v>46296</v>
      </c>
      <c r="F60" s="60">
        <f t="shared" ca="1" si="0"/>
        <v>93</v>
      </c>
      <c r="G60" s="60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1"/>
      <c r="B61" s="191" t="s">
        <v>310</v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01"/>
    </row>
    <row r="62" spans="1:14" ht="21.75" customHeight="1" x14ac:dyDescent="0.35">
      <c r="A62" s="1"/>
      <c r="B62" s="102" t="s">
        <v>59</v>
      </c>
      <c r="C62" s="192" t="s">
        <v>311</v>
      </c>
      <c r="D62" s="192"/>
      <c r="E62" s="192" t="s">
        <v>63</v>
      </c>
      <c r="F62" s="192"/>
      <c r="G62" s="192" t="s">
        <v>312</v>
      </c>
      <c r="H62" s="192"/>
      <c r="I62" s="192" t="s">
        <v>255</v>
      </c>
      <c r="J62" s="192"/>
      <c r="K62" s="102" t="s">
        <v>313</v>
      </c>
      <c r="L62" s="192" t="s">
        <v>85</v>
      </c>
      <c r="M62" s="192"/>
      <c r="N62" s="1"/>
    </row>
    <row r="63" spans="1:14" ht="19.5" customHeight="1" x14ac:dyDescent="0.35">
      <c r="A63" s="101"/>
      <c r="B63" s="62" t="s">
        <v>188</v>
      </c>
      <c r="C63" s="200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00"/>
      <c r="E63" s="201">
        <f>SUMPRODUCT(('Input Data'!B3:B24="L12")*'Input Data'!F3:F24)</f>
        <v>880.5</v>
      </c>
      <c r="F63" s="201"/>
      <c r="G63" s="184">
        <f ca="1">SUMPRODUCT(('Input Data'!B3:B24="L12")*('Input Data'!AD3:AD24&gt;TODAY())*('Input Data'!AE3:AE24&gt;0)*'Input Data'!Q3:Q24)</f>
        <v>898518.89500000002</v>
      </c>
      <c r="H63" s="184"/>
      <c r="I63" s="202"/>
      <c r="J63" s="202"/>
      <c r="K63" s="87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03"/>
      <c r="M63" s="203"/>
      <c r="N63" s="101"/>
    </row>
    <row r="64" spans="1:14" ht="19.5" customHeight="1" x14ac:dyDescent="0.35">
      <c r="A64" s="1"/>
      <c r="B64" s="62" t="s">
        <v>216</v>
      </c>
      <c r="C64" s="200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00"/>
      <c r="E64" s="201">
        <f>SUMPRODUCT(('Input Data'!B3:B24="L11")*'Input Data'!F3:F24)</f>
        <v>772</v>
      </c>
      <c r="F64" s="201"/>
      <c r="G64" s="184">
        <f ca="1">SUMPRODUCT(('Input Data'!B3:B24="L11")*('Input Data'!AD3:AD24&gt;TODAY())*('Input Data'!AE3:AE24&gt;0)*'Input Data'!Q3:Q24)</f>
        <v>-113632</v>
      </c>
      <c r="H64" s="184"/>
      <c r="I64" s="202"/>
      <c r="J64" s="202"/>
      <c r="K64" s="87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03"/>
      <c r="M64" s="203"/>
      <c r="N64" s="1"/>
    </row>
    <row r="65" spans="1:14" ht="19.5" customHeight="1" x14ac:dyDescent="0.35">
      <c r="A65" s="101"/>
      <c r="B65" s="62" t="s">
        <v>210</v>
      </c>
      <c r="C65" s="200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00"/>
      <c r="E65" s="201">
        <f>SUMPRODUCT(('Input Data'!B3:B24="L10")*'Input Data'!F3:F24)</f>
        <v>787</v>
      </c>
      <c r="F65" s="201"/>
      <c r="G65" s="184">
        <f ca="1">SUMPRODUCT(('Input Data'!B3:B24="L10")*('Input Data'!AD3:AD24&gt;TODAY())*('Input Data'!AE3:AE24&gt;0)*'Input Data'!Q3:Q24)</f>
        <v>0</v>
      </c>
      <c r="H65" s="184"/>
      <c r="I65" s="202"/>
      <c r="J65" s="202"/>
      <c r="K65" s="87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03"/>
      <c r="M65" s="203"/>
      <c r="N65" s="101"/>
    </row>
    <row r="66" spans="1:14" ht="19.5" customHeight="1" x14ac:dyDescent="0.35">
      <c r="A66" s="1"/>
      <c r="B66" s="62" t="s">
        <v>181</v>
      </c>
      <c r="C66" s="20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00"/>
      <c r="E66" s="201">
        <f>SUMPRODUCT(('Input Data'!B3:B24="L09")*'Input Data'!F3:F24)</f>
        <v>704.3</v>
      </c>
      <c r="F66" s="201"/>
      <c r="G66" s="184">
        <f ca="1">SUMPRODUCT(('Input Data'!B3:B24="L09")*('Input Data'!AD3:AD24&gt;TODAY())*('Input Data'!AE3:AE24&gt;0)*'Input Data'!Q3:Q24)</f>
        <v>569217.00899999996</v>
      </c>
      <c r="H66" s="184"/>
      <c r="I66" s="202"/>
      <c r="J66" s="202"/>
      <c r="K66" s="87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03"/>
      <c r="M66" s="203"/>
      <c r="N66" s="1"/>
    </row>
    <row r="67" spans="1:14" ht="19.5" customHeight="1" x14ac:dyDescent="0.35">
      <c r="A67" s="101"/>
      <c r="B67" s="62" t="s">
        <v>168</v>
      </c>
      <c r="C67" s="200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00"/>
      <c r="E67" s="201">
        <f>SUMPRODUCT(('Input Data'!B3:B24="L08")*'Input Data'!F3:F24)</f>
        <v>803</v>
      </c>
      <c r="F67" s="201"/>
      <c r="G67" s="184">
        <f ca="1">SUMPRODUCT(('Input Data'!B3:B24="L08")*('Input Data'!AD3:AD24&gt;TODAY())*('Input Data'!AE3:AE24&gt;0)*'Input Data'!Q3:Q24)</f>
        <v>607413.31200000003</v>
      </c>
      <c r="H67" s="184"/>
      <c r="I67" s="202"/>
      <c r="J67" s="202"/>
      <c r="K67" s="87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03"/>
      <c r="M67" s="203"/>
      <c r="N67" s="101"/>
    </row>
    <row r="68" spans="1:14" ht="19.5" customHeight="1" x14ac:dyDescent="0.35">
      <c r="A68" s="1"/>
      <c r="B68" s="62" t="s">
        <v>156</v>
      </c>
      <c r="C68" s="20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00"/>
      <c r="E68" s="201">
        <f>SUMPRODUCT(('Input Data'!B3:B24="L07")*'Input Data'!F3:F24)</f>
        <v>849.6</v>
      </c>
      <c r="F68" s="201"/>
      <c r="G68" s="184">
        <f ca="1">SUMPRODUCT(('Input Data'!B3:B24="L07")*('Input Data'!AD3:AD24&gt;TODAY())*('Input Data'!AE3:AE24&gt;0)*'Input Data'!Q3:Q24)</f>
        <v>399443.10699999996</v>
      </c>
      <c r="H68" s="184"/>
      <c r="I68" s="202"/>
      <c r="J68" s="202"/>
      <c r="K68" s="87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03"/>
      <c r="M68" s="203"/>
      <c r="N68" s="1"/>
    </row>
    <row r="69" spans="1:14" ht="19.5" customHeight="1" x14ac:dyDescent="0.35">
      <c r="A69" s="101"/>
      <c r="B69" s="62" t="s">
        <v>134</v>
      </c>
      <c r="C69" s="200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00"/>
      <c r="E69" s="201">
        <f>SUMPRODUCT(('Input Data'!B3:B24="L06")*'Input Data'!F3:F24)</f>
        <v>1095.4000000000001</v>
      </c>
      <c r="F69" s="201"/>
      <c r="G69" s="184">
        <f ca="1">SUMPRODUCT(('Input Data'!B3:B24="L06")*('Input Data'!AD3:AD24&gt;TODAY())*('Input Data'!AE3:AE24&gt;0)*'Input Data'!Q3:Q24)</f>
        <v>307681.48800000001</v>
      </c>
      <c r="H69" s="184"/>
      <c r="I69" s="202"/>
      <c r="J69" s="202"/>
      <c r="K69" s="87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03"/>
      <c r="M69" s="203"/>
      <c r="N69" s="101"/>
    </row>
    <row r="70" spans="1:14" ht="19.5" customHeight="1" x14ac:dyDescent="0.35">
      <c r="A70" s="1"/>
      <c r="B70" s="62" t="s">
        <v>113</v>
      </c>
      <c r="C70" s="20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00"/>
      <c r="E70" s="201">
        <f>SUMPRODUCT(('Input Data'!B3:B24="L05")*'Input Data'!F3:F24)</f>
        <v>1080.4000000000001</v>
      </c>
      <c r="F70" s="201"/>
      <c r="G70" s="184">
        <f ca="1">SUMPRODUCT(('Input Data'!B3:B24="L05")*('Input Data'!AD3:AD24&gt;TODAY())*('Input Data'!AE3:AE24&gt;0)*'Input Data'!Q3:Q24)</f>
        <v>958919.05300000007</v>
      </c>
      <c r="H70" s="184"/>
      <c r="I70" s="202"/>
      <c r="J70" s="202"/>
      <c r="K70" s="87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03"/>
      <c r="M70" s="203"/>
      <c r="N70" s="1"/>
    </row>
    <row r="71" spans="1:14" ht="19.5" customHeight="1" x14ac:dyDescent="0.35">
      <c r="A71" s="101"/>
      <c r="B71" s="62" t="s">
        <v>108</v>
      </c>
      <c r="C71" s="200" t="str">
        <f ca="1">IFERROR(MID(IF(('Input Data'!AD5&gt;TODAY())*('Input Data'!AE5&gt;0),", "&amp;'Input Data'!AF5&amp;" ("&amp;'Input Data'!C5&amp;")",""),3,999),"—")</f>
        <v>Fitness First (L4) (4.01)</v>
      </c>
      <c r="D71" s="200"/>
      <c r="E71" s="201">
        <f>SUMPRODUCT(('Input Data'!B3:B24="L04")*'Input Data'!F3:F24)</f>
        <v>1047</v>
      </c>
      <c r="F71" s="201"/>
      <c r="G71" s="184">
        <f ca="1">SUMPRODUCT(('Input Data'!B3:B24="L04")*('Input Data'!AD3:AD24&gt;TODAY())*('Input Data'!AE3:AE24&gt;0)*'Input Data'!Q3:Q24)</f>
        <v>906078.3</v>
      </c>
      <c r="H71" s="184"/>
      <c r="I71" s="202"/>
      <c r="J71" s="202"/>
      <c r="K71" s="87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03"/>
      <c r="M71" s="203"/>
      <c r="N71" s="101"/>
    </row>
    <row r="72" spans="1:14" ht="19.5" customHeight="1" x14ac:dyDescent="0.35">
      <c r="A72" s="1"/>
      <c r="B72" s="62" t="s">
        <v>91</v>
      </c>
      <c r="C72" s="20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00"/>
      <c r="E72" s="201">
        <f>SUMPRODUCT(('Input Data'!B3:B24="L03")*'Input Data'!F3:F24)</f>
        <v>903.2</v>
      </c>
      <c r="F72" s="201"/>
      <c r="G72" s="184">
        <f ca="1">SUMPRODUCT(('Input Data'!B3:B24="L03")*('Input Data'!AD3:AD24&gt;TODAY())*('Input Data'!AE3:AE24&gt;0)*'Input Data'!Q3:Q24)</f>
        <v>844228.81500000006</v>
      </c>
      <c r="H72" s="184"/>
      <c r="I72" s="202"/>
      <c r="J72" s="202"/>
      <c r="K72" s="87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03"/>
      <c r="M72" s="203"/>
      <c r="N72" s="1"/>
    </row>
    <row r="73" spans="1:14" ht="19.5" customHeight="1" x14ac:dyDescent="0.35">
      <c r="A73" s="101"/>
      <c r="B73" s="195" t="s">
        <v>314</v>
      </c>
      <c r="C73" s="195"/>
      <c r="D73" s="195"/>
      <c r="E73" s="196">
        <f>SUM('Input Data'!F3:F24)</f>
        <v>8922.4000000000015</v>
      </c>
      <c r="F73" s="196"/>
      <c r="G73" s="197">
        <f>SUM('Input Data'!Q3:Q24)</f>
        <v>5377867.9789999994</v>
      </c>
      <c r="H73" s="197"/>
      <c r="I73" s="198" t="s">
        <v>315</v>
      </c>
      <c r="J73" s="198"/>
      <c r="K73" s="198"/>
      <c r="L73" s="198"/>
      <c r="M73" s="198"/>
      <c r="N73" s="101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1"/>
      <c r="B75" s="199" t="s">
        <v>316</v>
      </c>
      <c r="C75" s="199"/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01"/>
    </row>
    <row r="76" spans="1:14" ht="27.75" customHeight="1" x14ac:dyDescent="0.35">
      <c r="A76" s="6"/>
      <c r="B76" s="192"/>
      <c r="C76" s="192"/>
      <c r="D76" s="192"/>
      <c r="E76" s="102" t="s">
        <v>317</v>
      </c>
      <c r="F76" s="192" t="s">
        <v>318</v>
      </c>
      <c r="G76" s="192"/>
      <c r="H76" s="192" t="s">
        <v>319</v>
      </c>
      <c r="I76" s="192"/>
      <c r="J76" s="192" t="s">
        <v>320</v>
      </c>
      <c r="K76" s="192"/>
      <c r="L76" s="192"/>
      <c r="M76" s="192"/>
      <c r="N76" s="6"/>
    </row>
    <row r="77" spans="1:14" ht="19.5" customHeight="1" x14ac:dyDescent="0.35">
      <c r="A77" s="6"/>
      <c r="B77" s="183" t="s">
        <v>321</v>
      </c>
      <c r="C77" s="183"/>
      <c r="D77" s="183"/>
      <c r="E77" s="104">
        <f>Valuations!C6</f>
        <v>0</v>
      </c>
      <c r="F77" s="184">
        <f>Valuations!D6</f>
        <v>0</v>
      </c>
      <c r="G77" s="184"/>
      <c r="H77" s="184">
        <f>Valuations!E6</f>
        <v>0</v>
      </c>
      <c r="I77" s="184"/>
      <c r="J77" s="185">
        <f>IFERROR(E77-G77,"")</f>
        <v>0</v>
      </c>
      <c r="K77" s="185"/>
      <c r="L77" s="186" t="str">
        <f>IFERROR((E77-G77)/G77,"")</f>
        <v/>
      </c>
      <c r="M77" s="186"/>
      <c r="N77" s="6"/>
    </row>
    <row r="78" spans="1:14" ht="19.5" customHeight="1" x14ac:dyDescent="0.35">
      <c r="A78" s="6"/>
      <c r="B78" s="183" t="s">
        <v>322</v>
      </c>
      <c r="C78" s="183"/>
      <c r="D78" s="183"/>
      <c r="E78" s="106">
        <f>Valuations!C7</f>
        <v>0</v>
      </c>
      <c r="F78" s="187">
        <f>Valuations!D7</f>
        <v>0</v>
      </c>
      <c r="G78" s="187"/>
      <c r="H78" s="187">
        <f>Valuations!E7</f>
        <v>0</v>
      </c>
      <c r="I78" s="187"/>
      <c r="J78" s="190" t="s">
        <v>4</v>
      </c>
      <c r="K78" s="190"/>
      <c r="L78" s="190"/>
      <c r="M78" s="190"/>
      <c r="N78" s="6"/>
    </row>
    <row r="79" spans="1:14" ht="19.5" customHeight="1" x14ac:dyDescent="0.35">
      <c r="A79" s="6"/>
      <c r="B79" s="183" t="s">
        <v>323</v>
      </c>
      <c r="C79" s="183"/>
      <c r="D79" s="183"/>
      <c r="E79" s="84">
        <f>Valuations!C8</f>
        <v>0</v>
      </c>
      <c r="F79" s="189">
        <f>Valuations!D8</f>
        <v>0</v>
      </c>
      <c r="G79" s="189"/>
      <c r="H79" s="189">
        <f>Valuations!E8</f>
        <v>0</v>
      </c>
      <c r="I79" s="189"/>
      <c r="J79" s="190" t="s">
        <v>4</v>
      </c>
      <c r="K79" s="190"/>
      <c r="L79" s="190"/>
      <c r="M79" s="190"/>
      <c r="N79" s="6"/>
    </row>
    <row r="80" spans="1:14" ht="19.5" customHeight="1" x14ac:dyDescent="0.35">
      <c r="A80" s="6"/>
      <c r="B80" s="183" t="s">
        <v>324</v>
      </c>
      <c r="C80" s="183"/>
      <c r="D80" s="183"/>
      <c r="E80" s="107">
        <f>Valuations!C10</f>
        <v>0</v>
      </c>
      <c r="F80" s="193">
        <f>Valuations!D10</f>
        <v>0</v>
      </c>
      <c r="G80" s="193"/>
      <c r="H80" s="193">
        <f>Valuations!E10</f>
        <v>0</v>
      </c>
      <c r="I80" s="193"/>
      <c r="J80" s="194">
        <f>IFERROR(E80-G80,"")</f>
        <v>0</v>
      </c>
      <c r="K80" s="194"/>
      <c r="L80" s="186" t="str">
        <f>IFERROR((E80-G80)/G80,"")</f>
        <v/>
      </c>
      <c r="M80" s="186"/>
      <c r="N80" s="6"/>
    </row>
    <row r="81" spans="1:14" ht="19.5" customHeight="1" x14ac:dyDescent="0.35">
      <c r="A81" s="6"/>
      <c r="B81" s="183" t="s">
        <v>325</v>
      </c>
      <c r="C81" s="183"/>
      <c r="D81" s="183"/>
      <c r="E81" s="107">
        <f>Valuations!C11</f>
        <v>0</v>
      </c>
      <c r="F81" s="193">
        <f>Valuations!D11</f>
        <v>0</v>
      </c>
      <c r="G81" s="193"/>
      <c r="H81" s="193">
        <f>Valuations!E11</f>
        <v>0</v>
      </c>
      <c r="I81" s="193"/>
      <c r="J81" s="194">
        <f>IFERROR(E81-G81,"")</f>
        <v>0</v>
      </c>
      <c r="K81" s="194"/>
      <c r="L81" s="186" t="str">
        <f>IFERROR((E81-G81)/G81,"")</f>
        <v/>
      </c>
      <c r="M81" s="186"/>
      <c r="N81" s="6"/>
    </row>
    <row r="82" spans="1:14" ht="19.5" customHeight="1" x14ac:dyDescent="0.35">
      <c r="A82" s="6"/>
      <c r="B82" s="183" t="s">
        <v>326</v>
      </c>
      <c r="C82" s="183"/>
      <c r="D82" s="183"/>
      <c r="E82" s="81">
        <f>Valuations!C12</f>
        <v>0</v>
      </c>
      <c r="F82" s="184">
        <f>Valuations!D12</f>
        <v>0</v>
      </c>
      <c r="G82" s="184"/>
      <c r="H82" s="184">
        <f>Valuations!E12</f>
        <v>0</v>
      </c>
      <c r="I82" s="184"/>
      <c r="J82" s="185">
        <f>IFERROR(E82-G82,"")</f>
        <v>0</v>
      </c>
      <c r="K82" s="185"/>
      <c r="L82" s="186" t="str">
        <f>IFERROR((E82-G82)/G82,"")</f>
        <v/>
      </c>
      <c r="M82" s="186"/>
      <c r="N82" s="6"/>
    </row>
    <row r="83" spans="1:14" ht="19.5" customHeight="1" x14ac:dyDescent="0.35">
      <c r="A83" s="6"/>
      <c r="B83" s="183" t="s">
        <v>327</v>
      </c>
      <c r="C83" s="183"/>
      <c r="D83" s="183"/>
      <c r="E83" s="84">
        <f>Valuations!C9</f>
        <v>0</v>
      </c>
      <c r="F83" s="189">
        <f>Valuations!D9</f>
        <v>0</v>
      </c>
      <c r="G83" s="189"/>
      <c r="H83" s="189">
        <f>Valuations!E9</f>
        <v>0</v>
      </c>
      <c r="I83" s="189"/>
      <c r="J83" s="190" t="s">
        <v>4</v>
      </c>
      <c r="K83" s="190"/>
      <c r="L83" s="190"/>
      <c r="M83" s="190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191" t="s">
        <v>328</v>
      </c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6"/>
    </row>
    <row r="86" spans="1:14" ht="27.75" customHeight="1" x14ac:dyDescent="0.35">
      <c r="A86" s="6"/>
      <c r="B86" s="192"/>
      <c r="C86" s="192"/>
      <c r="D86" s="192"/>
      <c r="E86" s="102" t="s">
        <v>329</v>
      </c>
      <c r="F86" s="192" t="s">
        <v>330</v>
      </c>
      <c r="G86" s="192"/>
      <c r="H86" s="192" t="s">
        <v>331</v>
      </c>
      <c r="I86" s="192"/>
      <c r="J86" s="192" t="s">
        <v>332</v>
      </c>
      <c r="K86" s="192"/>
      <c r="L86" s="192"/>
      <c r="M86" s="192"/>
      <c r="N86" s="6"/>
    </row>
    <row r="87" spans="1:14" ht="19.5" customHeight="1" x14ac:dyDescent="0.35">
      <c r="A87" s="6"/>
      <c r="B87" s="183" t="s">
        <v>333</v>
      </c>
      <c r="C87" s="183"/>
      <c r="D87" s="183"/>
      <c r="E87" s="84">
        <f>Valuations!C20</f>
        <v>0</v>
      </c>
      <c r="F87" s="189">
        <f>Valuations!D20</f>
        <v>0</v>
      </c>
      <c r="G87" s="189"/>
      <c r="H87" s="189">
        <f>Valuations!E20</f>
        <v>0</v>
      </c>
      <c r="I87" s="189"/>
      <c r="J87" s="188" t="s">
        <v>4</v>
      </c>
      <c r="K87" s="188"/>
      <c r="L87" s="188"/>
      <c r="M87" s="188"/>
      <c r="N87" s="6"/>
    </row>
    <row r="88" spans="1:14" ht="19.5" customHeight="1" x14ac:dyDescent="0.35">
      <c r="A88" s="6"/>
      <c r="B88" s="183" t="s">
        <v>334</v>
      </c>
      <c r="C88" s="183"/>
      <c r="D88" s="183"/>
      <c r="E88" s="104">
        <f>Valuations!C21</f>
        <v>0</v>
      </c>
      <c r="F88" s="184">
        <f>Valuations!D21</f>
        <v>0</v>
      </c>
      <c r="G88" s="184"/>
      <c r="H88" s="184">
        <f>Valuations!E21</f>
        <v>0</v>
      </c>
      <c r="I88" s="184"/>
      <c r="J88" s="185">
        <f>IFERROR(E88-G88,"")</f>
        <v>0</v>
      </c>
      <c r="K88" s="185"/>
      <c r="L88" s="186" t="str">
        <f>IFERROR((E88-G88)/G88,"")</f>
        <v/>
      </c>
      <c r="M88" s="186"/>
      <c r="N88" s="6"/>
    </row>
    <row r="89" spans="1:14" ht="19.5" customHeight="1" x14ac:dyDescent="0.35">
      <c r="A89" s="6"/>
      <c r="B89" s="183" t="s">
        <v>335</v>
      </c>
      <c r="C89" s="183"/>
      <c r="D89" s="183"/>
      <c r="E89" s="81">
        <f>Valuations!C22</f>
        <v>0</v>
      </c>
      <c r="F89" s="184">
        <f>Valuations!D22</f>
        <v>0</v>
      </c>
      <c r="G89" s="184"/>
      <c r="H89" s="184">
        <f>Valuations!E22</f>
        <v>0</v>
      </c>
      <c r="I89" s="184"/>
      <c r="J89" s="185">
        <f>IFERROR(E89-G89,"")</f>
        <v>0</v>
      </c>
      <c r="K89" s="185"/>
      <c r="L89" s="186" t="str">
        <f>IFERROR((E89-G89)/G89,"")</f>
        <v/>
      </c>
      <c r="M89" s="186"/>
      <c r="N89" s="6"/>
    </row>
    <row r="90" spans="1:14" ht="19.5" customHeight="1" x14ac:dyDescent="0.35">
      <c r="A90" s="6"/>
      <c r="B90" s="183" t="s">
        <v>336</v>
      </c>
      <c r="C90" s="183"/>
      <c r="D90" s="183"/>
      <c r="E90" s="106">
        <f>Valuations!C23</f>
        <v>0</v>
      </c>
      <c r="F90" s="187">
        <f>Valuations!D23</f>
        <v>0</v>
      </c>
      <c r="G90" s="187"/>
      <c r="H90" s="187">
        <f>Valuations!E23</f>
        <v>0</v>
      </c>
      <c r="I90" s="187"/>
      <c r="J90" s="188" t="s">
        <v>4</v>
      </c>
      <c r="K90" s="188"/>
      <c r="L90" s="188"/>
      <c r="M90" s="188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182" t="s">
        <v>337</v>
      </c>
      <c r="C92" s="182"/>
      <c r="D92" s="182"/>
      <c r="E92" s="182"/>
      <c r="F92" s="182"/>
      <c r="G92" s="182"/>
      <c r="H92" s="182"/>
      <c r="I92" s="182"/>
      <c r="J92" s="182"/>
      <c r="K92" s="182"/>
      <c r="L92" s="182"/>
      <c r="M92" s="182"/>
      <c r="N92" s="6"/>
    </row>
  </sheetData>
  <mergeCells count="252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54" t="s">
        <v>338</v>
      </c>
      <c r="B1" s="254"/>
      <c r="C1" s="254"/>
      <c r="D1" s="254"/>
      <c r="E1" s="254"/>
      <c r="F1" s="254"/>
      <c r="G1" s="254"/>
      <c r="H1" s="254"/>
    </row>
    <row r="2" spans="1:8" ht="18" customHeight="1" x14ac:dyDescent="0.35">
      <c r="A2" s="266" t="s">
        <v>339</v>
      </c>
      <c r="B2" s="266"/>
      <c r="C2" s="266"/>
      <c r="D2" s="266"/>
      <c r="E2" s="266"/>
      <c r="F2" s="266"/>
      <c r="G2" s="266"/>
      <c r="H2" s="266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199" t="s">
        <v>340</v>
      </c>
      <c r="C4" s="199"/>
      <c r="D4" s="199"/>
      <c r="E4" s="199"/>
      <c r="F4" s="199"/>
      <c r="G4" s="199"/>
      <c r="H4" s="6"/>
    </row>
    <row r="5" spans="1:8" ht="27.75" customHeight="1" x14ac:dyDescent="0.35">
      <c r="A5" s="6"/>
      <c r="B5" s="102"/>
      <c r="C5" s="102" t="s">
        <v>341</v>
      </c>
      <c r="D5" s="102" t="s">
        <v>342</v>
      </c>
      <c r="E5" s="102" t="s">
        <v>343</v>
      </c>
      <c r="F5" s="192" t="s">
        <v>85</v>
      </c>
      <c r="G5" s="192"/>
      <c r="H5" s="6"/>
    </row>
    <row r="6" spans="1:8" ht="19.5" customHeight="1" x14ac:dyDescent="0.35">
      <c r="A6" s="6"/>
      <c r="B6" s="21" t="s">
        <v>344</v>
      </c>
      <c r="C6" s="108"/>
      <c r="D6" s="108"/>
      <c r="E6" s="108"/>
      <c r="F6" s="250"/>
      <c r="G6" s="250"/>
      <c r="H6" s="6"/>
    </row>
    <row r="7" spans="1:8" ht="19.5" customHeight="1" x14ac:dyDescent="0.35">
      <c r="A7" s="6"/>
      <c r="B7" s="21" t="s">
        <v>322</v>
      </c>
      <c r="C7" s="58"/>
      <c r="D7" s="58"/>
      <c r="E7" s="58"/>
      <c r="F7" s="264"/>
      <c r="G7" s="264"/>
      <c r="H7" s="6"/>
    </row>
    <row r="8" spans="1:8" ht="19.5" customHeight="1" x14ac:dyDescent="0.35">
      <c r="A8" s="6"/>
      <c r="B8" s="21" t="s">
        <v>323</v>
      </c>
      <c r="C8" s="109"/>
      <c r="D8" s="109"/>
      <c r="E8" s="109"/>
      <c r="F8" s="250"/>
      <c r="G8" s="250"/>
      <c r="H8" s="6"/>
    </row>
    <row r="9" spans="1:8" ht="19.5" customHeight="1" x14ac:dyDescent="0.35">
      <c r="A9" s="6"/>
      <c r="B9" s="21" t="s">
        <v>327</v>
      </c>
      <c r="C9" s="110"/>
      <c r="D9" s="110"/>
      <c r="E9" s="110"/>
      <c r="F9" s="264"/>
      <c r="G9" s="264"/>
      <c r="H9" s="6"/>
    </row>
    <row r="10" spans="1:8" ht="19.5" customHeight="1" x14ac:dyDescent="0.35">
      <c r="A10" s="6"/>
      <c r="B10" s="21" t="s">
        <v>345</v>
      </c>
      <c r="C10" s="111"/>
      <c r="D10" s="111"/>
      <c r="E10" s="111"/>
      <c r="F10" s="250"/>
      <c r="G10" s="250"/>
      <c r="H10" s="6"/>
    </row>
    <row r="11" spans="1:8" ht="19.5" customHeight="1" x14ac:dyDescent="0.35">
      <c r="A11" s="6"/>
      <c r="B11" s="21" t="s">
        <v>346</v>
      </c>
      <c r="C11" s="112"/>
      <c r="D11" s="112"/>
      <c r="E11" s="112"/>
      <c r="F11" s="264"/>
      <c r="G11" s="264"/>
      <c r="H11" s="6"/>
    </row>
    <row r="12" spans="1:8" ht="19.5" customHeight="1" x14ac:dyDescent="0.35">
      <c r="A12" s="6"/>
      <c r="B12" s="21" t="s">
        <v>347</v>
      </c>
      <c r="C12" s="108"/>
      <c r="D12" s="108"/>
      <c r="E12" s="108"/>
      <c r="F12" s="250"/>
      <c r="G12" s="250"/>
      <c r="H12" s="6"/>
    </row>
    <row r="13" spans="1:8" ht="19.5" customHeight="1" x14ac:dyDescent="0.35">
      <c r="A13" s="6"/>
      <c r="B13" s="21" t="s">
        <v>348</v>
      </c>
      <c r="C13" s="113"/>
      <c r="D13" s="113"/>
      <c r="E13" s="113"/>
      <c r="F13" s="264"/>
      <c r="G13" s="264"/>
      <c r="H13" s="6"/>
    </row>
    <row r="14" spans="1:8" ht="18" customHeight="1" x14ac:dyDescent="0.35">
      <c r="A14" s="6"/>
      <c r="B14" s="265" t="s">
        <v>349</v>
      </c>
      <c r="C14" s="265"/>
      <c r="D14" s="265"/>
      <c r="E14" s="265"/>
      <c r="F14" s="265"/>
      <c r="G14" s="265"/>
      <c r="H14" s="6"/>
    </row>
    <row r="15" spans="1:8" ht="19.5" customHeight="1" x14ac:dyDescent="0.35">
      <c r="A15" s="6"/>
      <c r="B15" s="21" t="s">
        <v>350</v>
      </c>
      <c r="C15" s="185">
        <f>IFERROR(C6-D6,"")</f>
        <v>0</v>
      </c>
      <c r="D15" s="185"/>
      <c r="E15" s="105" t="str">
        <f>IFERROR((C6-D6)/D6,"")</f>
        <v/>
      </c>
      <c r="F15" s="263"/>
      <c r="G15" s="263"/>
      <c r="H15" s="6"/>
    </row>
    <row r="16" spans="1:8" ht="19.5" customHeight="1" x14ac:dyDescent="0.35">
      <c r="A16" s="6"/>
      <c r="B16" s="33" t="s">
        <v>351</v>
      </c>
      <c r="C16" s="185">
        <f>IFERROR(D6-E6,"")</f>
        <v>0</v>
      </c>
      <c r="D16" s="185"/>
      <c r="E16" s="105" t="str">
        <f>IFERROR((D6-E6)/E6,"")</f>
        <v/>
      </c>
      <c r="F16" s="263"/>
      <c r="G16" s="263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199" t="s">
        <v>352</v>
      </c>
      <c r="C18" s="199"/>
      <c r="D18" s="199"/>
      <c r="E18" s="199"/>
      <c r="F18" s="199"/>
      <c r="G18" s="199"/>
      <c r="H18" s="6"/>
    </row>
    <row r="19" spans="1:8" ht="27.75" customHeight="1" x14ac:dyDescent="0.35">
      <c r="A19" s="6"/>
      <c r="B19" s="102"/>
      <c r="C19" s="102" t="s">
        <v>353</v>
      </c>
      <c r="D19" s="102" t="s">
        <v>330</v>
      </c>
      <c r="E19" s="102" t="s">
        <v>331</v>
      </c>
      <c r="F19" s="192" t="s">
        <v>85</v>
      </c>
      <c r="G19" s="192"/>
      <c r="H19" s="6"/>
    </row>
    <row r="20" spans="1:8" ht="19.5" customHeight="1" x14ac:dyDescent="0.35">
      <c r="A20" s="6"/>
      <c r="B20" s="21" t="s">
        <v>333</v>
      </c>
      <c r="C20" s="109"/>
      <c r="D20" s="109"/>
      <c r="E20" s="109"/>
      <c r="F20" s="250"/>
      <c r="G20" s="250"/>
      <c r="H20" s="6"/>
    </row>
    <row r="21" spans="1:8" ht="19.5" customHeight="1" x14ac:dyDescent="0.35">
      <c r="A21" s="6"/>
      <c r="B21" s="21" t="s">
        <v>334</v>
      </c>
      <c r="C21" s="113"/>
      <c r="D21" s="113"/>
      <c r="E21" s="113"/>
      <c r="F21" s="264"/>
      <c r="G21" s="264"/>
      <c r="H21" s="6"/>
    </row>
    <row r="22" spans="1:8" ht="19.5" customHeight="1" x14ac:dyDescent="0.35">
      <c r="A22" s="6"/>
      <c r="B22" s="21" t="s">
        <v>335</v>
      </c>
      <c r="C22" s="108"/>
      <c r="D22" s="108"/>
      <c r="E22" s="108"/>
      <c r="F22" s="250"/>
      <c r="G22" s="250"/>
      <c r="H22" s="6"/>
    </row>
    <row r="23" spans="1:8" ht="19.5" customHeight="1" x14ac:dyDescent="0.35">
      <c r="A23" s="6"/>
      <c r="B23" s="21" t="s">
        <v>336</v>
      </c>
      <c r="C23" s="58"/>
      <c r="D23" s="58"/>
      <c r="E23" s="58"/>
      <c r="F23" s="264"/>
      <c r="G23" s="264"/>
      <c r="H23" s="6"/>
    </row>
    <row r="24" spans="1:8" ht="19.5" customHeight="1" x14ac:dyDescent="0.35">
      <c r="A24" s="6"/>
      <c r="B24" s="21" t="s">
        <v>354</v>
      </c>
      <c r="C24" s="108"/>
      <c r="D24" s="108"/>
      <c r="E24" s="108"/>
      <c r="F24" s="250"/>
      <c r="G24" s="250"/>
      <c r="H24" s="6"/>
    </row>
    <row r="25" spans="1:8" ht="19.5" customHeight="1" x14ac:dyDescent="0.35">
      <c r="A25" s="6"/>
      <c r="B25" s="21" t="s">
        <v>355</v>
      </c>
      <c r="C25" s="116"/>
      <c r="D25" s="116"/>
      <c r="E25" s="116"/>
      <c r="F25" s="264"/>
      <c r="G25" s="264"/>
      <c r="H25" s="6"/>
    </row>
    <row r="26" spans="1:8" ht="19.5" customHeight="1" x14ac:dyDescent="0.35">
      <c r="A26" s="6"/>
      <c r="B26" s="21" t="s">
        <v>356</v>
      </c>
      <c r="C26" s="59"/>
      <c r="D26" s="59"/>
      <c r="E26" s="59"/>
      <c r="F26" s="250"/>
      <c r="G26" s="250"/>
      <c r="H26" s="6"/>
    </row>
    <row r="27" spans="1:8" ht="19.5" customHeight="1" x14ac:dyDescent="0.35">
      <c r="A27" s="6"/>
      <c r="B27" s="21" t="s">
        <v>357</v>
      </c>
      <c r="C27" s="110"/>
      <c r="D27" s="110"/>
      <c r="E27" s="110"/>
      <c r="F27" s="264"/>
      <c r="G27" s="264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65" t="s">
        <v>358</v>
      </c>
      <c r="C29" s="265"/>
      <c r="D29" s="265"/>
      <c r="E29" s="265"/>
      <c r="F29" s="265"/>
      <c r="G29" s="265"/>
      <c r="H29" s="6"/>
    </row>
    <row r="30" spans="1:8" ht="19.5" customHeight="1" x14ac:dyDescent="0.35">
      <c r="A30" s="6"/>
      <c r="B30" s="21" t="s">
        <v>359</v>
      </c>
      <c r="C30" s="185">
        <f>IFERROR(C21-D21,"")</f>
        <v>0</v>
      </c>
      <c r="D30" s="185"/>
      <c r="E30" s="105" t="str">
        <f>IFERROR((C21-D21)/D21,"")</f>
        <v/>
      </c>
      <c r="F30" s="263"/>
      <c r="G30" s="263"/>
      <c r="H30" s="6"/>
    </row>
    <row r="31" spans="1:8" ht="19.5" customHeight="1" x14ac:dyDescent="0.35">
      <c r="A31" s="6"/>
      <c r="B31" s="117" t="s">
        <v>360</v>
      </c>
      <c r="C31" s="185">
        <f>IFERROR(D21-E21,"")</f>
        <v>0</v>
      </c>
      <c r="D31" s="185"/>
      <c r="E31" s="105" t="str">
        <f>IFERROR((D21-E21)/E21,"")</f>
        <v/>
      </c>
      <c r="F31" s="263"/>
      <c r="G31" s="263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199" t="s">
        <v>361</v>
      </c>
      <c r="C33" s="199"/>
      <c r="D33" s="199"/>
      <c r="E33" s="199"/>
      <c r="F33" s="199"/>
      <c r="G33" s="199"/>
      <c r="H33" s="6"/>
    </row>
    <row r="34" spans="1:8" ht="24" customHeight="1" x14ac:dyDescent="0.35">
      <c r="A34" s="6"/>
      <c r="B34" s="192" t="s">
        <v>362</v>
      </c>
      <c r="C34" s="192"/>
      <c r="D34" s="192" t="s">
        <v>363</v>
      </c>
      <c r="E34" s="192"/>
      <c r="F34" s="192"/>
      <c r="G34" s="102" t="s">
        <v>364</v>
      </c>
      <c r="H34" s="6"/>
    </row>
    <row r="35" spans="1:8" ht="19.5" customHeight="1" x14ac:dyDescent="0.35">
      <c r="A35" s="6"/>
      <c r="B35" s="183" t="s">
        <v>365</v>
      </c>
      <c r="C35" s="183"/>
      <c r="D35" s="258"/>
      <c r="E35" s="258"/>
      <c r="F35" s="258"/>
      <c r="G35" s="110"/>
      <c r="H35" s="6"/>
    </row>
    <row r="36" spans="1:8" ht="19.5" customHeight="1" x14ac:dyDescent="0.35">
      <c r="A36" s="6"/>
      <c r="B36" s="183" t="s">
        <v>366</v>
      </c>
      <c r="C36" s="183"/>
      <c r="D36" s="261"/>
      <c r="E36" s="261"/>
      <c r="F36" s="261"/>
      <c r="G36" s="108"/>
      <c r="H36" s="6"/>
    </row>
    <row r="37" spans="1:8" ht="19.5" customHeight="1" x14ac:dyDescent="0.35">
      <c r="A37" s="6"/>
      <c r="B37" s="183" t="s">
        <v>367</v>
      </c>
      <c r="C37" s="183"/>
      <c r="D37" s="262"/>
      <c r="E37" s="262"/>
      <c r="F37" s="262"/>
      <c r="G37" s="58"/>
      <c r="H37" s="6"/>
    </row>
    <row r="38" spans="1:8" ht="19.5" customHeight="1" x14ac:dyDescent="0.35">
      <c r="A38" s="6"/>
      <c r="B38" s="183" t="s">
        <v>368</v>
      </c>
      <c r="C38" s="183"/>
      <c r="D38" s="259"/>
      <c r="E38" s="259"/>
      <c r="F38" s="259"/>
      <c r="G38" s="118"/>
      <c r="H38" s="6"/>
    </row>
    <row r="39" spans="1:8" ht="19.5" customHeight="1" x14ac:dyDescent="0.35">
      <c r="A39" s="6"/>
      <c r="B39" s="183" t="s">
        <v>369</v>
      </c>
      <c r="C39" s="183"/>
      <c r="D39" s="258"/>
      <c r="E39" s="258"/>
      <c r="F39" s="258"/>
      <c r="G39" s="110"/>
      <c r="H39" s="6"/>
    </row>
    <row r="40" spans="1:8" ht="19.5" customHeight="1" x14ac:dyDescent="0.35">
      <c r="A40" s="6"/>
      <c r="B40" s="183" t="s">
        <v>370</v>
      </c>
      <c r="C40" s="183"/>
      <c r="D40" s="260"/>
      <c r="E40" s="260"/>
      <c r="F40" s="260"/>
      <c r="G40" s="59"/>
      <c r="H40" s="6"/>
    </row>
    <row r="41" spans="1:8" ht="19.5" customHeight="1" x14ac:dyDescent="0.35">
      <c r="A41" s="6"/>
      <c r="B41" s="183" t="s">
        <v>371</v>
      </c>
      <c r="C41" s="183"/>
      <c r="D41" s="186" t="str">
        <f>IFERROR(D36/Valuations!C6,"")</f>
        <v/>
      </c>
      <c r="E41" s="186"/>
      <c r="F41" s="186"/>
      <c r="G41" s="119"/>
      <c r="H41" s="6"/>
    </row>
    <row r="42" spans="1:8" ht="19.5" customHeight="1" x14ac:dyDescent="0.35">
      <c r="A42" s="6"/>
      <c r="B42" s="183" t="s">
        <v>372</v>
      </c>
      <c r="C42" s="183"/>
      <c r="D42" s="257"/>
      <c r="E42" s="257"/>
      <c r="F42" s="257"/>
      <c r="G42" s="120"/>
      <c r="H42" s="6"/>
    </row>
    <row r="43" spans="1:8" ht="19.5" customHeight="1" x14ac:dyDescent="0.35">
      <c r="A43" s="6"/>
      <c r="B43" s="183" t="s">
        <v>373</v>
      </c>
      <c r="C43" s="183"/>
      <c r="D43" s="258"/>
      <c r="E43" s="258"/>
      <c r="F43" s="258"/>
      <c r="G43" s="110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56" t="s">
        <v>374</v>
      </c>
      <c r="C45" s="256"/>
      <c r="D45" s="256"/>
      <c r="E45" s="256"/>
      <c r="F45" s="256"/>
      <c r="G45" s="256"/>
      <c r="H45" s="6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7" t="s">
        <v>375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</row>
    <row r="2" spans="1:13" ht="15.75" customHeight="1" x14ac:dyDescent="0.35">
      <c r="A2" s="268" t="s">
        <v>376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13" ht="36" customHeight="1" x14ac:dyDescent="0.35">
      <c r="A3" s="6"/>
      <c r="B3" s="102" t="s">
        <v>267</v>
      </c>
      <c r="C3" s="102" t="s">
        <v>377</v>
      </c>
      <c r="D3" s="102" t="s">
        <v>378</v>
      </c>
      <c r="E3" s="102" t="s">
        <v>379</v>
      </c>
      <c r="F3" s="102" t="s">
        <v>380</v>
      </c>
      <c r="G3" s="102" t="s">
        <v>272</v>
      </c>
      <c r="H3" s="102" t="s">
        <v>273</v>
      </c>
      <c r="I3" s="102" t="s">
        <v>381</v>
      </c>
      <c r="J3" s="102" t="s">
        <v>382</v>
      </c>
      <c r="K3" s="102" t="s">
        <v>383</v>
      </c>
      <c r="L3" s="102" t="s">
        <v>384</v>
      </c>
      <c r="M3" s="102" t="s">
        <v>383</v>
      </c>
    </row>
    <row r="4" spans="1:13" ht="18" customHeight="1" x14ac:dyDescent="0.35">
      <c r="A4" s="6"/>
      <c r="B4" s="121" t="s">
        <v>92</v>
      </c>
      <c r="C4" s="122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3">
        <f>IFERROR(INDEX('Input Data'!J:J,MATCH(B4,'Input Data'!$C:$C,0)),"")</f>
        <v>1342.25</v>
      </c>
      <c r="F4" s="124">
        <v>950</v>
      </c>
      <c r="G4" s="123">
        <f t="shared" ref="G4:G25" si="0">IFERROR(E4-F4,"")</f>
        <v>392.25</v>
      </c>
      <c r="H4" s="125">
        <f t="shared" ref="H4:H25" si="1">IFERROR((E4-F4)/F4,"")</f>
        <v>0.41289473684210526</v>
      </c>
      <c r="I4" s="126" t="s">
        <v>385</v>
      </c>
      <c r="J4" s="126" t="s">
        <v>386</v>
      </c>
      <c r="K4" s="126" t="s">
        <v>387</v>
      </c>
      <c r="L4" s="126" t="s">
        <v>388</v>
      </c>
      <c r="M4" s="126" t="s">
        <v>389</v>
      </c>
    </row>
    <row r="5" spans="1:13" ht="18" customHeight="1" x14ac:dyDescent="0.35">
      <c r="A5" s="6"/>
      <c r="B5" s="127" t="s">
        <v>101</v>
      </c>
      <c r="C5" s="128">
        <f>IFERROR(INDEX('Input Data'!F:F,MATCH(B5,'Input Data'!$C:$C,0)),"")</f>
        <v>795.5</v>
      </c>
      <c r="D5" s="117" t="str">
        <f>IFERROR(INDEX('Input Data'!D:D,MATCH(B5,'Input Data'!$C:$C,0)),"")</f>
        <v>Fitness First Australia Pty Limited</v>
      </c>
      <c r="E5" s="129">
        <f>IFERROR(INDEX('Input Data'!J:J,MATCH(B5,'Input Data'!$C:$C,0)),"")</f>
        <v>855.7</v>
      </c>
      <c r="F5" s="130">
        <v>870</v>
      </c>
      <c r="G5" s="129">
        <f t="shared" si="0"/>
        <v>-14.299999999999955</v>
      </c>
      <c r="H5" s="131">
        <f t="shared" si="1"/>
        <v>-1.6436781609195351E-2</v>
      </c>
      <c r="I5" s="132" t="s">
        <v>385</v>
      </c>
      <c r="J5" s="132" t="s">
        <v>386</v>
      </c>
      <c r="K5" s="132" t="s">
        <v>387</v>
      </c>
      <c r="L5" s="132" t="s">
        <v>388</v>
      </c>
      <c r="M5" s="132" t="s">
        <v>389</v>
      </c>
    </row>
    <row r="6" spans="1:13" ht="18" customHeight="1" x14ac:dyDescent="0.35">
      <c r="A6" s="6"/>
      <c r="B6" s="121" t="s">
        <v>109</v>
      </c>
      <c r="C6" s="122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3">
        <f>IFERROR(INDEX('Input Data'!J:J,MATCH(B6,'Input Data'!$C:$C,0)),"")</f>
        <v>855.7</v>
      </c>
      <c r="F6" s="124">
        <v>870</v>
      </c>
      <c r="G6" s="123">
        <f t="shared" si="0"/>
        <v>-14.299999999999955</v>
      </c>
      <c r="H6" s="125">
        <f t="shared" si="1"/>
        <v>-1.6436781609195351E-2</v>
      </c>
      <c r="I6" s="126" t="s">
        <v>385</v>
      </c>
      <c r="J6" s="126" t="s">
        <v>386</v>
      </c>
      <c r="K6" s="126" t="s">
        <v>387</v>
      </c>
      <c r="L6" s="126" t="s">
        <v>388</v>
      </c>
      <c r="M6" s="126" t="s">
        <v>389</v>
      </c>
    </row>
    <row r="7" spans="1:13" ht="18" customHeight="1" x14ac:dyDescent="0.35">
      <c r="A7" s="6"/>
      <c r="B7" s="127" t="s">
        <v>114</v>
      </c>
      <c r="C7" s="128">
        <f>IFERROR(INDEX('Input Data'!F:F,MATCH(B7,'Input Data'!$C:$C,0)),"")</f>
        <v>437.1</v>
      </c>
      <c r="D7" s="117" t="str">
        <f>IFERROR(INDEX('Input Data'!D:D,MATCH(B7,'Input Data'!$C:$C,0)),"")</f>
        <v>Fitness First Australia Pty Limited</v>
      </c>
      <c r="E7" s="129">
        <f>IFERROR(INDEX('Input Data'!J:J,MATCH(B7,'Input Data'!$C:$C,0)),"")</f>
        <v>855.7</v>
      </c>
      <c r="F7" s="130">
        <v>870</v>
      </c>
      <c r="G7" s="129">
        <f t="shared" si="0"/>
        <v>-14.299999999999955</v>
      </c>
      <c r="H7" s="131">
        <f t="shared" si="1"/>
        <v>-1.6436781609195351E-2</v>
      </c>
      <c r="I7" s="132" t="s">
        <v>385</v>
      </c>
      <c r="J7" s="132" t="s">
        <v>386</v>
      </c>
      <c r="K7" s="132" t="s">
        <v>387</v>
      </c>
      <c r="L7" s="132" t="s">
        <v>388</v>
      </c>
      <c r="M7" s="132" t="s">
        <v>389</v>
      </c>
    </row>
    <row r="8" spans="1:13" ht="18" customHeight="1" x14ac:dyDescent="0.35">
      <c r="A8" s="6"/>
      <c r="B8" s="121" t="s">
        <v>119</v>
      </c>
      <c r="C8" s="122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3">
        <f>IFERROR(INDEX('Input Data'!J:J,MATCH(B8,'Input Data'!$C:$C,0)),"")</f>
        <v>877.01</v>
      </c>
      <c r="F8" s="124">
        <v>1005</v>
      </c>
      <c r="G8" s="123">
        <f t="shared" si="0"/>
        <v>-127.99000000000001</v>
      </c>
      <c r="H8" s="125">
        <f t="shared" si="1"/>
        <v>-0.12735323383084579</v>
      </c>
      <c r="I8" s="126" t="s">
        <v>385</v>
      </c>
      <c r="J8" s="126" t="s">
        <v>386</v>
      </c>
      <c r="K8" s="126" t="s">
        <v>387</v>
      </c>
      <c r="L8" s="126" t="s">
        <v>388</v>
      </c>
      <c r="M8" s="126" t="s">
        <v>389</v>
      </c>
    </row>
    <row r="9" spans="1:13" ht="18" customHeight="1" x14ac:dyDescent="0.35">
      <c r="A9" s="6"/>
      <c r="B9" s="127" t="s">
        <v>128</v>
      </c>
      <c r="C9" s="128">
        <f>IFERROR(INDEX('Input Data'!F:F,MATCH(B9,'Input Data'!$C:$C,0)),"")</f>
        <v>413.5</v>
      </c>
      <c r="D9" s="117" t="str">
        <f>IFERROR(INDEX('Input Data'!D:D,MATCH(B9,'Input Data'!$C:$C,0)),"")</f>
        <v>Auctionsplus Pty Ltd</v>
      </c>
      <c r="E9" s="129">
        <f>IFERROR(INDEX('Input Data'!J:J,MATCH(B9,'Input Data'!$C:$C,0)),"")</f>
        <v>1005.89</v>
      </c>
      <c r="F9" s="130">
        <v>1000</v>
      </c>
      <c r="G9" s="129">
        <f t="shared" si="0"/>
        <v>5.8899999999999864</v>
      </c>
      <c r="H9" s="131">
        <f t="shared" si="1"/>
        <v>5.8899999999999864E-3</v>
      </c>
      <c r="I9" s="132" t="s">
        <v>385</v>
      </c>
      <c r="J9" s="132" t="s">
        <v>386</v>
      </c>
      <c r="K9" s="132" t="s">
        <v>387</v>
      </c>
      <c r="L9" s="132" t="s">
        <v>388</v>
      </c>
      <c r="M9" s="132" t="s">
        <v>389</v>
      </c>
    </row>
    <row r="10" spans="1:13" ht="18" customHeight="1" x14ac:dyDescent="0.35">
      <c r="A10" s="6"/>
      <c r="B10" s="121" t="s">
        <v>206</v>
      </c>
      <c r="C10" s="122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3">
        <f>IFERROR(INDEX('Input Data'!J:J,MATCH(B10,'Input Data'!$C:$C,0)),"")</f>
        <v>920</v>
      </c>
      <c r="F10" s="124">
        <v>1010</v>
      </c>
      <c r="G10" s="123">
        <f t="shared" si="0"/>
        <v>-90</v>
      </c>
      <c r="H10" s="125">
        <f t="shared" si="1"/>
        <v>-8.9108910891089105E-2</v>
      </c>
      <c r="I10" s="126" t="s">
        <v>385</v>
      </c>
      <c r="J10" s="126" t="s">
        <v>386</v>
      </c>
      <c r="K10" s="126" t="s">
        <v>387</v>
      </c>
      <c r="L10" s="126" t="s">
        <v>388</v>
      </c>
      <c r="M10" s="126" t="s">
        <v>389</v>
      </c>
    </row>
    <row r="11" spans="1:13" ht="18" customHeight="1" x14ac:dyDescent="0.35">
      <c r="A11" s="6"/>
      <c r="B11" s="127" t="s">
        <v>135</v>
      </c>
      <c r="C11" s="128">
        <f>IFERROR(INDEX('Input Data'!F:F,MATCH(B11,'Input Data'!$C:$C,0)),"")</f>
        <v>451.7</v>
      </c>
      <c r="D11" s="117" t="str">
        <f>IFERROR(INDEX('Input Data'!D:D,MATCH(B11,'Input Data'!$C:$C,0)),"")</f>
        <v>Sungrow Australia Group</v>
      </c>
      <c r="E11" s="129">
        <f>IFERROR(INDEX('Input Data'!J:J,MATCH(B11,'Input Data'!$C:$C,0)),"")</f>
        <v>954.5</v>
      </c>
      <c r="F11" s="130">
        <v>1005</v>
      </c>
      <c r="G11" s="129">
        <f t="shared" si="0"/>
        <v>-50.5</v>
      </c>
      <c r="H11" s="131">
        <f t="shared" si="1"/>
        <v>-5.0248756218905476E-2</v>
      </c>
      <c r="I11" s="132" t="s">
        <v>385</v>
      </c>
      <c r="J11" s="132" t="s">
        <v>386</v>
      </c>
      <c r="K11" s="132" t="s">
        <v>387</v>
      </c>
      <c r="L11" s="132" t="s">
        <v>388</v>
      </c>
      <c r="M11" s="132" t="s">
        <v>389</v>
      </c>
    </row>
    <row r="12" spans="1:13" ht="18" customHeight="1" x14ac:dyDescent="0.35">
      <c r="A12" s="6"/>
      <c r="B12" s="121" t="s">
        <v>143</v>
      </c>
      <c r="C12" s="122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3">
        <f>IFERROR(INDEX('Input Data'!J:J,MATCH(B12,'Input Data'!$C:$C,0)),"")</f>
        <v>1020.02</v>
      </c>
      <c r="F12" s="124">
        <v>1010</v>
      </c>
      <c r="G12" s="123">
        <f t="shared" si="0"/>
        <v>10.019999999999982</v>
      </c>
      <c r="H12" s="125">
        <f t="shared" si="1"/>
        <v>9.9207920792079036E-3</v>
      </c>
      <c r="I12" s="126" t="s">
        <v>385</v>
      </c>
      <c r="J12" s="126" t="s">
        <v>386</v>
      </c>
      <c r="K12" s="126" t="s">
        <v>387</v>
      </c>
      <c r="L12" s="126" t="s">
        <v>388</v>
      </c>
      <c r="M12" s="126" t="s">
        <v>389</v>
      </c>
    </row>
    <row r="13" spans="1:13" ht="18" customHeight="1" x14ac:dyDescent="0.35">
      <c r="A13" s="6"/>
      <c r="B13" s="127" t="s">
        <v>149</v>
      </c>
      <c r="C13" s="128">
        <f>IFERROR(INDEX('Input Data'!F:F,MATCH(B13,'Input Data'!$C:$C,0)),"")</f>
        <v>267.89999999999998</v>
      </c>
      <c r="D13" s="117" t="str">
        <f>IFERROR(INDEX('Input Data'!D:D,MATCH(B13,'Input Data'!$C:$C,0)),"")</f>
        <v>Elekta Pty Limited</v>
      </c>
      <c r="E13" s="129">
        <f>IFERROR(INDEX('Input Data'!J:J,MATCH(B13,'Input Data'!$C:$C,0)),"")</f>
        <v>920</v>
      </c>
      <c r="F13" s="130">
        <v>1005</v>
      </c>
      <c r="G13" s="129">
        <f t="shared" si="0"/>
        <v>-85</v>
      </c>
      <c r="H13" s="131">
        <f t="shared" si="1"/>
        <v>-8.45771144278607E-2</v>
      </c>
      <c r="I13" s="132" t="s">
        <v>385</v>
      </c>
      <c r="J13" s="132" t="s">
        <v>386</v>
      </c>
      <c r="K13" s="132" t="s">
        <v>387</v>
      </c>
      <c r="L13" s="132" t="s">
        <v>388</v>
      </c>
      <c r="M13" s="132" t="s">
        <v>389</v>
      </c>
    </row>
    <row r="14" spans="1:13" ht="18" customHeight="1" x14ac:dyDescent="0.35">
      <c r="A14" s="6"/>
      <c r="B14" s="121" t="s">
        <v>157</v>
      </c>
      <c r="C14" s="122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3">
        <f>IFERROR(INDEX('Input Data'!J:J,MATCH(B14,'Input Data'!$C:$C,0)),"")</f>
        <v>1049.77</v>
      </c>
      <c r="F14" s="124">
        <v>1015</v>
      </c>
      <c r="G14" s="123">
        <f t="shared" si="0"/>
        <v>34.769999999999982</v>
      </c>
      <c r="H14" s="125">
        <f t="shared" si="1"/>
        <v>3.4256157635467965E-2</v>
      </c>
      <c r="I14" s="126" t="s">
        <v>385</v>
      </c>
      <c r="J14" s="126" t="s">
        <v>386</v>
      </c>
      <c r="K14" s="126" t="s">
        <v>387</v>
      </c>
      <c r="L14" s="126" t="s">
        <v>388</v>
      </c>
      <c r="M14" s="126" t="s">
        <v>389</v>
      </c>
    </row>
    <row r="15" spans="1:13" ht="18" customHeight="1" x14ac:dyDescent="0.35">
      <c r="A15" s="6"/>
      <c r="B15" s="127" t="s">
        <v>162</v>
      </c>
      <c r="C15" s="128">
        <f>IFERROR(INDEX('Input Data'!F:F,MATCH(B15,'Input Data'!$C:$C,0)),"")</f>
        <v>365.5</v>
      </c>
      <c r="D15" s="117" t="str">
        <f>IFERROR(INDEX('Input Data'!D:D,MATCH(B15,'Input Data'!$C:$C,0)),"")</f>
        <v>Sungrow Australia Group</v>
      </c>
      <c r="E15" s="129">
        <f>IFERROR(INDEX('Input Data'!J:J,MATCH(B15,'Input Data'!$C:$C,0)),"")</f>
        <v>0</v>
      </c>
      <c r="F15" s="130">
        <v>1015</v>
      </c>
      <c r="G15" s="129">
        <f t="shared" si="0"/>
        <v>-1015</v>
      </c>
      <c r="H15" s="131">
        <f t="shared" si="1"/>
        <v>-1</v>
      </c>
      <c r="I15" s="132" t="s">
        <v>385</v>
      </c>
      <c r="J15" s="132" t="s">
        <v>386</v>
      </c>
      <c r="K15" s="132" t="s">
        <v>387</v>
      </c>
      <c r="L15" s="132" t="s">
        <v>388</v>
      </c>
      <c r="M15" s="132" t="s">
        <v>389</v>
      </c>
    </row>
    <row r="16" spans="1:13" ht="18" customHeight="1" x14ac:dyDescent="0.35">
      <c r="A16" s="6"/>
      <c r="B16" s="121" t="s">
        <v>169</v>
      </c>
      <c r="C16" s="122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3">
        <f>IFERROR(INDEX('Input Data'!J:J,MATCH(B16,'Input Data'!$C:$C,0)),"")</f>
        <v>989.66</v>
      </c>
      <c r="F16" s="124">
        <v>1015</v>
      </c>
      <c r="G16" s="123">
        <f t="shared" si="0"/>
        <v>-25.340000000000032</v>
      </c>
      <c r="H16" s="125">
        <f t="shared" si="1"/>
        <v>-2.4965517241379343E-2</v>
      </c>
      <c r="I16" s="126" t="s">
        <v>385</v>
      </c>
      <c r="J16" s="126" t="s">
        <v>386</v>
      </c>
      <c r="K16" s="126" t="s">
        <v>387</v>
      </c>
      <c r="L16" s="126" t="s">
        <v>388</v>
      </c>
      <c r="M16" s="126" t="s">
        <v>389</v>
      </c>
    </row>
    <row r="17" spans="1:13" ht="18" customHeight="1" x14ac:dyDescent="0.35">
      <c r="A17" s="6"/>
      <c r="B17" s="127" t="s">
        <v>175</v>
      </c>
      <c r="C17" s="128">
        <f>IFERROR(INDEX('Input Data'!F:F,MATCH(B17,'Input Data'!$C:$C,0)),"")</f>
        <v>116.3</v>
      </c>
      <c r="D17" s="117" t="str">
        <f>IFERROR(INDEX('Input Data'!D:D,MATCH(B17,'Input Data'!$C:$C,0)),"")</f>
        <v>Can Too Foundation Limited</v>
      </c>
      <c r="E17" s="129">
        <f>IFERROR(INDEX('Input Data'!J:J,MATCH(B17,'Input Data'!$C:$C,0)),"")</f>
        <v>990</v>
      </c>
      <c r="F17" s="130">
        <v>1020</v>
      </c>
      <c r="G17" s="129">
        <f t="shared" si="0"/>
        <v>-30</v>
      </c>
      <c r="H17" s="131">
        <f t="shared" si="1"/>
        <v>-2.9411764705882353E-2</v>
      </c>
      <c r="I17" s="132" t="s">
        <v>385</v>
      </c>
      <c r="J17" s="132" t="s">
        <v>386</v>
      </c>
      <c r="K17" s="132" t="s">
        <v>387</v>
      </c>
      <c r="L17" s="132" t="s">
        <v>388</v>
      </c>
      <c r="M17" s="132" t="s">
        <v>389</v>
      </c>
    </row>
    <row r="18" spans="1:13" ht="18" customHeight="1" x14ac:dyDescent="0.35">
      <c r="A18" s="6"/>
      <c r="B18" s="121" t="s">
        <v>182</v>
      </c>
      <c r="C18" s="122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3">
        <f>IFERROR(INDEX('Input Data'!J:J,MATCH(B18,'Input Data'!$C:$C,0)),"")</f>
        <v>1027.43</v>
      </c>
      <c r="F18" s="124">
        <v>1030</v>
      </c>
      <c r="G18" s="123">
        <f t="shared" si="0"/>
        <v>-2.5699999999999363</v>
      </c>
      <c r="H18" s="125">
        <f t="shared" si="1"/>
        <v>-2.4951456310678992E-3</v>
      </c>
      <c r="I18" s="126" t="s">
        <v>385</v>
      </c>
      <c r="J18" s="126" t="s">
        <v>386</v>
      </c>
      <c r="K18" s="126" t="s">
        <v>387</v>
      </c>
      <c r="L18" s="126" t="s">
        <v>388</v>
      </c>
      <c r="M18" s="126" t="s">
        <v>389</v>
      </c>
    </row>
    <row r="19" spans="1:13" ht="18" customHeight="1" x14ac:dyDescent="0.35">
      <c r="A19" s="6"/>
      <c r="B19" s="127" t="s">
        <v>194</v>
      </c>
      <c r="C19" s="128">
        <f>IFERROR(INDEX('Input Data'!F:F,MATCH(B19,'Input Data'!$C:$C,0)),"")</f>
        <v>251</v>
      </c>
      <c r="D19" s="117" t="str">
        <f>IFERROR(INDEX('Input Data'!D:D,MATCH(B19,'Input Data'!$C:$C,0)),"")</f>
        <v>Smile Partners Australia</v>
      </c>
      <c r="E19" s="129">
        <f>IFERROR(INDEX('Input Data'!J:J,MATCH(B19,'Input Data'!$C:$C,0)),"")</f>
        <v>985</v>
      </c>
      <c r="F19" s="130">
        <v>1030</v>
      </c>
      <c r="G19" s="129">
        <f t="shared" si="0"/>
        <v>-45</v>
      </c>
      <c r="H19" s="131">
        <f t="shared" si="1"/>
        <v>-4.3689320388349516E-2</v>
      </c>
      <c r="I19" s="132" t="s">
        <v>385</v>
      </c>
      <c r="J19" s="132" t="s">
        <v>386</v>
      </c>
      <c r="K19" s="132" t="s">
        <v>387</v>
      </c>
      <c r="L19" s="132" t="s">
        <v>388</v>
      </c>
      <c r="M19" s="132" t="s">
        <v>389</v>
      </c>
    </row>
    <row r="20" spans="1:13" ht="18" customHeight="1" x14ac:dyDescent="0.35">
      <c r="A20" s="6"/>
      <c r="B20" s="133">
        <v>10.01</v>
      </c>
      <c r="C20" s="134">
        <v>349</v>
      </c>
      <c r="D20" s="33" t="str">
        <f>IFERROR(INDEX('Input Data'!D:D,MATCH(B20,'Input Data'!$C:$C,0)),"")</f>
        <v/>
      </c>
      <c r="E20" s="135" t="str">
        <f>IFERROR(INDEX('Input Data'!J:J,MATCH(B20,'Input Data'!$C:$C,0)),"")</f>
        <v/>
      </c>
      <c r="F20" s="124">
        <v>1040</v>
      </c>
      <c r="G20" s="135" t="str">
        <f t="shared" si="0"/>
        <v/>
      </c>
      <c r="H20" s="136" t="str">
        <f t="shared" si="1"/>
        <v/>
      </c>
      <c r="I20" s="126" t="s">
        <v>385</v>
      </c>
      <c r="J20" s="126" t="s">
        <v>386</v>
      </c>
      <c r="K20" s="126" t="s">
        <v>387</v>
      </c>
      <c r="L20" s="126" t="s">
        <v>388</v>
      </c>
      <c r="M20" s="126" t="s">
        <v>389</v>
      </c>
    </row>
    <row r="21" spans="1:13" ht="18" customHeight="1" x14ac:dyDescent="0.35">
      <c r="A21" s="6"/>
      <c r="B21" s="127">
        <v>10.02</v>
      </c>
      <c r="C21" s="128">
        <v>438</v>
      </c>
      <c r="D21" s="117" t="str">
        <f>IFERROR(INDEX('Input Data'!D:D,MATCH(B21,'Input Data'!$C:$C,0)),"")</f>
        <v/>
      </c>
      <c r="E21" s="129" t="str">
        <f>IFERROR(INDEX('Input Data'!J:J,MATCH(B21,'Input Data'!$C:$C,0)),"")</f>
        <v/>
      </c>
      <c r="F21" s="130">
        <v>1040</v>
      </c>
      <c r="G21" s="129" t="str">
        <f t="shared" si="0"/>
        <v/>
      </c>
      <c r="H21" s="131" t="str">
        <f t="shared" si="1"/>
        <v/>
      </c>
      <c r="I21" s="132" t="s">
        <v>385</v>
      </c>
      <c r="J21" s="132" t="s">
        <v>386</v>
      </c>
      <c r="K21" s="132" t="s">
        <v>387</v>
      </c>
      <c r="L21" s="132" t="s">
        <v>388</v>
      </c>
      <c r="M21" s="132" t="s">
        <v>389</v>
      </c>
    </row>
    <row r="22" spans="1:13" ht="18" customHeight="1" x14ac:dyDescent="0.35">
      <c r="A22" s="6"/>
      <c r="B22" s="133">
        <v>11.01</v>
      </c>
      <c r="C22" s="134">
        <v>236</v>
      </c>
      <c r="D22" s="33" t="str">
        <f>IFERROR(INDEX('Input Data'!D:D,MATCH(B22,'Input Data'!$C:$C,0)),"")</f>
        <v/>
      </c>
      <c r="E22" s="135" t="str">
        <f>IFERROR(INDEX('Input Data'!J:J,MATCH(B22,'Input Data'!$C:$C,0)),"")</f>
        <v/>
      </c>
      <c r="F22" s="124">
        <v>1045</v>
      </c>
      <c r="G22" s="135" t="str">
        <f t="shared" si="0"/>
        <v/>
      </c>
      <c r="H22" s="136" t="str">
        <f t="shared" si="1"/>
        <v/>
      </c>
      <c r="I22" s="126" t="s">
        <v>385</v>
      </c>
      <c r="J22" s="126" t="s">
        <v>386</v>
      </c>
      <c r="K22" s="126" t="s">
        <v>387</v>
      </c>
      <c r="L22" s="126" t="s">
        <v>388</v>
      </c>
      <c r="M22" s="126" t="s">
        <v>389</v>
      </c>
    </row>
    <row r="23" spans="1:13" ht="18" customHeight="1" x14ac:dyDescent="0.35">
      <c r="A23" s="6"/>
      <c r="B23" s="127">
        <v>11.02</v>
      </c>
      <c r="C23" s="128">
        <v>536</v>
      </c>
      <c r="D23" s="117" t="str">
        <f>IFERROR(INDEX('Input Data'!D:D,MATCH(B23,'Input Data'!$C:$C,0)),"")</f>
        <v/>
      </c>
      <c r="E23" s="129" t="str">
        <f>IFERROR(INDEX('Input Data'!J:J,MATCH(B23,'Input Data'!$C:$C,0)),"")</f>
        <v/>
      </c>
      <c r="F23" s="130">
        <v>1040</v>
      </c>
      <c r="G23" s="129" t="str">
        <f t="shared" si="0"/>
        <v/>
      </c>
      <c r="H23" s="131" t="str">
        <f t="shared" si="1"/>
        <v/>
      </c>
      <c r="I23" s="132" t="s">
        <v>385</v>
      </c>
      <c r="J23" s="132" t="s">
        <v>386</v>
      </c>
      <c r="K23" s="132" t="s">
        <v>387</v>
      </c>
      <c r="L23" s="132" t="s">
        <v>388</v>
      </c>
      <c r="M23" s="132" t="s">
        <v>389</v>
      </c>
    </row>
    <row r="24" spans="1:13" ht="18" customHeight="1" x14ac:dyDescent="0.35">
      <c r="A24" s="6"/>
      <c r="B24" s="121" t="s">
        <v>189</v>
      </c>
      <c r="C24" s="122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3">
        <f>IFERROR(INDEX('Input Data'!J:J,MATCH(B24,'Input Data'!$C:$C,0)),"")</f>
        <v>990.29</v>
      </c>
      <c r="F24" s="124">
        <v>1045</v>
      </c>
      <c r="G24" s="123">
        <f t="shared" si="0"/>
        <v>-54.710000000000036</v>
      </c>
      <c r="H24" s="125">
        <f t="shared" si="1"/>
        <v>-5.2354066985645965E-2</v>
      </c>
      <c r="I24" s="126">
        <v>0.24</v>
      </c>
      <c r="J24" s="126">
        <v>0.27</v>
      </c>
      <c r="K24" s="126">
        <v>0.3</v>
      </c>
      <c r="L24" s="126">
        <v>0.22</v>
      </c>
      <c r="M24" s="126">
        <v>0.27</v>
      </c>
    </row>
    <row r="25" spans="1:13" ht="18" customHeight="1" x14ac:dyDescent="0.35">
      <c r="A25" s="6"/>
      <c r="B25" s="127" t="s">
        <v>199</v>
      </c>
      <c r="C25" s="128">
        <f>IFERROR(INDEX('Input Data'!F:F,MATCH(B25,'Input Data'!$C:$C,0)),"")</f>
        <v>536</v>
      </c>
      <c r="D25" s="117" t="str">
        <f>IFERROR(INDEX('Input Data'!D:D,MATCH(B25,'Input Data'!$C:$C,0)),"")</f>
        <v>Aei Insurance Group Pty Ltd</v>
      </c>
      <c r="E25" s="129">
        <f>IFERROR(INDEX('Input Data'!J:J,MATCH(B25,'Input Data'!$C:$C,0)),"")</f>
        <v>988</v>
      </c>
      <c r="F25" s="130">
        <v>1050</v>
      </c>
      <c r="G25" s="129">
        <f t="shared" si="0"/>
        <v>-62</v>
      </c>
      <c r="H25" s="131">
        <f t="shared" si="1"/>
        <v>-5.904761904761905E-2</v>
      </c>
      <c r="I25" s="132">
        <v>0.24</v>
      </c>
      <c r="J25" s="132">
        <v>0.27</v>
      </c>
      <c r="K25" s="132">
        <v>0.3</v>
      </c>
      <c r="L25" s="132">
        <v>0.22</v>
      </c>
      <c r="M25" s="132">
        <v>0.27</v>
      </c>
    </row>
    <row r="26" spans="1:13" ht="19.5" customHeight="1" x14ac:dyDescent="0.35">
      <c r="A26" s="6"/>
      <c r="B26" s="114" t="s">
        <v>390</v>
      </c>
      <c r="C26" s="69"/>
      <c r="D26" s="69"/>
      <c r="E26" s="137">
        <f>IFERROR(SUMPRODUCT(C4:C25,E4:E25)/SUM(C4:C25),"")</f>
        <v>744.37415930691293</v>
      </c>
      <c r="F26" s="138">
        <f>IFERROR(SUMPRODUCT(C4:C25,F4:F25)/SUM(C4:C25),"")</f>
        <v>984.20985385098163</v>
      </c>
      <c r="G26" s="69"/>
      <c r="H26" s="69"/>
      <c r="I26" s="69"/>
      <c r="J26" s="69"/>
      <c r="K26" s="69"/>
      <c r="L26" s="69"/>
      <c r="M26" s="69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182" t="s">
        <v>391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7" t="s">
        <v>392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21" t="s">
        <v>396</v>
      </c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49" t="s">
        <v>397</v>
      </c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</row>
    <row r="7" spans="1:14" ht="15.75" customHeight="1" x14ac:dyDescent="0.35">
      <c r="A7" s="6"/>
      <c r="B7" s="89" t="str">
        <f>'Input Data'!B14</f>
        <v>L08</v>
      </c>
      <c r="C7" s="139" t="str">
        <f>IFERROR('Input Data'!D14&amp;" ("&amp;'Input Data'!C14&amp;")","—")</f>
        <v>Vanderlande Industries Australia Pty Ltd (8.01)</v>
      </c>
      <c r="D7" s="91">
        <f>'Input Data'!F14</f>
        <v>686.7</v>
      </c>
      <c r="E7" s="140">
        <f>IFERROR('Input Data'!G14,"")</f>
        <v>43282</v>
      </c>
      <c r="F7" s="140">
        <f>IFERROR('Input Data'!H14,"")</f>
        <v>46934</v>
      </c>
      <c r="G7" s="141">
        <f>'Input Data'!I14</f>
        <v>10</v>
      </c>
      <c r="H7" s="142">
        <f ca="1">'Input Data'!V14</f>
        <v>2.001368925393566</v>
      </c>
      <c r="I7" s="92">
        <f>'Input Data'!J14</f>
        <v>989.66</v>
      </c>
      <c r="J7" s="92">
        <f>'Input Data'!Q14</f>
        <v>536202.82200000004</v>
      </c>
      <c r="K7" s="89">
        <f>IFERROR(YEAR('Input Data'!H14),"VACANT")</f>
        <v>2028</v>
      </c>
      <c r="L7" s="89">
        <f>'Input Data'!R14</f>
        <v>0</v>
      </c>
      <c r="M7" s="90" t="str">
        <f>'Input Data'!S14</f>
        <v>FIXED 4%</v>
      </c>
      <c r="N7" s="92">
        <f>'Input Data'!Y14</f>
        <v>-0.34000000000003183</v>
      </c>
    </row>
    <row r="8" spans="1:14" ht="15.75" customHeight="1" x14ac:dyDescent="0.35">
      <c r="A8" s="6"/>
      <c r="B8" s="89" t="str">
        <f>'Input Data'!B3</f>
        <v>L03</v>
      </c>
      <c r="C8" s="139" t="str">
        <f>IFERROR('Input Data'!D3&amp;" ("&amp;'Input Data'!C3&amp;")","—")</f>
        <v>Sydney Smiletree Pty Ltd (3.01)</v>
      </c>
      <c r="D8" s="91">
        <f>'Input Data'!F3</f>
        <v>107.7</v>
      </c>
      <c r="E8" s="140">
        <f>IFERROR('Input Data'!G3,"")</f>
        <v>44013</v>
      </c>
      <c r="F8" s="140">
        <f>IFERROR('Input Data'!H3,"")</f>
        <v>47118</v>
      </c>
      <c r="G8" s="141">
        <f>'Input Data'!I3</f>
        <v>8.5</v>
      </c>
      <c r="H8" s="142">
        <f ca="1">'Input Data'!V3</f>
        <v>2.5051334702258727</v>
      </c>
      <c r="I8" s="92">
        <f>'Input Data'!J3</f>
        <v>1342.25</v>
      </c>
      <c r="J8" s="92">
        <f>'Input Data'!Q3</f>
        <v>163519.465</v>
      </c>
      <c r="K8" s="89">
        <f>IFERROR(YEAR('Input Data'!H3),"VACANT")</f>
        <v>2028</v>
      </c>
      <c r="L8" s="89">
        <f>'Input Data'!R3</f>
        <v>1</v>
      </c>
      <c r="M8" s="90" t="str">
        <f>'Input Data'!S3</f>
        <v>FIXED 4%</v>
      </c>
      <c r="N8" s="92">
        <f>'Input Data'!Y3</f>
        <v>392.25</v>
      </c>
    </row>
    <row r="9" spans="1:14" ht="18" customHeight="1" x14ac:dyDescent="0.35">
      <c r="A9" s="6"/>
      <c r="B9" s="221" t="s">
        <v>398</v>
      </c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49" t="s">
        <v>399</v>
      </c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49" t="s">
        <v>400</v>
      </c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3" t="str">
        <f>'Input Data'!B24</f>
        <v>L11</v>
      </c>
      <c r="C25" s="143" t="str">
        <f>IFERROR('Input Data'!D24&amp;" ("&amp;'Input Data'!C24&amp;")","—")</f>
        <v>Haskoning Australia Pty Ltd (11.02)</v>
      </c>
      <c r="D25" s="143">
        <f>'Input Data'!F24</f>
        <v>536</v>
      </c>
      <c r="E25" s="144">
        <f>IFERROR('Input Data'!G24,"")</f>
        <v>46296</v>
      </c>
      <c r="F25" s="144">
        <f>IFERROR('Input Data'!H24,"")</f>
        <v>49582</v>
      </c>
      <c r="G25" s="143">
        <f>'Input Data'!I24</f>
        <v>6</v>
      </c>
      <c r="H25" s="143">
        <f ca="1">'Input Data'!V24</f>
        <v>9.2511978097193701</v>
      </c>
      <c r="I25" s="143">
        <f>'Input Data'!J24</f>
        <v>1040</v>
      </c>
      <c r="J25" s="143">
        <f>'Input Data'!Q24</f>
        <v>-113632</v>
      </c>
      <c r="K25" s="143">
        <f>IFERROR(YEAR('Input Data'!H24),"VACANT")</f>
        <v>2035</v>
      </c>
      <c r="L25" s="143">
        <f>'Input Data'!R24</f>
        <v>0</v>
      </c>
      <c r="M25" s="143" t="str">
        <f>'Input Data'!S24</f>
        <v>FIXED 3.5%</v>
      </c>
      <c r="N25" s="143">
        <f>'Input Data'!Y24</f>
        <v>0</v>
      </c>
    </row>
    <row r="26" spans="1:14" ht="15.75" customHeight="1" x14ac:dyDescent="0.35">
      <c r="A26" s="6"/>
      <c r="B26" s="145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70"/>
      <c r="F27" s="70"/>
      <c r="G27" s="70"/>
      <c r="H27" s="70"/>
      <c r="I27" s="70"/>
      <c r="J27" s="70"/>
      <c r="K27" s="49" t="s">
        <v>212</v>
      </c>
      <c r="L27" s="70"/>
      <c r="M27" s="70"/>
      <c r="N27" s="53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70"/>
      <c r="F28" s="70"/>
      <c r="G28" s="70"/>
      <c r="H28" s="70"/>
      <c r="I28" s="70"/>
      <c r="J28" s="70"/>
      <c r="K28" s="49" t="s">
        <v>212</v>
      </c>
      <c r="L28" s="70"/>
      <c r="M28" s="70"/>
      <c r="N28" s="53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70"/>
      <c r="F29" s="70"/>
      <c r="G29" s="70"/>
      <c r="H29" s="70"/>
      <c r="I29" s="70"/>
      <c r="J29" s="70"/>
      <c r="K29" s="49" t="s">
        <v>212</v>
      </c>
      <c r="L29" s="70"/>
      <c r="M29" s="70"/>
      <c r="N29" s="53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70"/>
      <c r="F30" s="70"/>
      <c r="G30" s="70"/>
      <c r="H30" s="70"/>
      <c r="I30" s="70"/>
      <c r="J30" s="70"/>
      <c r="K30" s="49" t="s">
        <v>212</v>
      </c>
      <c r="L30" s="70"/>
      <c r="M30" s="70"/>
      <c r="N30" s="53">
        <f>'Input Data'!X23</f>
        <v>0</v>
      </c>
    </row>
    <row r="31" spans="1:14" ht="19.5" customHeight="1" x14ac:dyDescent="0.35">
      <c r="A31" s="6"/>
      <c r="B31" s="269"/>
      <c r="C31" s="269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2" t="s">
        <v>402</v>
      </c>
      <c r="C32" s="6"/>
      <c r="D32" s="103">
        <f>SUM('Input Data'!F3:F24)</f>
        <v>8922.4000000000015</v>
      </c>
      <c r="E32" s="69"/>
      <c r="F32" s="69"/>
      <c r="G32" s="69"/>
      <c r="H32" s="69"/>
      <c r="I32" s="146">
        <f>SUMPRODUCT(('Input Data'!H3:H24&lt;&gt;"")*'Input Data'!J3:J24*'Input Data'!F3:F24)/SUMPRODUCT(('Input Data'!H3:H24&lt;&gt;"")*'Input Data'!F3:F24)</f>
        <v>911.34060802086242</v>
      </c>
      <c r="J32" s="64">
        <f>SUM('Input Data'!Q3:Q24)</f>
        <v>5377867.9789999994</v>
      </c>
      <c r="K32" s="69"/>
      <c r="L32" s="69"/>
      <c r="M32" s="69"/>
      <c r="N32" s="69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7" t="s">
        <v>403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21" t="s">
        <v>396</v>
      </c>
      <c r="B3" s="221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49" t="s">
        <v>397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/>
      <c r="V6" s="249"/>
      <c r="W6" s="249"/>
      <c r="X6" s="249"/>
    </row>
    <row r="7" spans="1:24" ht="15.75" customHeight="1" x14ac:dyDescent="0.35">
      <c r="A7" s="89" t="str">
        <f>'Input Data'!B14</f>
        <v>L08</v>
      </c>
      <c r="B7" s="89" t="str">
        <f>'Input Data'!C14</f>
        <v>8.01</v>
      </c>
      <c r="C7" s="139" t="str">
        <f>'Input Data'!D14</f>
        <v>Vanderlande Industries Australia Pty Ltd</v>
      </c>
      <c r="D7" s="139" t="str">
        <f>'Input Data'!E14</f>
        <v>Vanderlande Industries Australia Pty Ltd</v>
      </c>
      <c r="E7" s="91">
        <f>'Input Data'!F14</f>
        <v>686.7</v>
      </c>
      <c r="F7" s="140">
        <f>'Input Data'!G14</f>
        <v>43282</v>
      </c>
      <c r="G7" s="140">
        <f>'Input Data'!H14</f>
        <v>46934</v>
      </c>
      <c r="H7" s="141">
        <f>'Input Data'!I14</f>
        <v>10</v>
      </c>
      <c r="I7" s="142">
        <f ca="1">'Input Data'!V14</f>
        <v>2.001368925393566</v>
      </c>
      <c r="J7" s="92">
        <f>'Input Data'!J14</f>
        <v>989.66</v>
      </c>
      <c r="K7" s="92">
        <f>'Input Data'!X14</f>
        <v>990</v>
      </c>
      <c r="L7" s="92">
        <f>'Input Data'!Q14</f>
        <v>536202.82200000004</v>
      </c>
      <c r="M7" s="92">
        <f>'Input Data'!L14</f>
        <v>-219915.68</v>
      </c>
      <c r="N7" s="92">
        <f>'Input Data'!M14</f>
        <v>66218.48</v>
      </c>
      <c r="O7" s="92">
        <f>'Input Data'!N14</f>
        <v>10300.5</v>
      </c>
      <c r="P7" s="92">
        <f>'Input Data'!O14+'Input Data'!P14</f>
        <v>0</v>
      </c>
      <c r="Q7" s="89">
        <f>'Input Data'!R14</f>
        <v>0</v>
      </c>
      <c r="R7" s="90" t="str">
        <f>'Input Data'!S14</f>
        <v>FIXED 4%</v>
      </c>
      <c r="S7" s="140">
        <f>IFERROR('Input Data'!T14,"")</f>
        <v>46204</v>
      </c>
      <c r="T7" s="90" t="str">
        <f>'Input Data'!U14</f>
        <v>Semi-Gross</v>
      </c>
      <c r="U7" s="92">
        <f>'Input Data'!Y14</f>
        <v>-0.34000000000003183</v>
      </c>
      <c r="V7" s="93">
        <f>'Input Data'!Z14</f>
        <v>-3.434343434343756E-4</v>
      </c>
      <c r="W7" s="91">
        <f ca="1">'Input Data'!W14</f>
        <v>1374.3400410677618</v>
      </c>
      <c r="X7" s="90" t="str">
        <f>'Input Data'!AB14</f>
        <v>Base year FY2015 7.57%. BG: $288,500. Make good: full open plan. Cleaning $15 psm.</v>
      </c>
    </row>
    <row r="8" spans="1:24" ht="15.75" customHeight="1" x14ac:dyDescent="0.35">
      <c r="A8" s="89" t="str">
        <f>'Input Data'!B3</f>
        <v>L03</v>
      </c>
      <c r="B8" s="89" t="str">
        <f>'Input Data'!C3</f>
        <v>3.01</v>
      </c>
      <c r="C8" s="139" t="str">
        <f>'Input Data'!D3</f>
        <v>Sydney Smiletree Pty Ltd</v>
      </c>
      <c r="D8" s="139" t="str">
        <f>'Input Data'!E3</f>
        <v>The Trustee for Sydney Smiletree Unit Trust</v>
      </c>
      <c r="E8" s="91">
        <f>'Input Data'!F3</f>
        <v>107.7</v>
      </c>
      <c r="F8" s="140">
        <f>'Input Data'!G3</f>
        <v>44013</v>
      </c>
      <c r="G8" s="140">
        <f>'Input Data'!H3</f>
        <v>47118</v>
      </c>
      <c r="H8" s="141">
        <f>'Input Data'!I3</f>
        <v>8.5</v>
      </c>
      <c r="I8" s="142">
        <f ca="1">'Input Data'!V3</f>
        <v>2.5051334702258727</v>
      </c>
      <c r="J8" s="92">
        <f>'Input Data'!J3</f>
        <v>1342.25</v>
      </c>
      <c r="K8" s="92">
        <f>'Input Data'!X3</f>
        <v>950</v>
      </c>
      <c r="L8" s="92">
        <f>'Input Data'!Q3</f>
        <v>163519.465</v>
      </c>
      <c r="M8" s="92">
        <f>'Input Data'!L3</f>
        <v>0</v>
      </c>
      <c r="N8" s="92">
        <f>'Input Data'!M3</f>
        <v>7243.9</v>
      </c>
      <c r="O8" s="92">
        <f>'Input Data'!N3</f>
        <v>0</v>
      </c>
      <c r="P8" s="92">
        <f>'Input Data'!O3+'Input Data'!P3</f>
        <v>11715.24</v>
      </c>
      <c r="Q8" s="89">
        <f>'Input Data'!R3</f>
        <v>1</v>
      </c>
      <c r="R8" s="90" t="str">
        <f>'Input Data'!S3</f>
        <v>FIXED 4%</v>
      </c>
      <c r="S8" s="140">
        <f>IFERROR('Input Data'!T3,"")</f>
        <v>46204</v>
      </c>
      <c r="T8" s="90" t="str">
        <f>'Input Data'!U3</f>
        <v>Net</v>
      </c>
      <c r="U8" s="92">
        <f>'Input Data'!Y3</f>
        <v>392.25</v>
      </c>
      <c r="V8" s="93">
        <f>'Input Data'!Z3</f>
        <v>0.41289473684210526</v>
      </c>
      <c r="W8" s="91">
        <f ca="1">'Input Data'!W3</f>
        <v>269.80287474332653</v>
      </c>
      <c r="X8" s="90" t="str">
        <f>'Input Data'!AB3</f>
        <v>Option: 5 yrs. BG: $86,814. Car Space 16.</v>
      </c>
    </row>
    <row r="9" spans="1:24" ht="18" customHeight="1" x14ac:dyDescent="0.35">
      <c r="A9" s="221" t="s">
        <v>398</v>
      </c>
      <c r="B9" s="221"/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  <c r="Q9" s="221"/>
      <c r="R9" s="221"/>
      <c r="S9" s="221"/>
      <c r="T9" s="221"/>
      <c r="U9" s="221"/>
      <c r="V9" s="221"/>
      <c r="W9" s="221"/>
      <c r="X9" s="221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49" t="s">
        <v>399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/>
      <c r="V16" s="249"/>
      <c r="W16" s="249"/>
      <c r="X16" s="249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49" t="s">
        <v>400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/>
      <c r="V20" s="249"/>
      <c r="W20" s="249"/>
      <c r="X20" s="249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3" t="str">
        <f>'Input Data'!B24</f>
        <v>L11</v>
      </c>
      <c r="B25" s="143" t="str">
        <f>'Input Data'!C24</f>
        <v>11.02</v>
      </c>
      <c r="C25" s="143" t="str">
        <f>'Input Data'!D24</f>
        <v>Haskoning Australia Pty Ltd</v>
      </c>
      <c r="D25" s="143" t="str">
        <f>'Input Data'!E24</f>
        <v>Haskoning Australia Pty Ltd</v>
      </c>
      <c r="E25" s="143">
        <f>'Input Data'!F24</f>
        <v>536</v>
      </c>
      <c r="F25" s="144">
        <f>'Input Data'!G24</f>
        <v>46296</v>
      </c>
      <c r="G25" s="144">
        <f>'Input Data'!H24</f>
        <v>49582</v>
      </c>
      <c r="H25" s="143">
        <f>'Input Data'!I24</f>
        <v>6</v>
      </c>
      <c r="I25" s="143">
        <f ca="1">'Input Data'!V24</f>
        <v>9.2511978097193701</v>
      </c>
      <c r="J25" s="143">
        <f>'Input Data'!J24</f>
        <v>1040</v>
      </c>
      <c r="K25" s="143">
        <f>'Input Data'!X24</f>
        <v>1040</v>
      </c>
      <c r="L25" s="143">
        <f>'Input Data'!Q24</f>
        <v>-113632</v>
      </c>
      <c r="M25" s="143">
        <f>'Input Data'!L24</f>
        <v>-671072</v>
      </c>
      <c r="N25" s="143">
        <f>'Input Data'!M24</f>
        <v>0</v>
      </c>
      <c r="O25" s="143">
        <f>'Input Data'!N24</f>
        <v>0</v>
      </c>
      <c r="P25" s="143">
        <f>'Input Data'!O24+'Input Data'!P24</f>
        <v>0</v>
      </c>
      <c r="Q25" s="143">
        <f>'Input Data'!R24</f>
        <v>0</v>
      </c>
      <c r="R25" s="143" t="str">
        <f>'Input Data'!S24</f>
        <v>FIXED 3.5%</v>
      </c>
      <c r="S25" s="144">
        <f>IFERROR('Input Data'!T24,"")</f>
        <v>46661</v>
      </c>
      <c r="T25" s="143">
        <f>'Input Data'!Y24</f>
        <v>0</v>
      </c>
      <c r="U25" s="143">
        <f>'Input Data'!Z24</f>
        <v>0</v>
      </c>
      <c r="V25" s="143">
        <f ca="1">'Input Data'!W24</f>
        <v>4958.642026009582</v>
      </c>
      <c r="W25" s="143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5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147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147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147">
        <f>'Input Data'!AB22</f>
        <v>0</v>
      </c>
    </row>
    <row r="30" spans="1:24" ht="19.5" customHeight="1" x14ac:dyDescent="0.35">
      <c r="A30" s="270" t="str">
        <f>'Input Data'!B23</f>
        <v>L11</v>
      </c>
      <c r="B30" s="270"/>
      <c r="C30" s="270"/>
      <c r="D30" s="270"/>
      <c r="E30" s="51">
        <f>'Input Data'!F23</f>
        <v>236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147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2" t="s">
        <v>402</v>
      </c>
      <c r="B31" s="6"/>
      <c r="C31" s="6"/>
      <c r="D31" s="6"/>
      <c r="E31" s="63">
        <f>SUM('Input Data'!F3:F24)</f>
        <v>8922.4000000000015</v>
      </c>
      <c r="F31" s="69"/>
      <c r="G31" s="69"/>
      <c r="H31" s="69"/>
      <c r="I31" s="148">
        <f ca="1">IFERROR(SUMPRODUCT(('Input Data'!H3:H24&lt;&gt;"")*'Input Data'!F3:F24*MAX(('Input Data'!H3:H24-TODAY())/365.25,0))/SUMPRODUCT(('Input Data'!H3:H24&lt;&gt;"")*'Input Data'!F3:F24),0)</f>
        <v>9.2511978097193683</v>
      </c>
      <c r="J31" s="146">
        <f>SUMPRODUCT(('Input Data'!H3:H24&lt;&gt;"")*'Input Data'!J3:J24*'Input Data'!F3:F24)/SUMPRODUCT(('Input Data'!H3:H24&lt;&gt;"")*'Input Data'!F3:F24)</f>
        <v>911.34060802086242</v>
      </c>
      <c r="K31" s="69"/>
      <c r="L31" s="64">
        <f>SUM('Input Data'!Q3:Q24)</f>
        <v>5377867.9789999994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98" t="s">
        <v>408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</row>
    <row r="2" spans="1:30" ht="15" customHeight="1" x14ac:dyDescent="0.35">
      <c r="A2" s="268" t="s">
        <v>409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</row>
    <row r="3" spans="1:30" ht="21.75" customHeight="1" x14ac:dyDescent="0.35">
      <c r="A3" s="6"/>
      <c r="B3" s="2" t="s">
        <v>59</v>
      </c>
      <c r="C3" s="2" t="s">
        <v>410</v>
      </c>
      <c r="D3" s="207" t="s">
        <v>411</v>
      </c>
      <c r="E3" s="207"/>
      <c r="F3" s="207"/>
      <c r="G3" s="207"/>
      <c r="H3" s="207"/>
      <c r="I3" s="207"/>
      <c r="J3" s="207"/>
      <c r="K3" s="207"/>
      <c r="L3" s="207"/>
      <c r="M3" s="207"/>
      <c r="N3" s="207"/>
      <c r="O3" s="207"/>
      <c r="P3" s="207"/>
      <c r="Q3" s="207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6"/>
      <c r="AD3" s="6"/>
    </row>
    <row r="4" spans="1:30" ht="6.75" customHeight="1" x14ac:dyDescent="0.35">
      <c r="A4" s="6"/>
      <c r="B4" s="69"/>
      <c r="C4" s="69"/>
      <c r="D4" s="271"/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1"/>
      <c r="AC4" s="6"/>
      <c r="AD4" s="6"/>
    </row>
    <row r="5" spans="1:30" ht="18" customHeight="1" x14ac:dyDescent="0.35">
      <c r="A5" s="6"/>
      <c r="B5" s="275" t="s">
        <v>412</v>
      </c>
      <c r="C5" s="280">
        <v>787</v>
      </c>
      <c r="D5" s="287" t="str">
        <f>IFERROR(INDEX('Input Data'!D:D,MATCH("12.01",'Input Data'!C:C,0)),"—")</f>
        <v>Hulsbosch Design Pty Ltd</v>
      </c>
      <c r="E5" s="287"/>
      <c r="F5" s="287"/>
      <c r="G5" s="287"/>
      <c r="H5" s="287"/>
      <c r="I5" s="287"/>
      <c r="J5" s="287"/>
      <c r="K5" s="287"/>
      <c r="L5" s="292" t="str">
        <f>IFERROR(INDEX('Input Data'!D:D,MATCH("12.02",'Input Data'!C:C,0)),"—")</f>
        <v>Aei Insurance Group Pty Ltd</v>
      </c>
      <c r="M5" s="292"/>
      <c r="N5" s="292"/>
      <c r="O5" s="292"/>
      <c r="P5" s="292"/>
      <c r="Q5" s="292"/>
      <c r="R5" s="292"/>
      <c r="S5" s="292"/>
      <c r="T5" s="292"/>
      <c r="U5" s="292"/>
      <c r="V5" s="292"/>
      <c r="W5" s="292"/>
      <c r="X5" s="292"/>
      <c r="Y5" s="292"/>
      <c r="Z5" s="292"/>
      <c r="AA5" s="292"/>
      <c r="AB5" s="292"/>
      <c r="AC5" s="6"/>
      <c r="AD5" s="6"/>
    </row>
    <row r="6" spans="1:30" ht="13.5" customHeight="1" x14ac:dyDescent="0.35">
      <c r="A6" s="6"/>
      <c r="B6" s="275"/>
      <c r="C6" s="275"/>
      <c r="D6" s="288" t="str">
        <f>IFERROR("12.01 — "&amp;INDEX('Input Data'!B:B,MATCH("12.01",'Input Data'!C:C,0)),"—")</f>
        <v>12.01 — L12</v>
      </c>
      <c r="E6" s="288"/>
      <c r="F6" s="288"/>
      <c r="G6" s="288"/>
      <c r="H6" s="288"/>
      <c r="I6" s="288"/>
      <c r="J6" s="288"/>
      <c r="K6" s="288"/>
      <c r="L6" s="293" t="str">
        <f>IFERROR("12.02 — "&amp;INDEX('Input Data'!B:B,MATCH("12.02",'Input Data'!C:C,0)),"—")</f>
        <v>12.02 — L12</v>
      </c>
      <c r="M6" s="293"/>
      <c r="N6" s="293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93"/>
      <c r="Z6" s="293"/>
      <c r="AA6" s="293"/>
      <c r="AB6" s="293"/>
      <c r="AC6" s="6"/>
      <c r="AD6" s="6"/>
    </row>
    <row r="7" spans="1:30" ht="13.5" customHeight="1" x14ac:dyDescent="0.35">
      <c r="A7" s="6"/>
      <c r="B7" s="275"/>
      <c r="C7" s="275"/>
      <c r="D7" s="288" t="str">
        <f>IFERROR(TEXT(INDEX('Input Data'!F:F,MATCH("12.01",'Input Data'!C:C,0)),"#,##0.0")&amp;" sqm","—")</f>
        <v>344.5 sqm</v>
      </c>
      <c r="E7" s="288"/>
      <c r="F7" s="288"/>
      <c r="G7" s="288"/>
      <c r="H7" s="288"/>
      <c r="I7" s="288"/>
      <c r="J7" s="288"/>
      <c r="K7" s="288"/>
      <c r="L7" s="293" t="str">
        <f>IFERROR(TEXT(INDEX('Input Data'!F:F,MATCH("12.02",'Input Data'!C:C,0)),"#,##0.0")&amp;" sqm","—")</f>
        <v>536.0 sqm</v>
      </c>
      <c r="M7" s="293"/>
      <c r="N7" s="293"/>
      <c r="O7" s="293"/>
      <c r="P7" s="293"/>
      <c r="Q7" s="293"/>
      <c r="R7" s="293"/>
      <c r="S7" s="293"/>
      <c r="T7" s="293"/>
      <c r="U7" s="293"/>
      <c r="V7" s="293"/>
      <c r="W7" s="293"/>
      <c r="X7" s="293"/>
      <c r="Y7" s="293"/>
      <c r="Z7" s="293"/>
      <c r="AA7" s="293"/>
      <c r="AB7" s="293"/>
      <c r="AC7" s="6"/>
      <c r="AD7" s="6"/>
    </row>
    <row r="8" spans="1:30" ht="13.5" customHeight="1" x14ac:dyDescent="0.35">
      <c r="A8" s="6"/>
      <c r="B8" s="275"/>
      <c r="C8" s="275"/>
      <c r="D8" s="290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90"/>
      <c r="F8" s="290"/>
      <c r="G8" s="290"/>
      <c r="H8" s="290"/>
      <c r="I8" s="290"/>
      <c r="J8" s="290"/>
      <c r="K8" s="290"/>
      <c r="L8" s="294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4"/>
      <c r="AC8" s="6"/>
      <c r="AD8" s="6"/>
    </row>
    <row r="9" spans="1:30" ht="13.5" customHeight="1" x14ac:dyDescent="0.35">
      <c r="A9" s="6"/>
      <c r="B9" s="275"/>
      <c r="C9" s="275"/>
      <c r="D9" s="290" t="str">
        <f>IFERROR("Outg $"&amp;TEXT(INDEX('Input Data'!M:M,MATCH("12.01",'Input Data'!C:C,0)),"#,##0")&amp;" | Rev: "&amp;INDEX('Input Data'!S:S,MATCH("12.01",'Input Data'!C:C,0)),"—")</f>
        <v>Outg $7,772 | Rev: FIXED 3.5%</v>
      </c>
      <c r="E9" s="290"/>
      <c r="F9" s="290"/>
      <c r="G9" s="290"/>
      <c r="H9" s="290"/>
      <c r="I9" s="290"/>
      <c r="J9" s="290"/>
      <c r="K9" s="290"/>
      <c r="L9" s="294" t="str">
        <f>IFERROR("Outg $"&amp;TEXT(INDEX('Input Data'!M:M,MATCH("12.02",'Input Data'!C:C,0)),"#,##0")&amp;" | Rev: "&amp;INDEX('Input Data'!S:S,MATCH("12.02",'Input Data'!C:C,0)),"—")</f>
        <v>Outg $62,133 | Rev: FIXED 4%</v>
      </c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4"/>
      <c r="AC9" s="6"/>
      <c r="AD9" s="6"/>
    </row>
    <row r="10" spans="1:30" ht="13.5" customHeight="1" x14ac:dyDescent="0.35">
      <c r="A10" s="6"/>
      <c r="B10" s="275"/>
      <c r="C10" s="275"/>
      <c r="D10" s="288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88"/>
      <c r="F10" s="288"/>
      <c r="G10" s="288"/>
      <c r="H10" s="288"/>
      <c r="I10" s="288"/>
      <c r="J10" s="288"/>
      <c r="K10" s="288"/>
      <c r="L10" s="293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93"/>
      <c r="N10" s="293"/>
      <c r="O10" s="293"/>
      <c r="P10" s="293"/>
      <c r="Q10" s="293"/>
      <c r="R10" s="293"/>
      <c r="S10" s="293"/>
      <c r="T10" s="293"/>
      <c r="U10" s="293"/>
      <c r="V10" s="293"/>
      <c r="W10" s="293"/>
      <c r="X10" s="293"/>
      <c r="Y10" s="293"/>
      <c r="Z10" s="293"/>
      <c r="AA10" s="293"/>
      <c r="AB10" s="293"/>
      <c r="AC10" s="6"/>
      <c r="AD10" s="6"/>
    </row>
    <row r="11" spans="1:30" ht="13.5" customHeight="1" x14ac:dyDescent="0.35">
      <c r="A11" s="6"/>
      <c r="B11" s="275"/>
      <c r="C11" s="275"/>
      <c r="D11" s="288" t="str">
        <f ca="1">IFERROR(TEXT(INDEX('Input Data'!V:V,MATCH("12.01",'Input Data'!C:C,0)),"0.0")&amp;" yrs remaining","—")</f>
        <v>3.5 yrs remaining</v>
      </c>
      <c r="E11" s="288"/>
      <c r="F11" s="288"/>
      <c r="G11" s="288"/>
      <c r="H11" s="288"/>
      <c r="I11" s="288"/>
      <c r="J11" s="288"/>
      <c r="K11" s="288"/>
      <c r="L11" s="293" t="str">
        <f ca="1">IFERROR(TEXT(INDEX('Input Data'!V:V,MATCH("12.02",'Input Data'!C:C,0)),"0.0")&amp;" yrs remaining","—")</f>
        <v>4.5 yrs remaining</v>
      </c>
      <c r="M11" s="293"/>
      <c r="N11" s="293"/>
      <c r="O11" s="293"/>
      <c r="P11" s="293"/>
      <c r="Q11" s="293"/>
      <c r="R11" s="293"/>
      <c r="S11" s="293"/>
      <c r="T11" s="293"/>
      <c r="U11" s="293"/>
      <c r="V11" s="293"/>
      <c r="W11" s="293"/>
      <c r="X11" s="293"/>
      <c r="Y11" s="293"/>
      <c r="Z11" s="293"/>
      <c r="AA11" s="293"/>
      <c r="AB11" s="293"/>
      <c r="AC11" s="6"/>
      <c r="AD11" s="6"/>
    </row>
    <row r="12" spans="1:30" ht="3.75" customHeight="1" x14ac:dyDescent="0.35">
      <c r="A12" s="6"/>
      <c r="B12" s="275"/>
      <c r="C12" s="275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93"/>
      <c r="T12" s="293"/>
      <c r="U12" s="293"/>
      <c r="V12" s="293"/>
      <c r="W12" s="293"/>
      <c r="X12" s="293"/>
      <c r="Y12" s="293"/>
      <c r="Z12" s="293"/>
      <c r="AA12" s="293"/>
      <c r="AB12" s="293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5" t="s">
        <v>413</v>
      </c>
      <c r="C14" s="280">
        <v>772</v>
      </c>
      <c r="D14" s="295" t="str">
        <f>IFERROR(INDEX('Input Data'!D:D,MATCH("11.01",'Input Data'!C:C,0)),"—")</f>
        <v>VACANT</v>
      </c>
      <c r="E14" s="295"/>
      <c r="F14" s="295"/>
      <c r="G14" s="295"/>
      <c r="H14" s="295"/>
      <c r="I14" s="295"/>
      <c r="J14" s="295"/>
      <c r="K14" s="295"/>
      <c r="L14" s="282" t="str">
        <f>IFERROR(INDEX('Input Data'!D:D,MATCH("11.02",'Input Data'!C:C,0)),"—")</f>
        <v>Haskoning Australia Pty Ltd</v>
      </c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6"/>
      <c r="AD14" s="6"/>
    </row>
    <row r="15" spans="1:30" ht="13.5" customHeight="1" x14ac:dyDescent="0.35">
      <c r="A15" s="6"/>
      <c r="B15" s="275"/>
      <c r="C15" s="275"/>
      <c r="D15" s="289" t="str">
        <f>IFERROR("11.01 — "&amp;INDEX('Input Data'!B:B,MATCH("11.01",'Input Data'!C:C,0)),"—")</f>
        <v>11.01 — L11</v>
      </c>
      <c r="E15" s="289"/>
      <c r="F15" s="289"/>
      <c r="G15" s="289"/>
      <c r="H15" s="289"/>
      <c r="I15" s="289"/>
      <c r="J15" s="289"/>
      <c r="K15" s="289"/>
      <c r="L15" s="284" t="str">
        <f>IFERROR("11.02 — "&amp;INDEX('Input Data'!B:B,MATCH("11.02",'Input Data'!C:C,0)),"—")</f>
        <v>11.02 — L11</v>
      </c>
      <c r="M15" s="284"/>
      <c r="N15" s="284"/>
      <c r="O15" s="284"/>
      <c r="P15" s="284"/>
      <c r="Q15" s="284"/>
      <c r="R15" s="284"/>
      <c r="S15" s="284"/>
      <c r="T15" s="284"/>
      <c r="U15" s="284"/>
      <c r="V15" s="284"/>
      <c r="W15" s="284"/>
      <c r="X15" s="284"/>
      <c r="Y15" s="284"/>
      <c r="Z15" s="284"/>
      <c r="AA15" s="284"/>
      <c r="AB15" s="284"/>
      <c r="AC15" s="6"/>
      <c r="AD15" s="6"/>
    </row>
    <row r="16" spans="1:30" ht="13.5" customHeight="1" x14ac:dyDescent="0.35">
      <c r="A16" s="6"/>
      <c r="B16" s="275"/>
      <c r="C16" s="275"/>
      <c r="D16" s="289" t="str">
        <f>IFERROR(TEXT(INDEX('Input Data'!F:F,MATCH("11.01",'Input Data'!C:C,0)),"#,##0.0")&amp;" sqm","—")</f>
        <v>236.0 sqm</v>
      </c>
      <c r="E16" s="289"/>
      <c r="F16" s="289"/>
      <c r="G16" s="289"/>
      <c r="H16" s="289"/>
      <c r="I16" s="289"/>
      <c r="J16" s="289"/>
      <c r="K16" s="289"/>
      <c r="L16" s="284" t="str">
        <f>IFERROR(TEXT(INDEX('Input Data'!F:F,MATCH("11.02",'Input Data'!C:C,0)),"#,##0.0")&amp;" sqm","—")</f>
        <v>536.0 sqm</v>
      </c>
      <c r="M16" s="284"/>
      <c r="N16" s="284"/>
      <c r="O16" s="284"/>
      <c r="P16" s="284"/>
      <c r="Q16" s="284"/>
      <c r="R16" s="284"/>
      <c r="S16" s="284"/>
      <c r="T16" s="284"/>
      <c r="U16" s="284"/>
      <c r="V16" s="284"/>
      <c r="W16" s="284"/>
      <c r="X16" s="284"/>
      <c r="Y16" s="284"/>
      <c r="Z16" s="284"/>
      <c r="AA16" s="284"/>
      <c r="AB16" s="284"/>
      <c r="AC16" s="6"/>
      <c r="AD16" s="6"/>
    </row>
    <row r="17" spans="1:30" ht="13.5" customHeight="1" x14ac:dyDescent="0.35">
      <c r="A17" s="6"/>
      <c r="B17" s="275"/>
      <c r="C17" s="275"/>
      <c r="D17" s="296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96"/>
      <c r="F17" s="296"/>
      <c r="G17" s="296"/>
      <c r="H17" s="296"/>
      <c r="I17" s="296"/>
      <c r="J17" s="296"/>
      <c r="K17" s="296"/>
      <c r="L17" s="286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6"/>
      <c r="AD17" s="6"/>
    </row>
    <row r="18" spans="1:30" ht="13.5" customHeight="1" x14ac:dyDescent="0.35">
      <c r="A18" s="6"/>
      <c r="B18" s="275"/>
      <c r="C18" s="275"/>
      <c r="D18" s="296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96"/>
      <c r="F18" s="296"/>
      <c r="G18" s="296"/>
      <c r="H18" s="296"/>
      <c r="I18" s="296"/>
      <c r="J18" s="296"/>
      <c r="K18" s="296"/>
      <c r="L18" s="286" t="str">
        <f>IFERROR("Outg $"&amp;TEXT(INDEX('Input Data'!M:M,MATCH("11.02",'Input Data'!C:C,0)),"#,##0")&amp;" | Rev: "&amp;INDEX('Input Data'!S:S,MATCH("11.02",'Input Data'!C:C,0)),"—")</f>
        <v>Outg $0 | Rev: FIXED 3.5%</v>
      </c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6"/>
      <c r="AD18" s="6"/>
    </row>
    <row r="19" spans="1:30" ht="13.5" customHeight="1" x14ac:dyDescent="0.35">
      <c r="A19" s="6"/>
      <c r="B19" s="275"/>
      <c r="C19" s="275"/>
      <c r="D19" s="289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89"/>
      <c r="F19" s="289"/>
      <c r="G19" s="289"/>
      <c r="H19" s="289"/>
      <c r="I19" s="289"/>
      <c r="J19" s="289"/>
      <c r="K19" s="289"/>
      <c r="L19" s="284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4"/>
      <c r="N19" s="284"/>
      <c r="O19" s="284"/>
      <c r="P19" s="284"/>
      <c r="Q19" s="284"/>
      <c r="R19" s="284"/>
      <c r="S19" s="284"/>
      <c r="T19" s="284"/>
      <c r="U19" s="284"/>
      <c r="V19" s="284"/>
      <c r="W19" s="284"/>
      <c r="X19" s="284"/>
      <c r="Y19" s="284"/>
      <c r="Z19" s="284"/>
      <c r="AA19" s="284"/>
      <c r="AB19" s="284"/>
      <c r="AC19" s="6"/>
      <c r="AD19" s="6"/>
    </row>
    <row r="20" spans="1:30" ht="13.5" customHeight="1" x14ac:dyDescent="0.35">
      <c r="A20" s="6"/>
      <c r="B20" s="275"/>
      <c r="C20" s="275"/>
      <c r="D20" s="297" t="str">
        <f>IFERROR(IF(INDEX('Input Data'!D:D,MATCH("11.01",'Input Data'!C:C,0))="VACANT","",TEXT(INDEX('Input Data'!V:V,MATCH("11.01",'Input Data'!C:C,0)),"0.0")&amp;" yrs remaining"),"—")</f>
        <v/>
      </c>
      <c r="E20" s="297"/>
      <c r="F20" s="297"/>
      <c r="G20" s="297"/>
      <c r="H20" s="297"/>
      <c r="I20" s="297"/>
      <c r="J20" s="297"/>
      <c r="K20" s="297"/>
      <c r="L20" s="284" t="str">
        <f ca="1">IFERROR(TEXT(INDEX('Input Data'!V:V,MATCH("11.02",'Input Data'!C:C,0)),"0.0")&amp;" yrs remaining","—")</f>
        <v>9.3 yrs remaining</v>
      </c>
      <c r="M20" s="284"/>
      <c r="N20" s="284"/>
      <c r="O20" s="284"/>
      <c r="P20" s="284"/>
      <c r="Q20" s="284"/>
      <c r="R20" s="284"/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6"/>
      <c r="AD20" s="6"/>
    </row>
    <row r="21" spans="1:30" ht="3.75" customHeight="1" x14ac:dyDescent="0.35">
      <c r="A21" s="6"/>
      <c r="B21" s="275"/>
      <c r="C21" s="275"/>
      <c r="D21" s="289"/>
      <c r="E21" s="289"/>
      <c r="F21" s="289"/>
      <c r="G21" s="289"/>
      <c r="H21" s="289"/>
      <c r="I21" s="289"/>
      <c r="J21" s="289"/>
      <c r="K21" s="289"/>
      <c r="L21" s="289"/>
      <c r="M21" s="289"/>
      <c r="N21" s="289"/>
      <c r="O21" s="289"/>
      <c r="P21" s="289"/>
      <c r="Q21" s="289"/>
      <c r="R21" s="289"/>
      <c r="S21" s="289"/>
      <c r="T21" s="289"/>
      <c r="U21" s="289"/>
      <c r="V21" s="289"/>
      <c r="W21" s="289"/>
      <c r="X21" s="289"/>
      <c r="Y21" s="289"/>
      <c r="Z21" s="289"/>
      <c r="AA21" s="289"/>
      <c r="AB21" s="289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5" t="s">
        <v>414</v>
      </c>
      <c r="C23" s="280">
        <v>787</v>
      </c>
      <c r="D23" s="295" t="s">
        <v>212</v>
      </c>
      <c r="E23" s="295"/>
      <c r="F23" s="295"/>
      <c r="G23" s="295"/>
      <c r="H23" s="295"/>
      <c r="I23" s="295"/>
      <c r="J23" s="295"/>
      <c r="K23" s="295"/>
      <c r="L23" s="295"/>
      <c r="M23" s="295"/>
      <c r="N23" s="295"/>
      <c r="O23" s="295"/>
      <c r="P23" s="295"/>
      <c r="Q23" s="295"/>
      <c r="R23" s="295" t="s">
        <v>212</v>
      </c>
      <c r="S23" s="295"/>
      <c r="T23" s="295"/>
      <c r="U23" s="295"/>
      <c r="V23" s="295"/>
      <c r="W23" s="295"/>
      <c r="X23" s="295"/>
      <c r="Y23" s="295"/>
      <c r="Z23" s="295"/>
      <c r="AA23" s="295"/>
      <c r="AB23" s="295"/>
      <c r="AC23" s="6"/>
      <c r="AD23" s="6"/>
    </row>
    <row r="24" spans="1:30" ht="13.5" customHeight="1" x14ac:dyDescent="0.35">
      <c r="A24" s="6"/>
      <c r="B24" s="275"/>
      <c r="C24" s="275"/>
      <c r="D24" s="289" t="s">
        <v>415</v>
      </c>
      <c r="E24" s="289"/>
      <c r="F24" s="289"/>
      <c r="G24" s="289"/>
      <c r="H24" s="289"/>
      <c r="I24" s="289"/>
      <c r="J24" s="289"/>
      <c r="K24" s="289"/>
      <c r="L24" s="289"/>
      <c r="M24" s="289"/>
      <c r="N24" s="289"/>
      <c r="O24" s="289"/>
      <c r="P24" s="289"/>
      <c r="Q24" s="289"/>
      <c r="R24" s="289" t="s">
        <v>416</v>
      </c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6"/>
      <c r="AD24" s="6"/>
    </row>
    <row r="25" spans="1:30" ht="13.5" customHeight="1" x14ac:dyDescent="0.35">
      <c r="A25" s="6"/>
      <c r="B25" s="275"/>
      <c r="C25" s="275"/>
      <c r="D25" s="289"/>
      <c r="E25" s="289"/>
      <c r="F25" s="289"/>
      <c r="G25" s="289"/>
      <c r="H25" s="289"/>
      <c r="I25" s="289"/>
      <c r="J25" s="289"/>
      <c r="K25" s="289"/>
      <c r="L25" s="289"/>
      <c r="M25" s="289"/>
      <c r="N25" s="289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6"/>
      <c r="AD25" s="6"/>
    </row>
    <row r="26" spans="1:30" ht="13.5" customHeight="1" x14ac:dyDescent="0.35">
      <c r="A26" s="6"/>
      <c r="B26" s="275"/>
      <c r="C26" s="275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6"/>
      <c r="AD26" s="6"/>
    </row>
    <row r="27" spans="1:30" ht="13.5" customHeight="1" x14ac:dyDescent="0.35">
      <c r="A27" s="6"/>
      <c r="B27" s="275"/>
      <c r="C27" s="275"/>
      <c r="D27" s="296"/>
      <c r="E27" s="296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6"/>
      <c r="AD27" s="6"/>
    </row>
    <row r="28" spans="1:30" ht="13.5" customHeight="1" x14ac:dyDescent="0.35">
      <c r="A28" s="6"/>
      <c r="B28" s="275"/>
      <c r="C28" s="275"/>
      <c r="D28" s="289"/>
      <c r="E28" s="289"/>
      <c r="F28" s="289"/>
      <c r="G28" s="289"/>
      <c r="H28" s="289"/>
      <c r="I28" s="289"/>
      <c r="J28" s="289"/>
      <c r="K28" s="289"/>
      <c r="L28" s="289"/>
      <c r="M28" s="289"/>
      <c r="N28" s="289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6"/>
      <c r="AD28" s="6"/>
    </row>
    <row r="29" spans="1:30" ht="13.5" customHeight="1" x14ac:dyDescent="0.35">
      <c r="A29" s="6"/>
      <c r="B29" s="275"/>
      <c r="C29" s="275"/>
      <c r="D29" s="297" t="s">
        <v>417</v>
      </c>
      <c r="E29" s="297"/>
      <c r="F29" s="297"/>
      <c r="G29" s="297"/>
      <c r="H29" s="297"/>
      <c r="I29" s="297"/>
      <c r="J29" s="297"/>
      <c r="K29" s="297"/>
      <c r="L29" s="297"/>
      <c r="M29" s="297"/>
      <c r="N29" s="297"/>
      <c r="O29" s="297"/>
      <c r="P29" s="297"/>
      <c r="Q29" s="297"/>
      <c r="R29" s="297" t="s">
        <v>417</v>
      </c>
      <c r="S29" s="297"/>
      <c r="T29" s="297"/>
      <c r="U29" s="297"/>
      <c r="V29" s="297"/>
      <c r="W29" s="297"/>
      <c r="X29" s="297"/>
      <c r="Y29" s="297"/>
      <c r="Z29" s="297"/>
      <c r="AA29" s="297"/>
      <c r="AB29" s="297"/>
      <c r="AC29" s="6"/>
      <c r="AD29" s="6"/>
    </row>
    <row r="30" spans="1:30" ht="3.75" customHeight="1" x14ac:dyDescent="0.35">
      <c r="A30" s="6"/>
      <c r="B30" s="275"/>
      <c r="C30" s="275"/>
      <c r="D30" s="289"/>
      <c r="E30" s="289"/>
      <c r="F30" s="289"/>
      <c r="G30" s="289"/>
      <c r="H30" s="289"/>
      <c r="I30" s="289"/>
      <c r="J30" s="289"/>
      <c r="K30" s="289"/>
      <c r="L30" s="289"/>
      <c r="M30" s="289"/>
      <c r="N30" s="289"/>
      <c r="O30" s="289"/>
      <c r="P30" s="289"/>
      <c r="Q30" s="289"/>
      <c r="R30" s="289"/>
      <c r="S30" s="289"/>
      <c r="T30" s="289"/>
      <c r="U30" s="289"/>
      <c r="V30" s="289"/>
      <c r="W30" s="289"/>
      <c r="X30" s="289"/>
      <c r="Y30" s="289"/>
      <c r="Z30" s="289"/>
      <c r="AA30" s="289"/>
      <c r="AB30" s="289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5" t="s">
        <v>418</v>
      </c>
      <c r="C32" s="280">
        <v>797.8</v>
      </c>
      <c r="D32" s="291" t="str">
        <f>IFERROR(INDEX('Input Data'!D:D,MATCH("9.01",'Input Data'!C:C,0)),"—")</f>
        <v>Pitt &amp; Sherry (Operations) Pty Ltd</v>
      </c>
      <c r="E32" s="291"/>
      <c r="F32" s="291"/>
      <c r="G32" s="291"/>
      <c r="H32" s="291"/>
      <c r="I32" s="291"/>
      <c r="J32" s="291"/>
      <c r="K32" s="291"/>
      <c r="L32" s="291"/>
      <c r="M32" s="291"/>
      <c r="N32" s="291"/>
      <c r="O32" s="291"/>
      <c r="P32" s="291"/>
      <c r="Q32" s="291"/>
      <c r="R32" s="292" t="str">
        <f>IFERROR(INDEX('Input Data'!D:D,MATCH("9.02",'Input Data'!C:C,0)),"—")</f>
        <v>Smile Partners Australia</v>
      </c>
      <c r="S32" s="292"/>
      <c r="T32" s="292"/>
      <c r="U32" s="292"/>
      <c r="V32" s="292"/>
      <c r="W32" s="292"/>
      <c r="X32" s="292"/>
      <c r="Y32" s="292"/>
      <c r="Z32" s="292"/>
      <c r="AA32" s="292"/>
      <c r="AB32" s="292"/>
      <c r="AC32" s="6"/>
      <c r="AD32" s="6"/>
    </row>
    <row r="33" spans="1:30" ht="13.5" customHeight="1" x14ac:dyDescent="0.35">
      <c r="A33" s="6"/>
      <c r="B33" s="275"/>
      <c r="C33" s="275"/>
      <c r="D33" s="278" t="str">
        <f>IFERROR("9.01 — "&amp;INDEX('Input Data'!B:B,MATCH("9.01",'Input Data'!C:C,0)),"—")</f>
        <v>9.01 — L09</v>
      </c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78"/>
      <c r="R33" s="293" t="str">
        <f>IFERROR("9.02 — "&amp;INDEX('Input Data'!B:B,MATCH("9.02",'Input Data'!C:C,0)),"—")</f>
        <v>9.02 — L09</v>
      </c>
      <c r="S33" s="293"/>
      <c r="T33" s="293"/>
      <c r="U33" s="293"/>
      <c r="V33" s="293"/>
      <c r="W33" s="293"/>
      <c r="X33" s="293"/>
      <c r="Y33" s="293"/>
      <c r="Z33" s="293"/>
      <c r="AA33" s="293"/>
      <c r="AB33" s="293"/>
      <c r="AC33" s="6"/>
      <c r="AD33" s="6"/>
    </row>
    <row r="34" spans="1:30" ht="13.5" customHeight="1" x14ac:dyDescent="0.35">
      <c r="A34" s="6"/>
      <c r="B34" s="275"/>
      <c r="C34" s="275"/>
      <c r="D34" s="278" t="str">
        <f>IFERROR(TEXT(INDEX('Input Data'!F:F,MATCH("9.01",'Input Data'!C:C,0)),"#,##0.0")&amp;" sqm","—")</f>
        <v>453.3 sqm</v>
      </c>
      <c r="E34" s="278"/>
      <c r="F34" s="278"/>
      <c r="G34" s="278"/>
      <c r="H34" s="278"/>
      <c r="I34" s="278"/>
      <c r="J34" s="278"/>
      <c r="K34" s="278"/>
      <c r="L34" s="278"/>
      <c r="M34" s="278"/>
      <c r="N34" s="278"/>
      <c r="O34" s="278"/>
      <c r="P34" s="278"/>
      <c r="Q34" s="278"/>
      <c r="R34" s="293" t="str">
        <f>IFERROR(TEXT(INDEX('Input Data'!F:F,MATCH("9.02",'Input Data'!C:C,0)),"#,##0.0")&amp;" sqm","—")</f>
        <v>251.0 sqm</v>
      </c>
      <c r="S34" s="293"/>
      <c r="T34" s="293"/>
      <c r="U34" s="293"/>
      <c r="V34" s="293"/>
      <c r="W34" s="293"/>
      <c r="X34" s="293"/>
      <c r="Y34" s="293"/>
      <c r="Z34" s="293"/>
      <c r="AA34" s="293"/>
      <c r="AB34" s="293"/>
      <c r="AC34" s="6"/>
      <c r="AD34" s="6"/>
    </row>
    <row r="35" spans="1:30" ht="13.5" customHeight="1" x14ac:dyDescent="0.35">
      <c r="A35" s="6"/>
      <c r="B35" s="275"/>
      <c r="C35" s="275"/>
      <c r="D35" s="279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79"/>
      <c r="F35" s="279"/>
      <c r="G35" s="279"/>
      <c r="H35" s="279"/>
      <c r="I35" s="279"/>
      <c r="J35" s="279"/>
      <c r="K35" s="279"/>
      <c r="L35" s="279"/>
      <c r="M35" s="279"/>
      <c r="N35" s="279"/>
      <c r="O35" s="279"/>
      <c r="P35" s="279"/>
      <c r="Q35" s="279"/>
      <c r="R35" s="294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6"/>
      <c r="AD35" s="6"/>
    </row>
    <row r="36" spans="1:30" ht="13.5" customHeight="1" x14ac:dyDescent="0.35">
      <c r="A36" s="6"/>
      <c r="B36" s="275"/>
      <c r="C36" s="275"/>
      <c r="D36" s="279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79"/>
      <c r="F36" s="279"/>
      <c r="G36" s="279"/>
      <c r="H36" s="279"/>
      <c r="I36" s="279"/>
      <c r="J36" s="279"/>
      <c r="K36" s="279"/>
      <c r="L36" s="279"/>
      <c r="M36" s="279"/>
      <c r="N36" s="279"/>
      <c r="O36" s="279"/>
      <c r="P36" s="279"/>
      <c r="Q36" s="279"/>
      <c r="R36" s="294" t="str">
        <f>IFERROR("Outg $"&amp;TEXT(INDEX('Input Data'!M:M,MATCH("9.02",'Input Data'!C:C,0)),"#,##0")&amp;" | Rev: "&amp;INDEX('Input Data'!S:S,MATCH("9.02",'Input Data'!C:C,0)),"—")</f>
        <v>Outg $5,620 | Rev: FIXED 3.5%</v>
      </c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6"/>
      <c r="AD36" s="6"/>
    </row>
    <row r="37" spans="1:30" ht="13.5" customHeight="1" x14ac:dyDescent="0.35">
      <c r="A37" s="6"/>
      <c r="B37" s="275"/>
      <c r="C37" s="275"/>
      <c r="D37" s="278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78"/>
      <c r="F37" s="278"/>
      <c r="G37" s="278"/>
      <c r="H37" s="278"/>
      <c r="I37" s="278"/>
      <c r="J37" s="278"/>
      <c r="K37" s="278"/>
      <c r="L37" s="278"/>
      <c r="M37" s="278"/>
      <c r="N37" s="278"/>
      <c r="O37" s="278"/>
      <c r="P37" s="278"/>
      <c r="Q37" s="278"/>
      <c r="R37" s="293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93"/>
      <c r="T37" s="293"/>
      <c r="U37" s="293"/>
      <c r="V37" s="293"/>
      <c r="W37" s="293"/>
      <c r="X37" s="293"/>
      <c r="Y37" s="293"/>
      <c r="Z37" s="293"/>
      <c r="AA37" s="293"/>
      <c r="AB37" s="293"/>
      <c r="AC37" s="6"/>
      <c r="AD37" s="6"/>
    </row>
    <row r="38" spans="1:30" ht="13.5" customHeight="1" x14ac:dyDescent="0.35">
      <c r="A38" s="6"/>
      <c r="B38" s="275"/>
      <c r="C38" s="275"/>
      <c r="D38" s="278" t="str">
        <f ca="1">IFERROR(TEXT(INDEX('Input Data'!V:V,MATCH("9.01",'Input Data'!C:C,0)),"0.0")&amp;" yrs remaining","—")</f>
        <v>1.0 yrs remaining</v>
      </c>
      <c r="E38" s="278"/>
      <c r="F38" s="278"/>
      <c r="G38" s="278"/>
      <c r="H38" s="278"/>
      <c r="I38" s="278"/>
      <c r="J38" s="278"/>
      <c r="K38" s="278"/>
      <c r="L38" s="278"/>
      <c r="M38" s="278"/>
      <c r="N38" s="278"/>
      <c r="O38" s="278"/>
      <c r="P38" s="278"/>
      <c r="Q38" s="278"/>
      <c r="R38" s="293" t="str">
        <f ca="1">IFERROR(TEXT(INDEX('Input Data'!V:V,MATCH("9.02",'Input Data'!C:C,0)),"0.0")&amp;" yrs remaining","—")</f>
        <v>4.3 yrs remaining</v>
      </c>
      <c r="S38" s="293"/>
      <c r="T38" s="293"/>
      <c r="U38" s="293"/>
      <c r="V38" s="293"/>
      <c r="W38" s="293"/>
      <c r="X38" s="293"/>
      <c r="Y38" s="293"/>
      <c r="Z38" s="293"/>
      <c r="AA38" s="293"/>
      <c r="AB38" s="293"/>
      <c r="AC38" s="6"/>
      <c r="AD38" s="6"/>
    </row>
    <row r="39" spans="1:30" ht="3.75" customHeight="1" x14ac:dyDescent="0.35">
      <c r="A39" s="6"/>
      <c r="B39" s="275"/>
      <c r="C39" s="275"/>
      <c r="D39" s="278"/>
      <c r="E39" s="278"/>
      <c r="F39" s="278"/>
      <c r="G39" s="278"/>
      <c r="H39" s="278"/>
      <c r="I39" s="278"/>
      <c r="J39" s="278"/>
      <c r="K39" s="278"/>
      <c r="L39" s="278"/>
      <c r="M39" s="278"/>
      <c r="N39" s="278"/>
      <c r="O39" s="278"/>
      <c r="P39" s="278"/>
      <c r="Q39" s="27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5" t="s">
        <v>419</v>
      </c>
      <c r="C41" s="280">
        <v>803</v>
      </c>
      <c r="D41" s="281" t="str">
        <f>IFERROR(INDEX('Input Data'!D:D,MATCH("8.01",'Input Data'!C:C,0)),"—")</f>
        <v>Vanderlande Industries Australia Pty Ltd</v>
      </c>
      <c r="E41" s="281"/>
      <c r="F41" s="281"/>
      <c r="G41" s="281"/>
      <c r="H41" s="281"/>
      <c r="I41" s="281"/>
      <c r="J41" s="281"/>
      <c r="K41" s="281"/>
      <c r="L41" s="281"/>
      <c r="M41" s="281"/>
      <c r="N41" s="281"/>
      <c r="O41" s="281"/>
      <c r="P41" s="281"/>
      <c r="Q41" s="281"/>
      <c r="R41" s="281"/>
      <c r="S41" s="281"/>
      <c r="T41" s="281"/>
      <c r="U41" s="281"/>
      <c r="V41" s="281"/>
      <c r="W41" s="281"/>
      <c r="X41" s="292" t="str">
        <f>IFERROR(INDEX('Input Data'!D:D,MATCH("8.03",'Input Data'!C:C,0)),"—")</f>
        <v>Can Too Foundation Limited</v>
      </c>
      <c r="Y41" s="292"/>
      <c r="Z41" s="292"/>
      <c r="AA41" s="292"/>
      <c r="AB41" s="292"/>
      <c r="AC41" s="6"/>
      <c r="AD41" s="6"/>
    </row>
    <row r="42" spans="1:30" ht="13.5" customHeight="1" x14ac:dyDescent="0.35">
      <c r="A42" s="6"/>
      <c r="B42" s="275"/>
      <c r="C42" s="275"/>
      <c r="D42" s="283" t="str">
        <f>IFERROR("8.01 — "&amp;INDEX('Input Data'!B:B,MATCH("8.01",'Input Data'!C:C,0)),"—")</f>
        <v>8.01 — L08</v>
      </c>
      <c r="E42" s="283"/>
      <c r="F42" s="283"/>
      <c r="G42" s="283"/>
      <c r="H42" s="283"/>
      <c r="I42" s="283"/>
      <c r="J42" s="283"/>
      <c r="K42" s="283"/>
      <c r="L42" s="283"/>
      <c r="M42" s="283"/>
      <c r="N42" s="283"/>
      <c r="O42" s="283"/>
      <c r="P42" s="283"/>
      <c r="Q42" s="283"/>
      <c r="R42" s="283"/>
      <c r="S42" s="283"/>
      <c r="T42" s="283"/>
      <c r="U42" s="283"/>
      <c r="V42" s="283"/>
      <c r="W42" s="283"/>
      <c r="X42" s="293" t="str">
        <f>IFERROR("8.03 — "&amp;INDEX('Input Data'!B:B,MATCH("8.03",'Input Data'!C:C,0)),"—")</f>
        <v>8.03 — L08</v>
      </c>
      <c r="Y42" s="293"/>
      <c r="Z42" s="293"/>
      <c r="AA42" s="293"/>
      <c r="AB42" s="293"/>
      <c r="AC42" s="6"/>
      <c r="AD42" s="6"/>
    </row>
    <row r="43" spans="1:30" ht="13.5" customHeight="1" x14ac:dyDescent="0.35">
      <c r="A43" s="6"/>
      <c r="B43" s="275"/>
      <c r="C43" s="275"/>
      <c r="D43" s="283" t="str">
        <f>IFERROR(TEXT(INDEX('Input Data'!F:F,MATCH("8.01",'Input Data'!C:C,0)),"#,##0.0")&amp;" sqm","—")</f>
        <v>686.7 sqm</v>
      </c>
      <c r="E43" s="283"/>
      <c r="F43" s="283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283"/>
      <c r="V43" s="283"/>
      <c r="W43" s="283"/>
      <c r="X43" s="293" t="str">
        <f>IFERROR(TEXT(INDEX('Input Data'!F:F,MATCH("8.03",'Input Data'!C:C,0)),"#,##0.0")&amp;" sqm","—")</f>
        <v>116.3 sqm</v>
      </c>
      <c r="Y43" s="293"/>
      <c r="Z43" s="293"/>
      <c r="AA43" s="293"/>
      <c r="AB43" s="293"/>
      <c r="AC43" s="6"/>
      <c r="AD43" s="6"/>
    </row>
    <row r="44" spans="1:30" ht="13.5" customHeight="1" x14ac:dyDescent="0.35">
      <c r="A44" s="6"/>
      <c r="B44" s="275"/>
      <c r="C44" s="275"/>
      <c r="D44" s="285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85"/>
      <c r="F44" s="285"/>
      <c r="G44" s="285"/>
      <c r="H44" s="285"/>
      <c r="I44" s="285"/>
      <c r="J44" s="285"/>
      <c r="K44" s="285"/>
      <c r="L44" s="285"/>
      <c r="M44" s="285"/>
      <c r="N44" s="285"/>
      <c r="O44" s="285"/>
      <c r="P44" s="285"/>
      <c r="Q44" s="285"/>
      <c r="R44" s="285"/>
      <c r="S44" s="285"/>
      <c r="T44" s="285"/>
      <c r="U44" s="285"/>
      <c r="V44" s="285"/>
      <c r="W44" s="285"/>
      <c r="X44" s="294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94"/>
      <c r="Z44" s="294"/>
      <c r="AA44" s="294"/>
      <c r="AB44" s="294"/>
      <c r="AC44" s="6"/>
      <c r="AD44" s="6"/>
    </row>
    <row r="45" spans="1:30" ht="13.5" customHeight="1" x14ac:dyDescent="0.35">
      <c r="A45" s="6"/>
      <c r="B45" s="275"/>
      <c r="C45" s="275"/>
      <c r="D45" s="285" t="str">
        <f>IFERROR("Outg $"&amp;TEXT(INDEX('Input Data'!M:M,MATCH("8.01",'Input Data'!C:C,0)),"#,##0")&amp;" | Rev: "&amp;INDEX('Input Data'!S:S,MATCH("8.01",'Input Data'!C:C,0)),"—")</f>
        <v>Outg $66,218 | Rev: FIXED 4%</v>
      </c>
      <c r="E45" s="285"/>
      <c r="F45" s="285"/>
      <c r="G45" s="285"/>
      <c r="H45" s="285"/>
      <c r="I45" s="285"/>
      <c r="J45" s="285"/>
      <c r="K45" s="285"/>
      <c r="L45" s="285"/>
      <c r="M45" s="285"/>
      <c r="N45" s="285"/>
      <c r="O45" s="285"/>
      <c r="P45" s="285"/>
      <c r="Q45" s="285"/>
      <c r="R45" s="285"/>
      <c r="S45" s="285"/>
      <c r="T45" s="285"/>
      <c r="U45" s="285"/>
      <c r="V45" s="285"/>
      <c r="W45" s="285"/>
      <c r="X45" s="294" t="str">
        <f>IFERROR("Outg $"&amp;TEXT(INDEX('Input Data'!M:M,MATCH("8.03",'Input Data'!C:C,0)),"#,##0")&amp;" | Rev: "&amp;INDEX('Input Data'!S:S,MATCH("8.03",'Input Data'!C:C,0)),"—")</f>
        <v>Outg $2,597 | Rev: FIXED 3.75%</v>
      </c>
      <c r="Y45" s="294"/>
      <c r="Z45" s="294"/>
      <c r="AA45" s="294"/>
      <c r="AB45" s="294"/>
      <c r="AC45" s="6"/>
      <c r="AD45" s="6"/>
    </row>
    <row r="46" spans="1:30" ht="13.5" customHeight="1" x14ac:dyDescent="0.35">
      <c r="A46" s="6"/>
      <c r="B46" s="275"/>
      <c r="C46" s="275"/>
      <c r="D46" s="283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83"/>
      <c r="F46" s="283"/>
      <c r="G46" s="283"/>
      <c r="H46" s="283"/>
      <c r="I46" s="283"/>
      <c r="J46" s="283"/>
      <c r="K46" s="283"/>
      <c r="L46" s="283"/>
      <c r="M46" s="283"/>
      <c r="N46" s="283"/>
      <c r="O46" s="283"/>
      <c r="P46" s="283"/>
      <c r="Q46" s="283"/>
      <c r="R46" s="283"/>
      <c r="S46" s="283"/>
      <c r="T46" s="283"/>
      <c r="U46" s="283"/>
      <c r="V46" s="283"/>
      <c r="W46" s="283"/>
      <c r="X46" s="293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93"/>
      <c r="Z46" s="293"/>
      <c r="AA46" s="293"/>
      <c r="AB46" s="293"/>
      <c r="AC46" s="6"/>
      <c r="AD46" s="6"/>
    </row>
    <row r="47" spans="1:30" ht="13.5" customHeight="1" x14ac:dyDescent="0.35">
      <c r="A47" s="6"/>
      <c r="B47" s="275"/>
      <c r="C47" s="275"/>
      <c r="D47" s="283" t="str">
        <f ca="1">IFERROR(TEXT(INDEX('Input Data'!V:V,MATCH("8.01",'Input Data'!C:C,0)),"0.0")&amp;" yrs remaining","—")</f>
        <v>2.0 yrs remaining</v>
      </c>
      <c r="E47" s="283"/>
      <c r="F47" s="283"/>
      <c r="G47" s="283"/>
      <c r="H47" s="283"/>
      <c r="I47" s="283"/>
      <c r="J47" s="283"/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283"/>
      <c r="X47" s="293" t="str">
        <f ca="1">IFERROR(TEXT(INDEX('Input Data'!V:V,MATCH("8.03",'Input Data'!C:C,0)),"0.0")&amp;" yrs remaining","—")</f>
        <v>4.3 yrs remaining</v>
      </c>
      <c r="Y47" s="293"/>
      <c r="Z47" s="293"/>
      <c r="AA47" s="293"/>
      <c r="AB47" s="293"/>
      <c r="AC47" s="6"/>
      <c r="AD47" s="6"/>
    </row>
    <row r="48" spans="1:30" ht="3.75" customHeight="1" x14ac:dyDescent="0.35">
      <c r="A48" s="6"/>
      <c r="B48" s="275"/>
      <c r="C48" s="275"/>
      <c r="D48" s="283"/>
      <c r="E48" s="283"/>
      <c r="F48" s="283"/>
      <c r="G48" s="283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3"/>
      <c r="U48" s="283"/>
      <c r="V48" s="283"/>
      <c r="W48" s="283"/>
      <c r="X48" s="293"/>
      <c r="Y48" s="293"/>
      <c r="Z48" s="293"/>
      <c r="AA48" s="293"/>
      <c r="AB48" s="293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5" t="s">
        <v>420</v>
      </c>
      <c r="C50" s="280">
        <v>849.6</v>
      </c>
      <c r="D50" s="287" t="str">
        <f>IFERROR(INDEX('Input Data'!D:D,MATCH("7.01",'Input Data'!C:C,0)),"—")</f>
        <v>Sungrow Australia Group</v>
      </c>
      <c r="E50" s="287"/>
      <c r="F50" s="287"/>
      <c r="G50" s="287"/>
      <c r="H50" s="287"/>
      <c r="I50" s="287"/>
      <c r="J50" s="287"/>
      <c r="K50" s="287"/>
      <c r="L50" s="287"/>
      <c r="M50" s="287"/>
      <c r="N50" s="287"/>
      <c r="O50" s="287"/>
      <c r="P50" s="287"/>
      <c r="Q50" s="287"/>
      <c r="R50" s="287" t="str">
        <f>IFERROR(INDEX('Input Data'!D:D,MATCH("7.02",'Input Data'!C:C,0)),"—")</f>
        <v>Sungrow Australia Group</v>
      </c>
      <c r="S50" s="287"/>
      <c r="T50" s="287"/>
      <c r="U50" s="287"/>
      <c r="V50" s="287"/>
      <c r="W50" s="287"/>
      <c r="X50" s="287"/>
      <c r="Y50" s="287"/>
      <c r="Z50" s="287"/>
      <c r="AA50" s="287"/>
      <c r="AB50" s="287"/>
      <c r="AC50" s="6"/>
      <c r="AD50" s="6"/>
    </row>
    <row r="51" spans="1:30" ht="13.5" customHeight="1" x14ac:dyDescent="0.35">
      <c r="A51" s="6"/>
      <c r="B51" s="275"/>
      <c r="C51" s="275"/>
      <c r="D51" s="288" t="str">
        <f>IFERROR("7.01 — "&amp;INDEX('Input Data'!B:B,MATCH("7.01",'Input Data'!C:C,0)),"—")</f>
        <v>7.01 — L07</v>
      </c>
      <c r="E51" s="288"/>
      <c r="F51" s="288"/>
      <c r="G51" s="288"/>
      <c r="H51" s="288"/>
      <c r="I51" s="288"/>
      <c r="J51" s="288"/>
      <c r="K51" s="288"/>
      <c r="L51" s="288"/>
      <c r="M51" s="288"/>
      <c r="N51" s="288"/>
      <c r="O51" s="288"/>
      <c r="P51" s="288"/>
      <c r="Q51" s="288"/>
      <c r="R51" s="288" t="str">
        <f>IFERROR("7.02 — "&amp;INDEX('Input Data'!B:B,MATCH("7.02",'Input Data'!C:C,0)),"—")</f>
        <v>7.02 — L07</v>
      </c>
      <c r="S51" s="288"/>
      <c r="T51" s="288"/>
      <c r="U51" s="288"/>
      <c r="V51" s="288"/>
      <c r="W51" s="288"/>
      <c r="X51" s="288"/>
      <c r="Y51" s="288"/>
      <c r="Z51" s="288"/>
      <c r="AA51" s="288"/>
      <c r="AB51" s="288"/>
      <c r="AC51" s="6"/>
      <c r="AD51" s="6"/>
    </row>
    <row r="52" spans="1:30" ht="13.5" customHeight="1" x14ac:dyDescent="0.35">
      <c r="A52" s="6"/>
      <c r="B52" s="275"/>
      <c r="C52" s="275"/>
      <c r="D52" s="288" t="str">
        <f>IFERROR(TEXT(INDEX('Input Data'!F:F,MATCH("7.01",'Input Data'!C:C,0)),"#,##0.0")&amp;" sqm","—")</f>
        <v>484.1 sqm</v>
      </c>
      <c r="E52" s="288"/>
      <c r="F52" s="288"/>
      <c r="G52" s="288"/>
      <c r="H52" s="288"/>
      <c r="I52" s="288"/>
      <c r="J52" s="288"/>
      <c r="K52" s="288"/>
      <c r="L52" s="288"/>
      <c r="M52" s="288"/>
      <c r="N52" s="288"/>
      <c r="O52" s="288"/>
      <c r="P52" s="288"/>
      <c r="Q52" s="288"/>
      <c r="R52" s="288" t="str">
        <f>IFERROR(TEXT(INDEX('Input Data'!F:F,MATCH("7.02",'Input Data'!C:C,0)),"#,##0.0")&amp;" sqm","—")</f>
        <v>365.5 sqm</v>
      </c>
      <c r="S52" s="288"/>
      <c r="T52" s="288"/>
      <c r="U52" s="288"/>
      <c r="V52" s="288"/>
      <c r="W52" s="288"/>
      <c r="X52" s="288"/>
      <c r="Y52" s="288"/>
      <c r="Z52" s="288"/>
      <c r="AA52" s="288"/>
      <c r="AB52" s="288"/>
      <c r="AC52" s="6"/>
      <c r="AD52" s="6"/>
    </row>
    <row r="53" spans="1:30" ht="13.5" customHeight="1" x14ac:dyDescent="0.35">
      <c r="A53" s="6"/>
      <c r="B53" s="275"/>
      <c r="C53" s="275"/>
      <c r="D53" s="290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90"/>
      <c r="F53" s="290"/>
      <c r="G53" s="290"/>
      <c r="H53" s="290"/>
      <c r="I53" s="290"/>
      <c r="J53" s="290"/>
      <c r="K53" s="290"/>
      <c r="L53" s="290"/>
      <c r="M53" s="290"/>
      <c r="N53" s="290"/>
      <c r="O53" s="290"/>
      <c r="P53" s="290"/>
      <c r="Q53" s="290"/>
      <c r="R53" s="290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90"/>
      <c r="T53" s="290"/>
      <c r="U53" s="290"/>
      <c r="V53" s="290"/>
      <c r="W53" s="290"/>
      <c r="X53" s="290"/>
      <c r="Y53" s="290"/>
      <c r="Z53" s="290"/>
      <c r="AA53" s="290"/>
      <c r="AB53" s="290"/>
      <c r="AC53" s="6"/>
      <c r="AD53" s="6"/>
    </row>
    <row r="54" spans="1:30" ht="13.5" customHeight="1" x14ac:dyDescent="0.35">
      <c r="A54" s="6"/>
      <c r="B54" s="275"/>
      <c r="C54" s="275"/>
      <c r="D54" s="290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90"/>
      <c r="F54" s="290"/>
      <c r="G54" s="290"/>
      <c r="H54" s="290"/>
      <c r="I54" s="290"/>
      <c r="J54" s="290"/>
      <c r="K54" s="290"/>
      <c r="L54" s="290"/>
      <c r="M54" s="290"/>
      <c r="N54" s="290"/>
      <c r="O54" s="290"/>
      <c r="P54" s="290"/>
      <c r="Q54" s="290"/>
      <c r="R54" s="290" t="str">
        <f>IFERROR("Outg $"&amp;TEXT(INDEX('Input Data'!M:M,MATCH("7.02",'Input Data'!C:C,0)),"#,##0")&amp;" | Rev: "&amp;INDEX('Input Data'!S:S,MATCH("7.02",'Input Data'!C:C,0)),"—")</f>
        <v>Outg $0 | Rev: FIXED 3.75%</v>
      </c>
      <c r="S54" s="290"/>
      <c r="T54" s="290"/>
      <c r="U54" s="290"/>
      <c r="V54" s="290"/>
      <c r="W54" s="290"/>
      <c r="X54" s="290"/>
      <c r="Y54" s="290"/>
      <c r="Z54" s="290"/>
      <c r="AA54" s="290"/>
      <c r="AB54" s="290"/>
      <c r="AC54" s="6"/>
      <c r="AD54" s="6"/>
    </row>
    <row r="55" spans="1:30" ht="13.5" customHeight="1" x14ac:dyDescent="0.35">
      <c r="A55" s="6"/>
      <c r="B55" s="275"/>
      <c r="C55" s="275"/>
      <c r="D55" s="288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88"/>
      <c r="F55" s="288"/>
      <c r="G55" s="288"/>
      <c r="H55" s="288"/>
      <c r="I55" s="288"/>
      <c r="J55" s="288"/>
      <c r="K55" s="288"/>
      <c r="L55" s="288"/>
      <c r="M55" s="288"/>
      <c r="N55" s="288"/>
      <c r="O55" s="288"/>
      <c r="P55" s="288"/>
      <c r="Q55" s="288"/>
      <c r="R55" s="288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88"/>
      <c r="T55" s="288"/>
      <c r="U55" s="288"/>
      <c r="V55" s="288"/>
      <c r="W55" s="288"/>
      <c r="X55" s="288"/>
      <c r="Y55" s="288"/>
      <c r="Z55" s="288"/>
      <c r="AA55" s="288"/>
      <c r="AB55" s="288"/>
      <c r="AC55" s="6"/>
      <c r="AD55" s="6"/>
    </row>
    <row r="56" spans="1:30" ht="13.5" customHeight="1" x14ac:dyDescent="0.35">
      <c r="A56" s="6"/>
      <c r="B56" s="275"/>
      <c r="C56" s="275"/>
      <c r="D56" s="288" t="str">
        <f ca="1">IFERROR(TEXT(INDEX('Input Data'!V:V,MATCH("7.01",'Input Data'!C:C,0)),"0.0")&amp;" yrs remaining","—")</f>
        <v>3.2 yrs remaining</v>
      </c>
      <c r="E56" s="288"/>
      <c r="F56" s="288"/>
      <c r="G56" s="288"/>
      <c r="H56" s="288"/>
      <c r="I56" s="288"/>
      <c r="J56" s="288"/>
      <c r="K56" s="288"/>
      <c r="L56" s="288"/>
      <c r="M56" s="288"/>
      <c r="N56" s="288"/>
      <c r="O56" s="288"/>
      <c r="P56" s="288"/>
      <c r="Q56" s="288"/>
      <c r="R56" s="288" t="str">
        <f ca="1">IFERROR(TEXT(INDEX('Input Data'!V:V,MATCH("7.02",'Input Data'!C:C,0)),"0.0")&amp;" yrs remaining","—")</f>
        <v>3.2 yrs remaining</v>
      </c>
      <c r="S56" s="288"/>
      <c r="T56" s="288"/>
      <c r="U56" s="288"/>
      <c r="V56" s="288"/>
      <c r="W56" s="288"/>
      <c r="X56" s="288"/>
      <c r="Y56" s="288"/>
      <c r="Z56" s="288"/>
      <c r="AA56" s="288"/>
      <c r="AB56" s="288"/>
      <c r="AC56" s="6"/>
      <c r="AD56" s="6"/>
    </row>
    <row r="57" spans="1:30" ht="3.75" customHeight="1" x14ac:dyDescent="0.35">
      <c r="A57" s="6"/>
      <c r="B57" s="275"/>
      <c r="C57" s="275"/>
      <c r="D57" s="288"/>
      <c r="E57" s="288"/>
      <c r="F57" s="288"/>
      <c r="G57" s="288"/>
      <c r="H57" s="288"/>
      <c r="I57" s="288"/>
      <c r="J57" s="288"/>
      <c r="K57" s="288"/>
      <c r="L57" s="288"/>
      <c r="M57" s="288"/>
      <c r="N57" s="288"/>
      <c r="O57" s="288"/>
      <c r="P57" s="288"/>
      <c r="Q57" s="288"/>
      <c r="R57" s="288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5" t="s">
        <v>421</v>
      </c>
      <c r="C59" s="280">
        <v>1095.4000000000001</v>
      </c>
      <c r="D59" s="282" t="str">
        <f>IFERROR(INDEX('Input Data'!D:D,MATCH("6.01",'Input Data'!C:C,0)),"—")</f>
        <v>Caladas Constructions</v>
      </c>
      <c r="E59" s="282"/>
      <c r="F59" s="282"/>
      <c r="G59" s="282"/>
      <c r="H59" s="282"/>
      <c r="I59" s="287" t="str">
        <f>IFERROR(INDEX('Input Data'!D:D,MATCH("6.02",'Input Data'!C:C,0)),"—")</f>
        <v>Sungrow Australia Group</v>
      </c>
      <c r="J59" s="287"/>
      <c r="K59" s="287"/>
      <c r="L59" s="287"/>
      <c r="M59" s="287"/>
      <c r="N59" s="287"/>
      <c r="O59" s="287"/>
      <c r="P59" s="287"/>
      <c r="Q59" s="287"/>
      <c r="R59" s="291" t="str">
        <f>IFERROR(INDEX('Input Data'!D:D,MATCH("6.03",'Input Data'!C:C,0)),"—")</f>
        <v>Keeping Company Pty Ltd</v>
      </c>
      <c r="S59" s="291"/>
      <c r="T59" s="291"/>
      <c r="U59" s="291"/>
      <c r="V59" s="291"/>
      <c r="W59" s="282" t="str">
        <f>IFERROR(INDEX('Input Data'!D:D,MATCH("6.04",'Input Data'!C:C,0)),"—")</f>
        <v>Elekta Pty Limited</v>
      </c>
      <c r="X59" s="282"/>
      <c r="Y59" s="282"/>
      <c r="Z59" s="282"/>
      <c r="AA59" s="282"/>
      <c r="AB59" s="282"/>
      <c r="AC59" s="6"/>
      <c r="AD59" s="6"/>
    </row>
    <row r="60" spans="1:30" ht="13.5" customHeight="1" x14ac:dyDescent="0.35">
      <c r="A60" s="6"/>
      <c r="B60" s="275"/>
      <c r="C60" s="275"/>
      <c r="D60" s="284" t="str">
        <f>IFERROR("6.01 — "&amp;INDEX('Input Data'!B:B,MATCH("6.01",'Input Data'!C:C,0)),"—")</f>
        <v>6.01 — L06</v>
      </c>
      <c r="E60" s="284"/>
      <c r="F60" s="284"/>
      <c r="G60" s="284"/>
      <c r="H60" s="284"/>
      <c r="I60" s="288" t="str">
        <f>IFERROR("6.02 — "&amp;INDEX('Input Data'!B:B,MATCH("6.02",'Input Data'!C:C,0)),"—")</f>
        <v>6.02 — L06</v>
      </c>
      <c r="J60" s="288"/>
      <c r="K60" s="288"/>
      <c r="L60" s="288"/>
      <c r="M60" s="288"/>
      <c r="N60" s="288"/>
      <c r="O60" s="288"/>
      <c r="P60" s="288"/>
      <c r="Q60" s="288"/>
      <c r="R60" s="278" t="str">
        <f>IFERROR("6.03 — "&amp;INDEX('Input Data'!B:B,MATCH("6.03",'Input Data'!C:C,0)),"—")</f>
        <v>6.03 — L06</v>
      </c>
      <c r="S60" s="278"/>
      <c r="T60" s="278"/>
      <c r="U60" s="278"/>
      <c r="V60" s="278"/>
      <c r="W60" s="284" t="str">
        <f>IFERROR("6.04 — "&amp;INDEX('Input Data'!B:B,MATCH("6.04",'Input Data'!C:C,0)),"—")</f>
        <v>6.04 — L06</v>
      </c>
      <c r="X60" s="284"/>
      <c r="Y60" s="284"/>
      <c r="Z60" s="284"/>
      <c r="AA60" s="284"/>
      <c r="AB60" s="284"/>
      <c r="AC60" s="6"/>
      <c r="AD60" s="6"/>
    </row>
    <row r="61" spans="1:30" ht="13.5" customHeight="1" x14ac:dyDescent="0.35">
      <c r="A61" s="6"/>
      <c r="B61" s="275"/>
      <c r="C61" s="275"/>
      <c r="D61" s="284" t="str">
        <f>IFERROR(TEXT(INDEX('Input Data'!F:F,MATCH("6.01",'Input Data'!C:C,0)),"#,##0.0")&amp;" sqm","—")</f>
        <v>186.4 sqm</v>
      </c>
      <c r="E61" s="284"/>
      <c r="F61" s="284"/>
      <c r="G61" s="284"/>
      <c r="H61" s="284"/>
      <c r="I61" s="288" t="str">
        <f>IFERROR(TEXT(INDEX('Input Data'!F:F,MATCH("6.02",'Input Data'!C:C,0)),"#,##0.0")&amp;" sqm","—")</f>
        <v>451.7 sqm</v>
      </c>
      <c r="J61" s="288"/>
      <c r="K61" s="288"/>
      <c r="L61" s="288"/>
      <c r="M61" s="288"/>
      <c r="N61" s="288"/>
      <c r="O61" s="288"/>
      <c r="P61" s="288"/>
      <c r="Q61" s="288"/>
      <c r="R61" s="278" t="str">
        <f>IFERROR(TEXT(INDEX('Input Data'!F:F,MATCH("6.03",'Input Data'!C:C,0)),"#,##0.0")&amp;" sqm","—")</f>
        <v>189.4 sqm</v>
      </c>
      <c r="S61" s="278"/>
      <c r="T61" s="278"/>
      <c r="U61" s="278"/>
      <c r="V61" s="278"/>
      <c r="W61" s="284" t="str">
        <f>IFERROR(TEXT(INDEX('Input Data'!F:F,MATCH("6.04",'Input Data'!C:C,0)),"#,##0.0")&amp;" sqm","—")</f>
        <v>267.9 sqm</v>
      </c>
      <c r="X61" s="284"/>
      <c r="Y61" s="284"/>
      <c r="Z61" s="284"/>
      <c r="AA61" s="284"/>
      <c r="AB61" s="284"/>
      <c r="AC61" s="6"/>
      <c r="AD61" s="6"/>
    </row>
    <row r="62" spans="1:30" ht="13.5" customHeight="1" x14ac:dyDescent="0.35">
      <c r="A62" s="6"/>
      <c r="B62" s="275"/>
      <c r="C62" s="275"/>
      <c r="D62" s="286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6"/>
      <c r="F62" s="286"/>
      <c r="G62" s="286"/>
      <c r="H62" s="286"/>
      <c r="I62" s="290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90"/>
      <c r="K62" s="290"/>
      <c r="L62" s="290"/>
      <c r="M62" s="290"/>
      <c r="N62" s="290"/>
      <c r="O62" s="290"/>
      <c r="P62" s="290"/>
      <c r="Q62" s="290"/>
      <c r="R62" s="279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79"/>
      <c r="T62" s="279"/>
      <c r="U62" s="279"/>
      <c r="V62" s="279"/>
      <c r="W62" s="286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6"/>
      <c r="Y62" s="286"/>
      <c r="Z62" s="286"/>
      <c r="AA62" s="286"/>
      <c r="AB62" s="286"/>
      <c r="AC62" s="6"/>
      <c r="AD62" s="6"/>
    </row>
    <row r="63" spans="1:30" ht="13.5" customHeight="1" x14ac:dyDescent="0.35">
      <c r="A63" s="6"/>
      <c r="B63" s="275"/>
      <c r="C63" s="275"/>
      <c r="D63" s="286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6"/>
      <c r="F63" s="286"/>
      <c r="G63" s="286"/>
      <c r="H63" s="286"/>
      <c r="I63" s="290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90"/>
      <c r="K63" s="290"/>
      <c r="L63" s="290"/>
      <c r="M63" s="290"/>
      <c r="N63" s="290"/>
      <c r="O63" s="290"/>
      <c r="P63" s="290"/>
      <c r="Q63" s="290"/>
      <c r="R63" s="279" t="str">
        <f>IFERROR("Outg $"&amp;TEXT(INDEX('Input Data'!M:M,MATCH("6.03",'Input Data'!C:C,0)),"#,##0")&amp;" | Rev: "&amp;INDEX('Input Data'!S:S,MATCH("6.03",'Input Data'!C:C,0)),"—")</f>
        <v>Outg $16,709 | Rev: FIXED 3.5%</v>
      </c>
      <c r="S63" s="279"/>
      <c r="T63" s="279"/>
      <c r="U63" s="279"/>
      <c r="V63" s="279"/>
      <c r="W63" s="286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6"/>
      <c r="Y63" s="286"/>
      <c r="Z63" s="286"/>
      <c r="AA63" s="286"/>
      <c r="AB63" s="286"/>
      <c r="AC63" s="6"/>
      <c r="AD63" s="6"/>
    </row>
    <row r="64" spans="1:30" ht="13.5" customHeight="1" x14ac:dyDescent="0.35">
      <c r="A64" s="6"/>
      <c r="B64" s="275"/>
      <c r="C64" s="275"/>
      <c r="D64" s="284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4"/>
      <c r="F64" s="284"/>
      <c r="G64" s="284"/>
      <c r="H64" s="284"/>
      <c r="I64" s="288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88"/>
      <c r="K64" s="288"/>
      <c r="L64" s="288"/>
      <c r="M64" s="288"/>
      <c r="N64" s="288"/>
      <c r="O64" s="288"/>
      <c r="P64" s="288"/>
      <c r="Q64" s="288"/>
      <c r="R64" s="278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78"/>
      <c r="T64" s="278"/>
      <c r="U64" s="278"/>
      <c r="V64" s="278"/>
      <c r="W64" s="284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4"/>
      <c r="Y64" s="284"/>
      <c r="Z64" s="284"/>
      <c r="AA64" s="284"/>
      <c r="AB64" s="284"/>
      <c r="AC64" s="6"/>
      <c r="AD64" s="6"/>
    </row>
    <row r="65" spans="1:30" ht="13.5" customHeight="1" x14ac:dyDescent="0.35">
      <c r="A65" s="6"/>
      <c r="B65" s="275"/>
      <c r="C65" s="275"/>
      <c r="D65" s="284" t="str">
        <f ca="1">IFERROR(TEXT(INDEX('Input Data'!V:V,MATCH("6.01",'Input Data'!C:C,0)),"0.0")&amp;" yrs remaining","—")</f>
        <v>6.0 yrs remaining</v>
      </c>
      <c r="E65" s="284"/>
      <c r="F65" s="284"/>
      <c r="G65" s="284"/>
      <c r="H65" s="284"/>
      <c r="I65" s="288" t="str">
        <f ca="1">IFERROR(TEXT(INDEX('Input Data'!V:V,MATCH("6.02",'Input Data'!C:C,0)),"0.0")&amp;" yrs remaining","—")</f>
        <v>3.2 yrs remaining</v>
      </c>
      <c r="J65" s="288"/>
      <c r="K65" s="288"/>
      <c r="L65" s="288"/>
      <c r="M65" s="288"/>
      <c r="N65" s="288"/>
      <c r="O65" s="288"/>
      <c r="P65" s="288"/>
      <c r="Q65" s="288"/>
      <c r="R65" s="278" t="str">
        <f ca="1">IFERROR(TEXT(INDEX('Input Data'!V:V,MATCH("6.03",'Input Data'!C:C,0)),"0.0")&amp;" yrs remaining","—")</f>
        <v>0.9 yrs remaining</v>
      </c>
      <c r="S65" s="278"/>
      <c r="T65" s="278"/>
      <c r="U65" s="278"/>
      <c r="V65" s="278"/>
      <c r="W65" s="284" t="str">
        <f ca="1">IFERROR(TEXT(INDEX('Input Data'!V:V,MATCH("6.04",'Input Data'!C:C,0)),"0.0")&amp;" yrs remaining","—")</f>
        <v>6.1 yrs remaining</v>
      </c>
      <c r="X65" s="284"/>
      <c r="Y65" s="284"/>
      <c r="Z65" s="284"/>
      <c r="AA65" s="284"/>
      <c r="AB65" s="284"/>
      <c r="AC65" s="6"/>
      <c r="AD65" s="6"/>
    </row>
    <row r="66" spans="1:30" ht="3.75" customHeight="1" x14ac:dyDescent="0.35">
      <c r="A66" s="6"/>
      <c r="B66" s="275"/>
      <c r="C66" s="275"/>
      <c r="D66" s="289"/>
      <c r="E66" s="289"/>
      <c r="F66" s="289"/>
      <c r="G66" s="289"/>
      <c r="H66" s="289"/>
      <c r="I66" s="288"/>
      <c r="J66" s="288"/>
      <c r="K66" s="288"/>
      <c r="L66" s="288"/>
      <c r="M66" s="288"/>
      <c r="N66" s="288"/>
      <c r="O66" s="288"/>
      <c r="P66" s="288"/>
      <c r="Q66" s="288"/>
      <c r="R66" s="278"/>
      <c r="S66" s="278"/>
      <c r="T66" s="278"/>
      <c r="U66" s="278"/>
      <c r="V66" s="278"/>
      <c r="W66" s="284"/>
      <c r="X66" s="284"/>
      <c r="Y66" s="284"/>
      <c r="Z66" s="284"/>
      <c r="AA66" s="284"/>
      <c r="AB66" s="284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5" t="s">
        <v>422</v>
      </c>
      <c r="C68" s="280">
        <v>1080.4000000000001</v>
      </c>
      <c r="D68" s="282" t="str">
        <f>IFERROR(INDEX('Input Data'!D:D,MATCH("5.01",'Input Data'!C:C,0)),"—")</f>
        <v>Fitness First Australia Pty Limited</v>
      </c>
      <c r="E68" s="282"/>
      <c r="F68" s="282"/>
      <c r="G68" s="282"/>
      <c r="H68" s="282"/>
      <c r="I68" s="282"/>
      <c r="J68" s="282"/>
      <c r="K68" s="282"/>
      <c r="L68" s="282"/>
      <c r="M68" s="282"/>
      <c r="N68" s="287" t="str">
        <f>IFERROR(INDEX('Input Data'!D:D,MATCH("5.03",'Input Data'!C:C,0)),"—")</f>
        <v>Asterx Pty Ltd</v>
      </c>
      <c r="O68" s="287"/>
      <c r="P68" s="287"/>
      <c r="Q68" s="287"/>
      <c r="R68" s="287"/>
      <c r="S68" s="287" t="str">
        <f>IFERROR(INDEX('Input Data'!D:D,MATCH("5.04",'Input Data'!C:C,0)),"—")</f>
        <v>Auctionsplus Pty Ltd</v>
      </c>
      <c r="T68" s="287"/>
      <c r="U68" s="287"/>
      <c r="V68" s="287"/>
      <c r="W68" s="287"/>
      <c r="X68" s="287"/>
      <c r="Y68" s="287"/>
      <c r="Z68" s="287"/>
      <c r="AA68" s="287"/>
      <c r="AB68" s="287"/>
      <c r="AC68" s="6"/>
      <c r="AD68" s="6"/>
    </row>
    <row r="69" spans="1:30" ht="13.5" customHeight="1" x14ac:dyDescent="0.35">
      <c r="A69" s="6"/>
      <c r="B69" s="275"/>
      <c r="C69" s="275"/>
      <c r="D69" s="284" t="str">
        <f>IFERROR("5.01 — "&amp;INDEX('Input Data'!B:B,MATCH("5.01",'Input Data'!C:C,0)),"—")</f>
        <v>5.01 — L05</v>
      </c>
      <c r="E69" s="284"/>
      <c r="F69" s="284"/>
      <c r="G69" s="284"/>
      <c r="H69" s="284"/>
      <c r="I69" s="284"/>
      <c r="J69" s="284"/>
      <c r="K69" s="284"/>
      <c r="L69" s="284"/>
      <c r="M69" s="284"/>
      <c r="N69" s="288" t="str">
        <f>IFERROR("5.03 — "&amp;INDEX('Input Data'!B:B,MATCH("5.03",'Input Data'!C:C,0)),"—")</f>
        <v>5.03 — L05</v>
      </c>
      <c r="O69" s="288"/>
      <c r="P69" s="288"/>
      <c r="Q69" s="288"/>
      <c r="R69" s="288"/>
      <c r="S69" s="288" t="str">
        <f>IFERROR("5.04 — "&amp;INDEX('Input Data'!B:B,MATCH("5.04",'Input Data'!C:C,0)),"—")</f>
        <v>5.04 — L05</v>
      </c>
      <c r="T69" s="288"/>
      <c r="U69" s="288"/>
      <c r="V69" s="288"/>
      <c r="W69" s="288"/>
      <c r="X69" s="288"/>
      <c r="Y69" s="288"/>
      <c r="Z69" s="288"/>
      <c r="AA69" s="288"/>
      <c r="AB69" s="288"/>
      <c r="AC69" s="6"/>
      <c r="AD69" s="6"/>
    </row>
    <row r="70" spans="1:30" ht="13.5" customHeight="1" x14ac:dyDescent="0.35">
      <c r="A70" s="6"/>
      <c r="B70" s="275"/>
      <c r="C70" s="275"/>
      <c r="D70" s="284" t="str">
        <f>IFERROR(TEXT(INDEX('Input Data'!F:F,MATCH("5.01",'Input Data'!C:C,0)),"#,##0.0")&amp;" sqm","—")</f>
        <v>437.1 sqm</v>
      </c>
      <c r="E70" s="284"/>
      <c r="F70" s="284"/>
      <c r="G70" s="284"/>
      <c r="H70" s="284"/>
      <c r="I70" s="284"/>
      <c r="J70" s="284"/>
      <c r="K70" s="284"/>
      <c r="L70" s="284"/>
      <c r="M70" s="284"/>
      <c r="N70" s="288" t="str">
        <f>IFERROR(TEXT(INDEX('Input Data'!F:F,MATCH("5.03",'Input Data'!C:C,0)),"#,##0.0")&amp;" sqm","—")</f>
        <v>229.8 sqm</v>
      </c>
      <c r="O70" s="288"/>
      <c r="P70" s="288"/>
      <c r="Q70" s="288"/>
      <c r="R70" s="288"/>
      <c r="S70" s="288" t="str">
        <f>IFERROR(TEXT(INDEX('Input Data'!F:F,MATCH("5.04",'Input Data'!C:C,0)),"#,##0.0")&amp;" sqm","—")</f>
        <v>413.5 sqm</v>
      </c>
      <c r="T70" s="288"/>
      <c r="U70" s="288"/>
      <c r="V70" s="288"/>
      <c r="W70" s="288"/>
      <c r="X70" s="288"/>
      <c r="Y70" s="288"/>
      <c r="Z70" s="288"/>
      <c r="AA70" s="288"/>
      <c r="AB70" s="288"/>
      <c r="AC70" s="6"/>
      <c r="AD70" s="6"/>
    </row>
    <row r="71" spans="1:30" ht="13.5" customHeight="1" x14ac:dyDescent="0.35">
      <c r="A71" s="6"/>
      <c r="B71" s="275"/>
      <c r="C71" s="275"/>
      <c r="D71" s="286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6"/>
      <c r="F71" s="286"/>
      <c r="G71" s="286"/>
      <c r="H71" s="286"/>
      <c r="I71" s="286"/>
      <c r="J71" s="286"/>
      <c r="K71" s="286"/>
      <c r="L71" s="286"/>
      <c r="M71" s="286"/>
      <c r="N71" s="290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90"/>
      <c r="P71" s="290"/>
      <c r="Q71" s="290"/>
      <c r="R71" s="290"/>
      <c r="S71" s="290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90"/>
      <c r="U71" s="290"/>
      <c r="V71" s="290"/>
      <c r="W71" s="290"/>
      <c r="X71" s="290"/>
      <c r="Y71" s="290"/>
      <c r="Z71" s="290"/>
      <c r="AA71" s="290"/>
      <c r="AB71" s="290"/>
      <c r="AC71" s="6"/>
      <c r="AD71" s="6"/>
    </row>
    <row r="72" spans="1:30" ht="13.5" customHeight="1" x14ac:dyDescent="0.35">
      <c r="A72" s="6"/>
      <c r="B72" s="275"/>
      <c r="C72" s="275"/>
      <c r="D72" s="286" t="str">
        <f>IFERROR("Outg $"&amp;TEXT(INDEX('Input Data'!M:M,MATCH("5.01",'Input Data'!C:C,0)),"#,##0")&amp;" | Rev: "&amp;INDEX('Input Data'!S:S,MATCH("5.01",'Input Data'!C:C,0)),"—")</f>
        <v>Outg $0 | Rev: FIXED 4%</v>
      </c>
      <c r="E72" s="286"/>
      <c r="F72" s="286"/>
      <c r="G72" s="286"/>
      <c r="H72" s="286"/>
      <c r="I72" s="286"/>
      <c r="J72" s="286"/>
      <c r="K72" s="286"/>
      <c r="L72" s="286"/>
      <c r="M72" s="286"/>
      <c r="N72" s="290" t="str">
        <f>IFERROR("Outg $"&amp;TEXT(INDEX('Input Data'!M:M,MATCH("5.03",'Input Data'!C:C,0)),"#,##0")&amp;" | Rev: "&amp;INDEX('Input Data'!S:S,MATCH("5.03",'Input Data'!C:C,0)),"—")</f>
        <v>Outg $15,475 | Rev: FIXED 3.5%</v>
      </c>
      <c r="O72" s="290"/>
      <c r="P72" s="290"/>
      <c r="Q72" s="290"/>
      <c r="R72" s="290"/>
      <c r="S72" s="290" t="str">
        <f>IFERROR("Outg $"&amp;TEXT(INDEX('Input Data'!M:M,MATCH("5.04",'Input Data'!C:C,0)),"#,##0")&amp;" | Rev: "&amp;INDEX('Input Data'!S:S,MATCH("5.04",'Input Data'!C:C,0)),"—")</f>
        <v>Outg $32,592 | Rev: FIXED 4%</v>
      </c>
      <c r="T72" s="290"/>
      <c r="U72" s="290"/>
      <c r="V72" s="290"/>
      <c r="W72" s="290"/>
      <c r="X72" s="290"/>
      <c r="Y72" s="290"/>
      <c r="Z72" s="290"/>
      <c r="AA72" s="290"/>
      <c r="AB72" s="290"/>
      <c r="AC72" s="6"/>
      <c r="AD72" s="6"/>
    </row>
    <row r="73" spans="1:30" ht="13.5" customHeight="1" x14ac:dyDescent="0.35">
      <c r="A73" s="6"/>
      <c r="B73" s="275"/>
      <c r="C73" s="275"/>
      <c r="D73" s="284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4"/>
      <c r="F73" s="284"/>
      <c r="G73" s="284"/>
      <c r="H73" s="284"/>
      <c r="I73" s="284"/>
      <c r="J73" s="284"/>
      <c r="K73" s="284"/>
      <c r="L73" s="284"/>
      <c r="M73" s="284"/>
      <c r="N73" s="288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88"/>
      <c r="P73" s="288"/>
      <c r="Q73" s="288"/>
      <c r="R73" s="288"/>
      <c r="S73" s="288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88"/>
      <c r="U73" s="288"/>
      <c r="V73" s="288"/>
      <c r="W73" s="288"/>
      <c r="X73" s="288"/>
      <c r="Y73" s="288"/>
      <c r="Z73" s="288"/>
      <c r="AA73" s="288"/>
      <c r="AB73" s="288"/>
      <c r="AC73" s="6"/>
      <c r="AD73" s="6"/>
    </row>
    <row r="74" spans="1:30" ht="13.5" customHeight="1" x14ac:dyDescent="0.35">
      <c r="A74" s="6"/>
      <c r="B74" s="275"/>
      <c r="C74" s="275"/>
      <c r="D74" s="284" t="str">
        <f ca="1">IFERROR(TEXT(INDEX('Input Data'!V:V,MATCH("5.01",'Input Data'!C:C,0)),"0.0")&amp;" yrs remaining","—")</f>
        <v>5.0 yrs remaining</v>
      </c>
      <c r="E74" s="284"/>
      <c r="F74" s="284"/>
      <c r="G74" s="284"/>
      <c r="H74" s="284"/>
      <c r="I74" s="284"/>
      <c r="J74" s="284"/>
      <c r="K74" s="284"/>
      <c r="L74" s="284"/>
      <c r="M74" s="284"/>
      <c r="N74" s="288" t="str">
        <f ca="1">IFERROR(TEXT(INDEX('Input Data'!V:V,MATCH("5.03",'Input Data'!C:C,0)),"0.0")&amp;" yrs remaining","—")</f>
        <v>2.9 yrs remaining</v>
      </c>
      <c r="O74" s="288"/>
      <c r="P74" s="288"/>
      <c r="Q74" s="288"/>
      <c r="R74" s="288"/>
      <c r="S74" s="288" t="str">
        <f ca="1">IFERROR(TEXT(INDEX('Input Data'!V:V,MATCH("5.04",'Input Data'!C:C,0)),"0.0")&amp;" yrs remaining","—")</f>
        <v>2.7 yrs remaining</v>
      </c>
      <c r="T74" s="288"/>
      <c r="U74" s="288"/>
      <c r="V74" s="288"/>
      <c r="W74" s="288"/>
      <c r="X74" s="288"/>
      <c r="Y74" s="288"/>
      <c r="Z74" s="288"/>
      <c r="AA74" s="288"/>
      <c r="AB74" s="288"/>
      <c r="AC74" s="6"/>
      <c r="AD74" s="6"/>
    </row>
    <row r="75" spans="1:30" ht="3.75" customHeight="1" x14ac:dyDescent="0.35">
      <c r="A75" s="6"/>
      <c r="B75" s="275"/>
      <c r="C75" s="275"/>
      <c r="D75" s="284"/>
      <c r="E75" s="284"/>
      <c r="F75" s="284"/>
      <c r="G75" s="284"/>
      <c r="H75" s="284"/>
      <c r="I75" s="284"/>
      <c r="J75" s="284"/>
      <c r="K75" s="284"/>
      <c r="L75" s="284"/>
      <c r="M75" s="284"/>
      <c r="N75" s="288"/>
      <c r="O75" s="288"/>
      <c r="P75" s="288"/>
      <c r="Q75" s="288"/>
      <c r="R75" s="288"/>
      <c r="S75" s="288"/>
      <c r="T75" s="288"/>
      <c r="U75" s="288"/>
      <c r="V75" s="288"/>
      <c r="W75" s="288"/>
      <c r="X75" s="288"/>
      <c r="Y75" s="288"/>
      <c r="Z75" s="288"/>
      <c r="AA75" s="288"/>
      <c r="AB75" s="288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5" t="s">
        <v>423</v>
      </c>
      <c r="C77" s="280">
        <v>1047</v>
      </c>
      <c r="D77" s="282" t="str">
        <f>IFERROR(INDEX('Input Data'!D:D,MATCH("4.01",'Input Data'!C:C,0)),"—")</f>
        <v>Fitness First Australia Pty Limited</v>
      </c>
      <c r="E77" s="282"/>
      <c r="F77" s="282"/>
      <c r="G77" s="282"/>
      <c r="H77" s="282"/>
      <c r="I77" s="282"/>
      <c r="J77" s="282"/>
      <c r="K77" s="282"/>
      <c r="L77" s="282"/>
      <c r="M77" s="282"/>
      <c r="N77" s="282"/>
      <c r="O77" s="282"/>
      <c r="P77" s="282"/>
      <c r="Q77" s="282"/>
      <c r="R77" s="282"/>
      <c r="S77" s="282"/>
      <c r="T77" s="282"/>
      <c r="U77" s="282"/>
      <c r="V77" s="282"/>
      <c r="W77" s="282"/>
      <c r="X77" s="282"/>
      <c r="Y77" s="282"/>
      <c r="Z77" s="282"/>
      <c r="AA77" s="282"/>
      <c r="AB77" s="282"/>
      <c r="AC77" s="6"/>
      <c r="AD77" s="6"/>
    </row>
    <row r="78" spans="1:30" ht="13.5" customHeight="1" x14ac:dyDescent="0.35">
      <c r="A78" s="6"/>
      <c r="B78" s="275"/>
      <c r="C78" s="275"/>
      <c r="D78" s="284" t="str">
        <f>IFERROR("4.01 — "&amp;INDEX('Input Data'!B:B,MATCH("4.01",'Input Data'!C:C,0)),"—")</f>
        <v>4.01 — L04</v>
      </c>
      <c r="E78" s="284"/>
      <c r="F78" s="284"/>
      <c r="G78" s="284"/>
      <c r="H78" s="284"/>
      <c r="I78" s="284"/>
      <c r="J78" s="284"/>
      <c r="K78" s="284"/>
      <c r="L78" s="284"/>
      <c r="M78" s="284"/>
      <c r="N78" s="284"/>
      <c r="O78" s="284"/>
      <c r="P78" s="284"/>
      <c r="Q78" s="284"/>
      <c r="R78" s="284"/>
      <c r="S78" s="284"/>
      <c r="T78" s="284"/>
      <c r="U78" s="284"/>
      <c r="V78" s="284"/>
      <c r="W78" s="284"/>
      <c r="X78" s="284"/>
      <c r="Y78" s="284"/>
      <c r="Z78" s="284"/>
      <c r="AA78" s="284"/>
      <c r="AB78" s="284"/>
      <c r="AC78" s="6"/>
      <c r="AD78" s="6"/>
    </row>
    <row r="79" spans="1:30" ht="13.5" customHeight="1" x14ac:dyDescent="0.35">
      <c r="A79" s="6"/>
      <c r="B79" s="275"/>
      <c r="C79" s="275"/>
      <c r="D79" s="284" t="str">
        <f>IFERROR(TEXT(INDEX('Input Data'!F:F,MATCH("4.01",'Input Data'!C:C,0)),"#,##0.0")&amp;" sqm","—")</f>
        <v>1,047.0 sqm</v>
      </c>
      <c r="E79" s="284"/>
      <c r="F79" s="284"/>
      <c r="G79" s="284"/>
      <c r="H79" s="284"/>
      <c r="I79" s="284"/>
      <c r="J79" s="284"/>
      <c r="K79" s="284"/>
      <c r="L79" s="284"/>
      <c r="M79" s="284"/>
      <c r="N79" s="284"/>
      <c r="O79" s="284"/>
      <c r="P79" s="284"/>
      <c r="Q79" s="284"/>
      <c r="R79" s="284"/>
      <c r="S79" s="284"/>
      <c r="T79" s="284"/>
      <c r="U79" s="284"/>
      <c r="V79" s="284"/>
      <c r="W79" s="284"/>
      <c r="X79" s="284"/>
      <c r="Y79" s="284"/>
      <c r="Z79" s="284"/>
      <c r="AA79" s="284"/>
      <c r="AB79" s="284"/>
      <c r="AC79" s="6"/>
      <c r="AD79" s="6"/>
    </row>
    <row r="80" spans="1:30" ht="13.5" customHeight="1" x14ac:dyDescent="0.35">
      <c r="A80" s="6"/>
      <c r="B80" s="275"/>
      <c r="C80" s="275"/>
      <c r="D80" s="286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6"/>
      <c r="F80" s="286"/>
      <c r="G80" s="286"/>
      <c r="H80" s="286"/>
      <c r="I80" s="286"/>
      <c r="J80" s="286"/>
      <c r="K80" s="286"/>
      <c r="L80" s="286"/>
      <c r="M80" s="286"/>
      <c r="N80" s="286"/>
      <c r="O80" s="286"/>
      <c r="P80" s="286"/>
      <c r="Q80" s="286"/>
      <c r="R80" s="286"/>
      <c r="S80" s="286"/>
      <c r="T80" s="286"/>
      <c r="U80" s="286"/>
      <c r="V80" s="286"/>
      <c r="W80" s="286"/>
      <c r="X80" s="286"/>
      <c r="Y80" s="286"/>
      <c r="Z80" s="286"/>
      <c r="AA80" s="286"/>
      <c r="AB80" s="286"/>
      <c r="AC80" s="6"/>
      <c r="AD80" s="6"/>
    </row>
    <row r="81" spans="1:30" ht="13.5" customHeight="1" x14ac:dyDescent="0.35">
      <c r="A81" s="6"/>
      <c r="B81" s="275"/>
      <c r="C81" s="275"/>
      <c r="D81" s="286" t="str">
        <f>IFERROR("Outg $"&amp;TEXT(INDEX('Input Data'!M:M,MATCH("4.01",'Input Data'!C:C,0)),"#,##0")&amp;" | Rev: "&amp;INDEX('Input Data'!S:S,MATCH("4.01",'Input Data'!C:C,0)),"—")</f>
        <v>Outg $0 | Rev: FIXED 4%</v>
      </c>
      <c r="E81" s="286"/>
      <c r="F81" s="286"/>
      <c r="G81" s="286"/>
      <c r="H81" s="286"/>
      <c r="I81" s="286"/>
      <c r="J81" s="286"/>
      <c r="K81" s="286"/>
      <c r="L81" s="286"/>
      <c r="M81" s="286"/>
      <c r="N81" s="286"/>
      <c r="O81" s="286"/>
      <c r="P81" s="286"/>
      <c r="Q81" s="286"/>
      <c r="R81" s="286"/>
      <c r="S81" s="286"/>
      <c r="T81" s="286"/>
      <c r="U81" s="286"/>
      <c r="V81" s="286"/>
      <c r="W81" s="286"/>
      <c r="X81" s="286"/>
      <c r="Y81" s="286"/>
      <c r="Z81" s="286"/>
      <c r="AA81" s="286"/>
      <c r="AB81" s="286"/>
      <c r="AC81" s="6"/>
      <c r="AD81" s="6"/>
    </row>
    <row r="82" spans="1:30" ht="13.5" customHeight="1" x14ac:dyDescent="0.35">
      <c r="A82" s="6"/>
      <c r="B82" s="275"/>
      <c r="C82" s="275"/>
      <c r="D82" s="284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4"/>
      <c r="F82" s="284"/>
      <c r="G82" s="284"/>
      <c r="H82" s="284"/>
      <c r="I82" s="284"/>
      <c r="J82" s="284"/>
      <c r="K82" s="284"/>
      <c r="L82" s="284"/>
      <c r="M82" s="284"/>
      <c r="N82" s="284"/>
      <c r="O82" s="284"/>
      <c r="P82" s="284"/>
      <c r="Q82" s="284"/>
      <c r="R82" s="284"/>
      <c r="S82" s="284"/>
      <c r="T82" s="284"/>
      <c r="U82" s="284"/>
      <c r="V82" s="284"/>
      <c r="W82" s="284"/>
      <c r="X82" s="284"/>
      <c r="Y82" s="284"/>
      <c r="Z82" s="284"/>
      <c r="AA82" s="284"/>
      <c r="AB82" s="284"/>
      <c r="AC82" s="6"/>
      <c r="AD82" s="6"/>
    </row>
    <row r="83" spans="1:30" ht="13.5" customHeight="1" x14ac:dyDescent="0.35">
      <c r="A83" s="6"/>
      <c r="B83" s="275"/>
      <c r="C83" s="275"/>
      <c r="D83" s="284" t="str">
        <f ca="1">IFERROR(TEXT(INDEX('Input Data'!V:V,MATCH("4.01",'Input Data'!C:C,0)),"0.0")&amp;" yrs remaining","—")</f>
        <v>5.0 yrs remaining</v>
      </c>
      <c r="E83" s="284"/>
      <c r="F83" s="284"/>
      <c r="G83" s="284"/>
      <c r="H83" s="284"/>
      <c r="I83" s="284"/>
      <c r="J83" s="284"/>
      <c r="K83" s="284"/>
      <c r="L83" s="284"/>
      <c r="M83" s="284"/>
      <c r="N83" s="284"/>
      <c r="O83" s="284"/>
      <c r="P83" s="284"/>
      <c r="Q83" s="284"/>
      <c r="R83" s="284"/>
      <c r="S83" s="284"/>
      <c r="T83" s="284"/>
      <c r="U83" s="284"/>
      <c r="V83" s="284"/>
      <c r="W83" s="284"/>
      <c r="X83" s="284"/>
      <c r="Y83" s="284"/>
      <c r="Z83" s="284"/>
      <c r="AA83" s="284"/>
      <c r="AB83" s="284"/>
      <c r="AC83" s="6"/>
      <c r="AD83" s="6"/>
    </row>
    <row r="84" spans="1:30" ht="3.75" customHeight="1" x14ac:dyDescent="0.35">
      <c r="A84" s="6"/>
      <c r="B84" s="275"/>
      <c r="C84" s="275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4"/>
      <c r="S84" s="284"/>
      <c r="T84" s="284"/>
      <c r="U84" s="284"/>
      <c r="V84" s="284"/>
      <c r="W84" s="284"/>
      <c r="X84" s="284"/>
      <c r="Y84" s="284"/>
      <c r="Z84" s="284"/>
      <c r="AA84" s="284"/>
      <c r="AB84" s="284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5" t="s">
        <v>424</v>
      </c>
      <c r="C86" s="280">
        <v>903.2</v>
      </c>
      <c r="D86" s="281" t="str">
        <f>IFERROR(INDEX('Input Data'!D:D,MATCH("3.01",'Input Data'!C:C,0)),"—")</f>
        <v>Sydney Smiletree Pty Ltd</v>
      </c>
      <c r="E86" s="281"/>
      <c r="F86" s="281"/>
      <c r="G86" s="281"/>
      <c r="H86" s="281"/>
      <c r="I86" s="282" t="str">
        <f>IFERROR(INDEX('Input Data'!D:D,MATCH("3.02",'Input Data'!C:C,0)),"—")</f>
        <v>Fitness First Australia Pty Limited</v>
      </c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  <c r="V86" s="282"/>
      <c r="W86" s="282"/>
      <c r="X86" s="282"/>
      <c r="Y86" s="282"/>
      <c r="Z86" s="282"/>
      <c r="AA86" s="282"/>
      <c r="AB86" s="282"/>
      <c r="AC86" s="6"/>
      <c r="AD86" s="6"/>
    </row>
    <row r="87" spans="1:30" ht="13.5" customHeight="1" x14ac:dyDescent="0.35">
      <c r="A87" s="6"/>
      <c r="B87" s="275"/>
      <c r="C87" s="275"/>
      <c r="D87" s="283" t="str">
        <f>IFERROR("3.01 — "&amp;INDEX('Input Data'!B:B,MATCH("3.01",'Input Data'!C:C,0)),"—")</f>
        <v>3.01 — L03</v>
      </c>
      <c r="E87" s="283"/>
      <c r="F87" s="283"/>
      <c r="G87" s="283"/>
      <c r="H87" s="283"/>
      <c r="I87" s="284" t="str">
        <f>IFERROR("3.02 — "&amp;INDEX('Input Data'!B:B,MATCH("3.02",'Input Data'!C:C,0)),"—")</f>
        <v>3.02 — L03</v>
      </c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4"/>
      <c r="W87" s="284"/>
      <c r="X87" s="284"/>
      <c r="Y87" s="284"/>
      <c r="Z87" s="284"/>
      <c r="AA87" s="284"/>
      <c r="AB87" s="284"/>
      <c r="AC87" s="6"/>
      <c r="AD87" s="6"/>
    </row>
    <row r="88" spans="1:30" ht="13.5" customHeight="1" x14ac:dyDescent="0.35">
      <c r="A88" s="6"/>
      <c r="B88" s="275"/>
      <c r="C88" s="275"/>
      <c r="D88" s="283" t="str">
        <f>IFERROR(TEXT(INDEX('Input Data'!F:F,MATCH("3.01",'Input Data'!C:C,0)),"#,##0.0")&amp;" sqm","—")</f>
        <v>107.7 sqm</v>
      </c>
      <c r="E88" s="283"/>
      <c r="F88" s="283"/>
      <c r="G88" s="283"/>
      <c r="H88" s="283"/>
      <c r="I88" s="284" t="str">
        <f>IFERROR(TEXT(INDEX('Input Data'!F:F,MATCH("3.02",'Input Data'!C:C,0)),"#,##0.0")&amp;" sqm","—")</f>
        <v>795.5 sqm</v>
      </c>
      <c r="J88" s="284"/>
      <c r="K88" s="284"/>
      <c r="L88" s="284"/>
      <c r="M88" s="284"/>
      <c r="N88" s="284"/>
      <c r="O88" s="284"/>
      <c r="P88" s="284"/>
      <c r="Q88" s="284"/>
      <c r="R88" s="284"/>
      <c r="S88" s="284"/>
      <c r="T88" s="284"/>
      <c r="U88" s="284"/>
      <c r="V88" s="284"/>
      <c r="W88" s="284"/>
      <c r="X88" s="284"/>
      <c r="Y88" s="284"/>
      <c r="Z88" s="284"/>
      <c r="AA88" s="284"/>
      <c r="AB88" s="284"/>
      <c r="AC88" s="6"/>
      <c r="AD88" s="6"/>
    </row>
    <row r="89" spans="1:30" ht="13.5" customHeight="1" x14ac:dyDescent="0.35">
      <c r="A89" s="6"/>
      <c r="B89" s="275"/>
      <c r="C89" s="275"/>
      <c r="D89" s="285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85"/>
      <c r="F89" s="285"/>
      <c r="G89" s="285"/>
      <c r="H89" s="285"/>
      <c r="I89" s="286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6"/>
      <c r="K89" s="286"/>
      <c r="L89" s="286"/>
      <c r="M89" s="286"/>
      <c r="N89" s="286"/>
      <c r="O89" s="286"/>
      <c r="P89" s="286"/>
      <c r="Q89" s="286"/>
      <c r="R89" s="286"/>
      <c r="S89" s="286"/>
      <c r="T89" s="286"/>
      <c r="U89" s="286"/>
      <c r="V89" s="286"/>
      <c r="W89" s="286"/>
      <c r="X89" s="286"/>
      <c r="Y89" s="286"/>
      <c r="Z89" s="286"/>
      <c r="AA89" s="286"/>
      <c r="AB89" s="286"/>
      <c r="AC89" s="6"/>
      <c r="AD89" s="6"/>
    </row>
    <row r="90" spans="1:30" ht="13.5" customHeight="1" x14ac:dyDescent="0.35">
      <c r="A90" s="6"/>
      <c r="B90" s="275"/>
      <c r="C90" s="275"/>
      <c r="D90" s="285" t="str">
        <f>IFERROR("Outg $"&amp;TEXT(INDEX('Input Data'!M:M,MATCH("3.01",'Input Data'!C:C,0)),"#,##0")&amp;" | Rev: "&amp;INDEX('Input Data'!S:S,MATCH("3.01",'Input Data'!C:C,0)),"—")</f>
        <v>Outg $7,244 | Rev: FIXED 4%</v>
      </c>
      <c r="E90" s="285"/>
      <c r="F90" s="285"/>
      <c r="G90" s="285"/>
      <c r="H90" s="285"/>
      <c r="I90" s="286" t="str">
        <f>IFERROR("Outg $"&amp;TEXT(INDEX('Input Data'!M:M,MATCH("3.02",'Input Data'!C:C,0)),"#,##0")&amp;" | Rev: "&amp;INDEX('Input Data'!S:S,MATCH("3.02",'Input Data'!C:C,0)),"—")</f>
        <v>Outg $0 | Rev: FIXED 4%</v>
      </c>
      <c r="J90" s="286"/>
      <c r="K90" s="286"/>
      <c r="L90" s="286"/>
      <c r="M90" s="286"/>
      <c r="N90" s="286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6"/>
      <c r="AD90" s="6"/>
    </row>
    <row r="91" spans="1:30" ht="13.5" customHeight="1" x14ac:dyDescent="0.35">
      <c r="A91" s="6"/>
      <c r="B91" s="275"/>
      <c r="C91" s="275"/>
      <c r="D91" s="283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83"/>
      <c r="F91" s="283"/>
      <c r="G91" s="283"/>
      <c r="H91" s="283"/>
      <c r="I91" s="284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4"/>
      <c r="K91" s="284"/>
      <c r="L91" s="284"/>
      <c r="M91" s="284"/>
      <c r="N91" s="284"/>
      <c r="O91" s="284"/>
      <c r="P91" s="284"/>
      <c r="Q91" s="284"/>
      <c r="R91" s="284"/>
      <c r="S91" s="284"/>
      <c r="T91" s="284"/>
      <c r="U91" s="284"/>
      <c r="V91" s="284"/>
      <c r="W91" s="284"/>
      <c r="X91" s="284"/>
      <c r="Y91" s="284"/>
      <c r="Z91" s="284"/>
      <c r="AA91" s="284"/>
      <c r="AB91" s="284"/>
      <c r="AC91" s="6"/>
      <c r="AD91" s="6"/>
    </row>
    <row r="92" spans="1:30" ht="13.5" customHeight="1" x14ac:dyDescent="0.35">
      <c r="A92" s="6"/>
      <c r="B92" s="275"/>
      <c r="C92" s="275"/>
      <c r="D92" s="283" t="str">
        <f ca="1">IFERROR(TEXT(INDEX('Input Data'!V:V,MATCH("3.01",'Input Data'!C:C,0)),"0.0")&amp;" yrs remaining","—")</f>
        <v>2.5 yrs remaining</v>
      </c>
      <c r="E92" s="283"/>
      <c r="F92" s="283"/>
      <c r="G92" s="283"/>
      <c r="H92" s="283"/>
      <c r="I92" s="284" t="str">
        <f ca="1">IFERROR(TEXT(INDEX('Input Data'!V:V,MATCH("3.02",'Input Data'!C:C,0)),"0.0")&amp;" yrs remaining","—")</f>
        <v>5.0 yrs remaining</v>
      </c>
      <c r="J92" s="284"/>
      <c r="K92" s="284"/>
      <c r="L92" s="284"/>
      <c r="M92" s="284"/>
      <c r="N92" s="284"/>
      <c r="O92" s="284"/>
      <c r="P92" s="284"/>
      <c r="Q92" s="284"/>
      <c r="R92" s="284"/>
      <c r="S92" s="284"/>
      <c r="T92" s="284"/>
      <c r="U92" s="284"/>
      <c r="V92" s="284"/>
      <c r="W92" s="284"/>
      <c r="X92" s="284"/>
      <c r="Y92" s="284"/>
      <c r="Z92" s="284"/>
      <c r="AA92" s="284"/>
      <c r="AB92" s="284"/>
      <c r="AC92" s="6"/>
      <c r="AD92" s="6"/>
    </row>
    <row r="93" spans="1:30" ht="3.75" customHeight="1" x14ac:dyDescent="0.35">
      <c r="A93" s="6"/>
      <c r="B93" s="275"/>
      <c r="C93" s="275"/>
      <c r="D93" s="283"/>
      <c r="E93" s="283"/>
      <c r="F93" s="283"/>
      <c r="G93" s="283"/>
      <c r="H93" s="283"/>
      <c r="I93" s="284"/>
      <c r="J93" s="284"/>
      <c r="K93" s="284"/>
      <c r="L93" s="284"/>
      <c r="M93" s="284"/>
      <c r="N93" s="284"/>
      <c r="O93" s="284"/>
      <c r="P93" s="284"/>
      <c r="Q93" s="284"/>
      <c r="R93" s="284"/>
      <c r="S93" s="284"/>
      <c r="T93" s="284"/>
      <c r="U93" s="284"/>
      <c r="V93" s="284"/>
      <c r="W93" s="284"/>
      <c r="X93" s="284"/>
      <c r="Y93" s="284"/>
      <c r="Z93" s="284"/>
      <c r="AA93" s="284"/>
      <c r="AB93" s="284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5" t="s">
        <v>425</v>
      </c>
      <c r="C95" s="276" t="s">
        <v>4</v>
      </c>
      <c r="D95" s="277" t="s">
        <v>426</v>
      </c>
      <c r="E95" s="277"/>
      <c r="F95" s="277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  <c r="Z95" s="277"/>
      <c r="AA95" s="277"/>
      <c r="AB95" s="277"/>
      <c r="AC95" s="6"/>
      <c r="AD95" s="6"/>
    </row>
    <row r="96" spans="1:30" ht="13.5" customHeight="1" x14ac:dyDescent="0.35">
      <c r="A96" s="6"/>
      <c r="B96" s="275"/>
      <c r="C96" s="275"/>
      <c r="D96" s="278" t="s">
        <v>427</v>
      </c>
      <c r="E96" s="278"/>
      <c r="F96" s="278"/>
      <c r="G96" s="278"/>
      <c r="H96" s="278"/>
      <c r="I96" s="278"/>
      <c r="J96" s="278"/>
      <c r="K96" s="278"/>
      <c r="L96" s="278"/>
      <c r="M96" s="278"/>
      <c r="N96" s="278"/>
      <c r="O96" s="278"/>
      <c r="P96" s="278"/>
      <c r="Q96" s="278"/>
      <c r="R96" s="278"/>
      <c r="S96" s="278"/>
      <c r="T96" s="278"/>
      <c r="U96" s="278"/>
      <c r="V96" s="278"/>
      <c r="W96" s="278"/>
      <c r="X96" s="278"/>
      <c r="Y96" s="278"/>
      <c r="Z96" s="278"/>
      <c r="AA96" s="278"/>
      <c r="AB96" s="278"/>
      <c r="AC96" s="6"/>
      <c r="AD96" s="6"/>
    </row>
    <row r="97" spans="1:30" ht="13.5" customHeight="1" x14ac:dyDescent="0.35">
      <c r="A97" s="6"/>
      <c r="B97" s="275"/>
      <c r="C97" s="275"/>
      <c r="D97" s="278" t="s">
        <v>4</v>
      </c>
      <c r="E97" s="278"/>
      <c r="F97" s="278"/>
      <c r="G97" s="278"/>
      <c r="H97" s="278"/>
      <c r="I97" s="278"/>
      <c r="J97" s="278"/>
      <c r="K97" s="278"/>
      <c r="L97" s="278"/>
      <c r="M97" s="278"/>
      <c r="N97" s="278"/>
      <c r="O97" s="278"/>
      <c r="P97" s="278"/>
      <c r="Q97" s="278"/>
      <c r="R97" s="278"/>
      <c r="S97" s="278"/>
      <c r="T97" s="278"/>
      <c r="U97" s="278"/>
      <c r="V97" s="278"/>
      <c r="W97" s="278"/>
      <c r="X97" s="278"/>
      <c r="Y97" s="278"/>
      <c r="Z97" s="278"/>
      <c r="AA97" s="278"/>
      <c r="AB97" s="278"/>
      <c r="AC97" s="6"/>
      <c r="AD97" s="6"/>
    </row>
    <row r="98" spans="1:30" ht="13.5" customHeight="1" x14ac:dyDescent="0.35">
      <c r="A98" s="6"/>
      <c r="B98" s="275"/>
      <c r="C98" s="275"/>
      <c r="D98" s="279" t="s">
        <v>428</v>
      </c>
      <c r="E98" s="279"/>
      <c r="F98" s="279"/>
      <c r="G98" s="279"/>
      <c r="H98" s="279"/>
      <c r="I98" s="279"/>
      <c r="J98" s="279"/>
      <c r="K98" s="279"/>
      <c r="L98" s="279"/>
      <c r="M98" s="279"/>
      <c r="N98" s="279"/>
      <c r="O98" s="279"/>
      <c r="P98" s="279"/>
      <c r="Q98" s="279"/>
      <c r="R98" s="279"/>
      <c r="S98" s="279"/>
      <c r="T98" s="279"/>
      <c r="U98" s="279"/>
      <c r="V98" s="279"/>
      <c r="W98" s="279"/>
      <c r="X98" s="279"/>
      <c r="Y98" s="279"/>
      <c r="Z98" s="279"/>
      <c r="AA98" s="279"/>
      <c r="AB98" s="279"/>
      <c r="AC98" s="6"/>
      <c r="AD98" s="6"/>
    </row>
    <row r="99" spans="1:30" ht="13.5" customHeight="1" x14ac:dyDescent="0.35">
      <c r="A99" s="6"/>
      <c r="B99" s="275"/>
      <c r="C99" s="275"/>
      <c r="D99" s="279" t="s">
        <v>429</v>
      </c>
      <c r="E99" s="279"/>
      <c r="F99" s="279"/>
      <c r="G99" s="279"/>
      <c r="H99" s="279"/>
      <c r="I99" s="279"/>
      <c r="J99" s="279"/>
      <c r="K99" s="279"/>
      <c r="L99" s="279"/>
      <c r="M99" s="279"/>
      <c r="N99" s="279"/>
      <c r="O99" s="279"/>
      <c r="P99" s="279"/>
      <c r="Q99" s="279"/>
      <c r="R99" s="279"/>
      <c r="S99" s="279"/>
      <c r="T99" s="279"/>
      <c r="U99" s="279"/>
      <c r="V99" s="279"/>
      <c r="W99" s="279"/>
      <c r="X99" s="279"/>
      <c r="Y99" s="279"/>
      <c r="Z99" s="279"/>
      <c r="AA99" s="279"/>
      <c r="AB99" s="279"/>
      <c r="AC99" s="6"/>
      <c r="AD99" s="6"/>
    </row>
    <row r="100" spans="1:30" ht="13.5" customHeight="1" x14ac:dyDescent="0.35">
      <c r="A100" s="6"/>
      <c r="B100" s="275"/>
      <c r="C100" s="275"/>
      <c r="D100" s="278" t="s">
        <v>430</v>
      </c>
      <c r="E100" s="278"/>
      <c r="F100" s="278"/>
      <c r="G100" s="278"/>
      <c r="H100" s="278"/>
      <c r="I100" s="278"/>
      <c r="J100" s="278"/>
      <c r="K100" s="278"/>
      <c r="L100" s="278"/>
      <c r="M100" s="278"/>
      <c r="N100" s="278"/>
      <c r="O100" s="278"/>
      <c r="P100" s="278"/>
      <c r="Q100" s="278"/>
      <c r="R100" s="278"/>
      <c r="S100" s="278"/>
      <c r="T100" s="278"/>
      <c r="U100" s="278"/>
      <c r="V100" s="278"/>
      <c r="W100" s="278"/>
      <c r="X100" s="278"/>
      <c r="Y100" s="278"/>
      <c r="Z100" s="278"/>
      <c r="AA100" s="278"/>
      <c r="AB100" s="278"/>
      <c r="AC100" s="6"/>
      <c r="AD100" s="6"/>
    </row>
    <row r="101" spans="1:30" ht="13.5" customHeight="1" x14ac:dyDescent="0.35">
      <c r="A101" s="6"/>
      <c r="B101" s="275"/>
      <c r="C101" s="275"/>
      <c r="D101" s="278" t="s">
        <v>431</v>
      </c>
      <c r="E101" s="278"/>
      <c r="F101" s="278"/>
      <c r="G101" s="278"/>
      <c r="H101" s="278"/>
      <c r="I101" s="278"/>
      <c r="J101" s="278"/>
      <c r="K101" s="278"/>
      <c r="L101" s="278"/>
      <c r="M101" s="278"/>
      <c r="N101" s="278"/>
      <c r="O101" s="278"/>
      <c r="P101" s="278"/>
      <c r="Q101" s="278"/>
      <c r="R101" s="278"/>
      <c r="S101" s="278"/>
      <c r="T101" s="278"/>
      <c r="U101" s="278"/>
      <c r="V101" s="278"/>
      <c r="W101" s="278"/>
      <c r="X101" s="278"/>
      <c r="Y101" s="278"/>
      <c r="Z101" s="278"/>
      <c r="AA101" s="278"/>
      <c r="AB101" s="278"/>
      <c r="AC101" s="6"/>
      <c r="AD101" s="6"/>
    </row>
    <row r="102" spans="1:30" ht="3.75" customHeight="1" x14ac:dyDescent="0.35">
      <c r="A102" s="6"/>
      <c r="B102" s="275"/>
      <c r="C102" s="275"/>
      <c r="D102" s="278"/>
      <c r="E102" s="278"/>
      <c r="F102" s="278"/>
      <c r="G102" s="278"/>
      <c r="H102" s="278"/>
      <c r="I102" s="278"/>
      <c r="J102" s="278"/>
      <c r="K102" s="278"/>
      <c r="L102" s="278"/>
      <c r="M102" s="278"/>
      <c r="N102" s="278"/>
      <c r="O102" s="278"/>
      <c r="P102" s="278"/>
      <c r="Q102" s="278"/>
      <c r="R102" s="278"/>
      <c r="S102" s="278"/>
      <c r="T102" s="278"/>
      <c r="U102" s="278"/>
      <c r="V102" s="278"/>
      <c r="W102" s="278"/>
      <c r="X102" s="278"/>
      <c r="Y102" s="278"/>
      <c r="Z102" s="278"/>
      <c r="AA102" s="278"/>
      <c r="AB102" s="278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9"/>
      <c r="C104" s="69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191" t="s">
        <v>432</v>
      </c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  <c r="AA106" s="191"/>
      <c r="AB106" s="191"/>
      <c r="AC106" s="6"/>
      <c r="AD106" s="6"/>
    </row>
    <row r="107" spans="1:30" ht="19.5" customHeight="1" x14ac:dyDescent="0.35">
      <c r="A107" s="6"/>
      <c r="B107" s="6"/>
      <c r="C107" s="6"/>
      <c r="D107" s="234" t="s">
        <v>433</v>
      </c>
      <c r="E107" s="234"/>
      <c r="F107" s="234"/>
      <c r="G107" s="6"/>
      <c r="H107" s="238" t="s">
        <v>260</v>
      </c>
      <c r="I107" s="238"/>
      <c r="J107" s="238"/>
      <c r="K107" s="6"/>
      <c r="L107" s="237" t="s">
        <v>261</v>
      </c>
      <c r="M107" s="237"/>
      <c r="N107" s="237"/>
      <c r="O107" s="6"/>
      <c r="P107" s="233" t="s">
        <v>262</v>
      </c>
      <c r="Q107" s="233"/>
      <c r="R107" s="233"/>
      <c r="S107" s="6"/>
      <c r="T107" s="272" t="s">
        <v>263</v>
      </c>
      <c r="U107" s="272"/>
      <c r="V107" s="272"/>
      <c r="W107" s="6"/>
      <c r="X107" s="273" t="s">
        <v>264</v>
      </c>
      <c r="Y107" s="273"/>
      <c r="Z107" s="273"/>
      <c r="AA107" s="6"/>
      <c r="AB107" s="274" t="s">
        <v>434</v>
      </c>
      <c r="AC107" s="274"/>
      <c r="AD107" s="274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65" t="s">
        <v>435</v>
      </c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265"/>
      <c r="O109" s="265"/>
      <c r="P109" s="265"/>
      <c r="Q109" s="265"/>
      <c r="R109" s="265"/>
      <c r="S109" s="265"/>
      <c r="T109" s="265"/>
      <c r="U109" s="265"/>
      <c r="V109" s="265"/>
      <c r="W109" s="265"/>
      <c r="X109" s="265"/>
      <c r="Y109" s="265"/>
      <c r="Z109" s="265"/>
      <c r="AA109" s="265"/>
      <c r="AB109" s="265"/>
      <c r="AC109" s="6"/>
      <c r="AD109" s="6"/>
    </row>
  </sheetData>
  <mergeCells count="219"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N75:R75"/>
    <mergeCell ref="S75:AB75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D64:H64"/>
    <mergeCell ref="I64:Q64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D75:M75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7" t="s">
        <v>436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9" t="s">
        <v>447</v>
      </c>
      <c r="D3" s="13" t="s">
        <v>189</v>
      </c>
      <c r="E3" s="22">
        <v>344.5</v>
      </c>
      <c r="F3" s="25">
        <v>990.29</v>
      </c>
      <c r="G3" s="149">
        <v>3.5000000000000003E-2</v>
      </c>
      <c r="H3" s="23">
        <v>45992</v>
      </c>
      <c r="I3" s="23">
        <v>47483</v>
      </c>
      <c r="J3" s="13" t="s">
        <v>448</v>
      </c>
      <c r="K3" s="150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9" t="s">
        <v>447</v>
      </c>
      <c r="D4" s="32" t="s">
        <v>194</v>
      </c>
      <c r="E4" s="34">
        <v>251</v>
      </c>
      <c r="F4" s="37">
        <v>985</v>
      </c>
      <c r="G4" s="151">
        <v>3.5000000000000003E-2</v>
      </c>
      <c r="H4" s="35">
        <v>45962</v>
      </c>
      <c r="I4" s="35">
        <v>47787</v>
      </c>
      <c r="J4" s="32" t="s">
        <v>450</v>
      </c>
      <c r="K4" s="126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9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50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9" t="s">
        <v>447</v>
      </c>
      <c r="D6" s="32" t="s">
        <v>175</v>
      </c>
      <c r="E6" s="34">
        <v>116.3</v>
      </c>
      <c r="F6" s="37">
        <v>990</v>
      </c>
      <c r="G6" s="151">
        <v>3.7499999999999999E-2</v>
      </c>
      <c r="H6" s="35">
        <v>45809</v>
      </c>
      <c r="I6" s="35">
        <v>47787</v>
      </c>
      <c r="J6" s="32" t="s">
        <v>454</v>
      </c>
      <c r="K6" s="126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9" t="s">
        <v>447</v>
      </c>
      <c r="D7" s="13" t="s">
        <v>135</v>
      </c>
      <c r="E7" s="22">
        <v>451.7</v>
      </c>
      <c r="F7" s="25">
        <v>954.5</v>
      </c>
      <c r="G7" s="149">
        <v>3.7499999999999999E-2</v>
      </c>
      <c r="H7" s="23">
        <v>45762</v>
      </c>
      <c r="I7" s="23">
        <v>47375</v>
      </c>
      <c r="J7" s="13" t="s">
        <v>456</v>
      </c>
      <c r="K7" s="150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9" t="s">
        <v>447</v>
      </c>
      <c r="D8" s="32" t="s">
        <v>199</v>
      </c>
      <c r="E8" s="34">
        <v>536</v>
      </c>
      <c r="F8" s="37">
        <v>988</v>
      </c>
      <c r="G8" s="151">
        <v>0.04</v>
      </c>
      <c r="H8" s="35">
        <v>45642</v>
      </c>
      <c r="I8" s="35">
        <v>47832</v>
      </c>
      <c r="J8" s="32" t="s">
        <v>458</v>
      </c>
      <c r="K8" s="126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9" t="s">
        <v>447</v>
      </c>
      <c r="D9" s="13" t="s">
        <v>128</v>
      </c>
      <c r="E9" s="22">
        <v>413.5</v>
      </c>
      <c r="F9" s="25">
        <v>1005.89</v>
      </c>
      <c r="G9" s="149">
        <v>0.04</v>
      </c>
      <c r="H9" s="23">
        <v>45352</v>
      </c>
      <c r="I9" s="23">
        <v>47177</v>
      </c>
      <c r="J9" s="13" t="s">
        <v>450</v>
      </c>
      <c r="K9" s="150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1">
        <v>3.5000000000000003E-2</v>
      </c>
      <c r="H10" s="35">
        <v>45444</v>
      </c>
      <c r="I10" s="35">
        <v>47269</v>
      </c>
      <c r="J10" s="32" t="s">
        <v>450</v>
      </c>
      <c r="K10" s="126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9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2">
        <v>0</v>
      </c>
      <c r="M11" s="153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9" t="s">
        <v>447</v>
      </c>
      <c r="D12" s="32">
        <v>11.02</v>
      </c>
      <c r="E12" s="34">
        <v>536</v>
      </c>
      <c r="F12" s="37">
        <v>1040</v>
      </c>
      <c r="G12" s="151">
        <v>3.5000000000000003E-2</v>
      </c>
      <c r="H12" s="35">
        <v>46296</v>
      </c>
      <c r="I12" s="35">
        <v>49582</v>
      </c>
      <c r="J12" s="32" t="s">
        <v>458</v>
      </c>
      <c r="K12" s="126">
        <v>0.42499999999999999</v>
      </c>
      <c r="L12" s="152">
        <v>750400</v>
      </c>
      <c r="M12" s="153">
        <v>671072</v>
      </c>
      <c r="N12" s="37">
        <v>0</v>
      </c>
      <c r="O12" s="14" t="s">
        <v>464</v>
      </c>
    </row>
    <row r="13" spans="1:15" ht="18" customHeight="1" x14ac:dyDescent="0.35">
      <c r="A13" s="154"/>
      <c r="B13" s="115"/>
      <c r="C13" s="155"/>
      <c r="D13" s="12"/>
      <c r="E13" s="156"/>
      <c r="F13" s="157"/>
      <c r="G13" s="12"/>
      <c r="H13" s="154"/>
      <c r="I13" s="154"/>
      <c r="J13" s="12"/>
      <c r="K13" s="12"/>
      <c r="L13" s="12"/>
      <c r="M13" s="12"/>
      <c r="N13" s="157"/>
      <c r="O13" s="115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195" t="s">
        <v>465</v>
      </c>
      <c r="B16" s="195"/>
      <c r="C16" s="195"/>
      <c r="D16" s="195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183" t="s">
        <v>466</v>
      </c>
      <c r="B17" s="183"/>
      <c r="C17" s="183"/>
      <c r="D17" s="158" t="str">
        <f ca="1">TEXT(Dashboard!E14,"0.0")&amp;" years"</f>
        <v>0.0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9" t="s">
        <v>467</v>
      </c>
      <c r="B18" s="299"/>
      <c r="C18" s="299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183" t="s">
        <v>468</v>
      </c>
      <c r="B19" s="183"/>
      <c r="C19" s="183"/>
      <c r="D19" s="158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9" t="s">
        <v>470</v>
      </c>
      <c r="B20" s="299"/>
      <c r="C20" s="299"/>
      <c r="D20" s="16" t="s">
        <v>471</v>
      </c>
      <c r="E20" s="6"/>
      <c r="F20" s="6"/>
      <c r="G20" s="6"/>
      <c r="H20" s="6"/>
      <c r="I20" s="6"/>
      <c r="J20" s="6"/>
      <c r="K20" s="60" t="s">
        <v>472</v>
      </c>
      <c r="L20" s="6"/>
      <c r="M20" s="6"/>
      <c r="N20" s="6"/>
      <c r="O20" s="6"/>
    </row>
    <row r="21" spans="1:15" ht="15.75" customHeight="1" x14ac:dyDescent="0.35">
      <c r="A21" s="183" t="s">
        <v>473</v>
      </c>
      <c r="B21" s="183"/>
      <c r="C21" s="183"/>
      <c r="D21" s="158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9" t="s">
        <v>475</v>
      </c>
      <c r="B22" s="299"/>
      <c r="C22" s="299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183" t="s">
        <v>477</v>
      </c>
      <c r="B23" s="183"/>
      <c r="C23" s="183"/>
      <c r="D23" s="158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9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7" t="s">
        <v>478</v>
      </c>
      <c r="B1" s="267"/>
      <c r="C1" s="267"/>
      <c r="D1" s="267"/>
      <c r="E1" s="267"/>
      <c r="F1" s="267"/>
      <c r="G1" s="267"/>
      <c r="H1" s="267"/>
      <c r="I1" s="267"/>
      <c r="J1" s="267"/>
      <c r="K1" s="6"/>
      <c r="L1" s="6"/>
      <c r="M1" s="6"/>
    </row>
    <row r="2" spans="1:13" ht="15.75" customHeight="1" x14ac:dyDescent="0.35">
      <c r="A2" s="255" t="s">
        <v>479</v>
      </c>
      <c r="B2" s="255"/>
      <c r="C2" s="255"/>
      <c r="D2" s="255"/>
      <c r="E2" s="255"/>
      <c r="F2" s="255"/>
      <c r="G2" s="255"/>
      <c r="H2" s="255"/>
      <c r="I2" s="255"/>
      <c r="J2" s="255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191" t="s">
        <v>480</v>
      </c>
      <c r="C4" s="191"/>
      <c r="D4" s="191"/>
      <c r="E4" s="191"/>
      <c r="F4" s="191"/>
      <c r="G4" s="191"/>
      <c r="H4" s="191"/>
      <c r="I4" s="191"/>
      <c r="J4" s="6"/>
      <c r="K4" s="6"/>
      <c r="L4" s="6"/>
      <c r="M4" s="6"/>
    </row>
    <row r="5" spans="1:13" ht="21.75" customHeight="1" x14ac:dyDescent="0.35">
      <c r="A5" s="6"/>
      <c r="B5" s="183" t="s">
        <v>481</v>
      </c>
      <c r="C5" s="183"/>
      <c r="D5" s="183" t="s">
        <v>482</v>
      </c>
      <c r="E5" s="183"/>
      <c r="F5" s="183" t="s">
        <v>483</v>
      </c>
      <c r="G5" s="183"/>
      <c r="H5" s="183" t="s">
        <v>484</v>
      </c>
      <c r="I5" s="183"/>
      <c r="J5" s="6"/>
      <c r="K5" s="6"/>
      <c r="L5" s="6"/>
      <c r="M5" s="6"/>
    </row>
    <row r="6" spans="1:13" ht="21.75" customHeight="1" x14ac:dyDescent="0.35">
      <c r="A6" s="6"/>
      <c r="B6" s="300" t="s">
        <v>4</v>
      </c>
      <c r="C6" s="300"/>
      <c r="D6" s="300" t="s">
        <v>4</v>
      </c>
      <c r="E6" s="300"/>
      <c r="F6" s="300" t="s">
        <v>4</v>
      </c>
      <c r="G6" s="300"/>
      <c r="H6" s="300" t="s">
        <v>4</v>
      </c>
      <c r="I6" s="300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191" t="s">
        <v>485</v>
      </c>
      <c r="C8" s="191"/>
      <c r="D8" s="191"/>
      <c r="E8" s="191"/>
      <c r="F8" s="191"/>
      <c r="G8" s="191"/>
      <c r="H8" s="191"/>
      <c r="I8" s="191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9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60" t="s">
        <v>211</v>
      </c>
      <c r="C11" s="19" t="s">
        <v>499</v>
      </c>
      <c r="D11" s="161">
        <v>349</v>
      </c>
      <c r="E11" s="96">
        <v>45292</v>
      </c>
      <c r="F11" s="89" t="s">
        <v>496</v>
      </c>
      <c r="G11" s="162">
        <v>86789.32</v>
      </c>
      <c r="H11" s="162">
        <v>248.68</v>
      </c>
      <c r="I11" s="160">
        <v>0</v>
      </c>
      <c r="J11" s="162">
        <v>86789.32</v>
      </c>
      <c r="K11" s="163"/>
      <c r="L11" s="19" t="s">
        <v>500</v>
      </c>
      <c r="M11" s="160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9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60" t="s">
        <v>206</v>
      </c>
      <c r="C13" s="19" t="s">
        <v>504</v>
      </c>
      <c r="D13" s="161">
        <v>186.4</v>
      </c>
      <c r="E13" s="96">
        <v>44562</v>
      </c>
      <c r="F13" s="89" t="s">
        <v>496</v>
      </c>
      <c r="G13" s="162">
        <v>170556</v>
      </c>
      <c r="H13" s="162">
        <v>915</v>
      </c>
      <c r="I13" s="160">
        <v>0</v>
      </c>
      <c r="J13" s="162">
        <v>170556</v>
      </c>
      <c r="K13" s="163"/>
      <c r="L13" s="19" t="s">
        <v>497</v>
      </c>
      <c r="M13" s="160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9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60" t="s">
        <v>175</v>
      </c>
      <c r="C15" s="19" t="s">
        <v>509</v>
      </c>
      <c r="D15" s="161">
        <v>116.3</v>
      </c>
      <c r="E15" s="96">
        <v>45658</v>
      </c>
      <c r="F15" s="89" t="s">
        <v>496</v>
      </c>
      <c r="G15" s="162">
        <v>3023.8</v>
      </c>
      <c r="H15" s="162">
        <v>26</v>
      </c>
      <c r="I15" s="160">
        <v>0</v>
      </c>
      <c r="J15" s="162">
        <v>3023.8</v>
      </c>
      <c r="K15" s="163"/>
      <c r="L15" s="19" t="s">
        <v>510</v>
      </c>
      <c r="M15" s="160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60" t="s">
        <v>194</v>
      </c>
      <c r="C17" s="19" t="s">
        <v>516</v>
      </c>
      <c r="D17" s="161">
        <v>344.5</v>
      </c>
      <c r="E17" s="96">
        <v>45658</v>
      </c>
      <c r="F17" s="89" t="s">
        <v>496</v>
      </c>
      <c r="G17" s="162">
        <v>64161</v>
      </c>
      <c r="H17" s="162">
        <v>186.24</v>
      </c>
      <c r="I17" s="160">
        <v>0</v>
      </c>
      <c r="J17" s="162">
        <v>64161</v>
      </c>
      <c r="K17" s="163"/>
      <c r="L17" s="19" t="s">
        <v>510</v>
      </c>
      <c r="M17" s="160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9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1"/>
      <c r="C19" s="101"/>
      <c r="D19" s="101"/>
      <c r="E19" s="101"/>
      <c r="F19" s="71"/>
      <c r="G19" s="71"/>
      <c r="H19" s="71"/>
      <c r="I19" s="71"/>
      <c r="J19" s="71"/>
      <c r="K19" s="71"/>
      <c r="L19" s="101"/>
      <c r="M19" s="101"/>
    </row>
    <row r="20" spans="1:13" ht="19.5" customHeight="1" x14ac:dyDescent="0.35">
      <c r="A20" s="6"/>
      <c r="B20" s="1"/>
      <c r="C20" s="1"/>
      <c r="D20" s="1"/>
      <c r="E20" s="1"/>
      <c r="F20" s="71"/>
      <c r="G20" s="71"/>
      <c r="H20" s="71"/>
      <c r="I20" s="71"/>
      <c r="J20" s="71"/>
      <c r="K20" s="71"/>
      <c r="L20" s="1"/>
      <c r="M20" s="1"/>
    </row>
    <row r="21" spans="1:13" ht="19.5" customHeight="1" x14ac:dyDescent="0.35">
      <c r="A21" s="6"/>
      <c r="B21" s="101"/>
      <c r="C21" s="101"/>
      <c r="D21" s="101"/>
      <c r="E21" s="101"/>
      <c r="F21" s="71"/>
      <c r="G21" s="71"/>
      <c r="H21" s="71"/>
      <c r="I21" s="71"/>
      <c r="J21" s="71"/>
      <c r="K21" s="71"/>
      <c r="L21" s="101"/>
      <c r="M21" s="101"/>
    </row>
    <row r="22" spans="1:13" ht="19.5" customHeight="1" x14ac:dyDescent="0.35">
      <c r="A22" s="6"/>
      <c r="B22" s="1"/>
      <c r="C22" s="1"/>
      <c r="D22" s="1"/>
      <c r="E22" s="1"/>
      <c r="F22" s="71"/>
      <c r="G22" s="71"/>
      <c r="H22" s="71"/>
      <c r="I22" s="71"/>
      <c r="J22" s="71"/>
      <c r="K22" s="71"/>
      <c r="L22" s="1"/>
      <c r="M22" s="1"/>
    </row>
    <row r="23" spans="1:13" ht="19.5" customHeight="1" x14ac:dyDescent="0.35">
      <c r="A23" s="6"/>
      <c r="B23" s="101"/>
      <c r="C23" s="101"/>
      <c r="D23" s="101"/>
      <c r="E23" s="101"/>
      <c r="F23" s="71"/>
      <c r="G23" s="71"/>
      <c r="H23" s="71"/>
      <c r="I23" s="71"/>
      <c r="J23" s="71"/>
      <c r="K23" s="71"/>
      <c r="L23" s="101"/>
      <c r="M23" s="101"/>
    </row>
    <row r="24" spans="1:13" ht="19.5" customHeight="1" x14ac:dyDescent="0.35">
      <c r="A24" s="6"/>
      <c r="B24" s="1"/>
      <c r="C24" s="1"/>
      <c r="D24" s="1"/>
      <c r="E24" s="1"/>
      <c r="F24" s="71"/>
      <c r="G24" s="71"/>
      <c r="H24" s="71"/>
      <c r="I24" s="71"/>
      <c r="J24" s="71"/>
      <c r="K24" s="71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191" t="s">
        <v>520</v>
      </c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</row>
    <row r="28" spans="1:13" ht="18" customHeight="1" x14ac:dyDescent="0.35">
      <c r="A28" s="6"/>
      <c r="B28" s="114" t="s">
        <v>521</v>
      </c>
      <c r="C28" s="164" t="s">
        <v>522</v>
      </c>
      <c r="D28" s="164" t="s">
        <v>523</v>
      </c>
      <c r="E28" s="164" t="s">
        <v>524</v>
      </c>
      <c r="F28" s="114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60" t="s">
        <v>526</v>
      </c>
      <c r="D29" s="160" t="s">
        <v>527</v>
      </c>
      <c r="E29" s="160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60" t="s">
        <v>536</v>
      </c>
      <c r="D31" s="160" t="s">
        <v>537</v>
      </c>
      <c r="E31" s="160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60" t="s">
        <v>545</v>
      </c>
      <c r="D33" s="160" t="s">
        <v>546</v>
      </c>
      <c r="E33" s="160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60" t="s">
        <v>555</v>
      </c>
      <c r="D35" s="160" t="s">
        <v>556</v>
      </c>
      <c r="E35" s="160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A1:J1"/>
    <mergeCell ref="A2:J2"/>
    <mergeCell ref="B4:I4"/>
    <mergeCell ref="B5:C5"/>
    <mergeCell ref="D5:E5"/>
    <mergeCell ref="F5:G5"/>
    <mergeCell ref="H5:I5"/>
    <mergeCell ref="B27:M27"/>
    <mergeCell ref="B6:C6"/>
    <mergeCell ref="D6:E6"/>
    <mergeCell ref="F6:G6"/>
    <mergeCell ref="H6:I6"/>
    <mergeCell ref="B8:I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7" t="s">
        <v>559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15.75" customHeight="1" x14ac:dyDescent="0.35">
      <c r="A2" s="255" t="s">
        <v>560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</row>
    <row r="3" spans="1:14" ht="19.5" customHeight="1" x14ac:dyDescent="0.35">
      <c r="A3" s="6"/>
      <c r="B3" s="191" t="s">
        <v>561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6"/>
    </row>
    <row r="4" spans="1:14" ht="24" customHeight="1" x14ac:dyDescent="0.35">
      <c r="A4" s="6"/>
      <c r="B4" s="183" t="s">
        <v>562</v>
      </c>
      <c r="C4" s="183"/>
      <c r="D4" s="165" t="s">
        <v>563</v>
      </c>
      <c r="E4" s="183" t="s">
        <v>564</v>
      </c>
      <c r="F4" s="183"/>
      <c r="G4" s="165" t="s">
        <v>565</v>
      </c>
      <c r="H4" s="183" t="s">
        <v>566</v>
      </c>
      <c r="I4" s="183"/>
      <c r="J4" s="165" t="s">
        <v>13</v>
      </c>
      <c r="K4" s="183" t="s">
        <v>567</v>
      </c>
      <c r="L4" s="183"/>
      <c r="M4" s="165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191" t="s">
        <v>569</v>
      </c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50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60" t="s">
        <v>211</v>
      </c>
      <c r="C9" s="161">
        <v>349</v>
      </c>
      <c r="D9" s="162">
        <v>5235</v>
      </c>
      <c r="E9" s="162">
        <v>6980</v>
      </c>
      <c r="F9" s="162">
        <v>6980</v>
      </c>
      <c r="G9" s="162">
        <v>8725</v>
      </c>
      <c r="H9" s="162">
        <v>248.68</v>
      </c>
      <c r="I9" s="162">
        <v>990</v>
      </c>
      <c r="J9" s="160" t="s">
        <v>4</v>
      </c>
      <c r="K9" s="160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50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60" t="s">
        <v>512</v>
      </c>
      <c r="C11" s="161">
        <v>850.4</v>
      </c>
      <c r="D11" s="162">
        <v>12756</v>
      </c>
      <c r="E11" s="162">
        <v>17008</v>
      </c>
      <c r="F11" s="162">
        <v>17008</v>
      </c>
      <c r="G11" s="162">
        <v>21260</v>
      </c>
      <c r="H11" s="160" t="s">
        <v>4</v>
      </c>
      <c r="I11" s="162">
        <v>990</v>
      </c>
      <c r="J11" s="132">
        <v>0.5</v>
      </c>
      <c r="K11" s="160">
        <v>4</v>
      </c>
      <c r="L11" s="19" t="s">
        <v>582</v>
      </c>
      <c r="M11" s="6"/>
      <c r="N11" s="6"/>
    </row>
    <row r="12" spans="1:14" ht="19.5" customHeight="1" x14ac:dyDescent="0.35">
      <c r="A12" s="6"/>
      <c r="B12" s="195" t="s">
        <v>583</v>
      </c>
      <c r="C12" s="195"/>
      <c r="D12" s="103">
        <v>1823.8</v>
      </c>
      <c r="E12" s="64">
        <v>27357</v>
      </c>
      <c r="F12" s="64">
        <v>36476</v>
      </c>
      <c r="G12" s="64">
        <v>36476</v>
      </c>
      <c r="H12" s="64">
        <v>45595</v>
      </c>
      <c r="I12" s="69"/>
      <c r="J12" s="69"/>
      <c r="K12" s="69"/>
      <c r="L12" s="69"/>
      <c r="M12" s="69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191" t="s">
        <v>584</v>
      </c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6"/>
    </row>
    <row r="15" spans="1:14" ht="49.5" customHeight="1" x14ac:dyDescent="0.35">
      <c r="A15" s="6"/>
      <c r="B15" s="200" t="s">
        <v>585</v>
      </c>
      <c r="C15" s="200"/>
      <c r="D15" s="200"/>
      <c r="E15" s="200"/>
      <c r="F15" s="200"/>
      <c r="G15" s="200"/>
      <c r="H15" s="200"/>
      <c r="I15" s="200"/>
      <c r="J15" s="200"/>
      <c r="K15" s="200"/>
      <c r="L15" s="200"/>
      <c r="M15" s="200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54" t="s">
        <v>586</v>
      </c>
      <c r="B1" s="254"/>
      <c r="C1" s="254"/>
      <c r="D1" s="254"/>
      <c r="E1" s="254"/>
      <c r="F1" s="254"/>
      <c r="G1" s="254"/>
      <c r="H1" s="254"/>
    </row>
    <row r="2" spans="1:8" ht="15.75" customHeight="1" x14ac:dyDescent="0.35">
      <c r="A2" s="255" t="s">
        <v>587</v>
      </c>
      <c r="B2" s="255"/>
      <c r="C2" s="255"/>
      <c r="D2" s="255"/>
      <c r="E2" s="255"/>
      <c r="F2" s="255"/>
      <c r="G2" s="255"/>
      <c r="H2" s="25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1" t="s">
        <v>588</v>
      </c>
      <c r="C4" s="191"/>
      <c r="D4" s="191"/>
      <c r="E4" s="191"/>
      <c r="F4" s="191"/>
      <c r="G4" s="191"/>
      <c r="H4" s="6"/>
    </row>
    <row r="5" spans="1:8" ht="18" customHeight="1" x14ac:dyDescent="0.35">
      <c r="A5" s="6"/>
      <c r="B5" s="7" t="s">
        <v>589</v>
      </c>
      <c r="C5" s="13" t="s">
        <v>590</v>
      </c>
      <c r="D5" s="166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7" t="s">
        <v>592</v>
      </c>
      <c r="D6" s="168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191" t="s">
        <v>593</v>
      </c>
      <c r="C8" s="191"/>
      <c r="D8" s="191"/>
      <c r="E8" s="191"/>
      <c r="F8" s="191"/>
      <c r="G8" s="191"/>
      <c r="H8" s="6"/>
    </row>
    <row r="9" spans="1:8" ht="18" customHeight="1" x14ac:dyDescent="0.35">
      <c r="A9" s="6"/>
      <c r="B9" s="7" t="s">
        <v>594</v>
      </c>
      <c r="C9" s="13" t="s">
        <v>590</v>
      </c>
      <c r="D9" s="169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7" t="s">
        <v>596</v>
      </c>
      <c r="D10" s="170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1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7" t="s">
        <v>600</v>
      </c>
      <c r="D12" s="172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3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191" t="s">
        <v>603</v>
      </c>
      <c r="C15" s="191"/>
      <c r="D15" s="191"/>
      <c r="E15" s="191"/>
      <c r="F15" s="191"/>
      <c r="G15" s="191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4">
        <v>0.3</v>
      </c>
      <c r="E16" s="6"/>
      <c r="F16" s="6"/>
      <c r="G16" s="6"/>
      <c r="H16" s="6"/>
    </row>
    <row r="17" spans="1:8" ht="18" customHeight="1" x14ac:dyDescent="0.35">
      <c r="A17" s="6"/>
      <c r="B17" s="73" t="s">
        <v>605</v>
      </c>
      <c r="C17" s="175" t="s">
        <v>602</v>
      </c>
      <c r="D17" s="176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3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3" t="s">
        <v>607</v>
      </c>
      <c r="C19" s="175" t="s">
        <v>602</v>
      </c>
      <c r="D19" s="176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70">
        <v>0</v>
      </c>
      <c r="E20" s="6"/>
      <c r="F20" s="6"/>
      <c r="G20" s="6"/>
      <c r="H20" s="6"/>
    </row>
    <row r="21" spans="1:8" ht="18" customHeight="1" x14ac:dyDescent="0.35">
      <c r="A21" s="6"/>
      <c r="B21" s="73" t="s">
        <v>609</v>
      </c>
      <c r="C21" s="175" t="s">
        <v>602</v>
      </c>
      <c r="D21" s="176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1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191" t="s">
        <v>611</v>
      </c>
      <c r="C24" s="191"/>
      <c r="D24" s="191"/>
      <c r="E24" s="191"/>
      <c r="F24" s="191"/>
      <c r="G24" s="191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7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7" t="s">
        <v>598</v>
      </c>
      <c r="D26" s="171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3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7" t="s">
        <v>596</v>
      </c>
      <c r="D28" s="170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1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7" t="s">
        <v>602</v>
      </c>
      <c r="D30" s="172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191" t="s">
        <v>619</v>
      </c>
      <c r="C32" s="191"/>
      <c r="D32" s="191"/>
      <c r="E32" s="191"/>
      <c r="F32" s="191"/>
      <c r="G32" s="191"/>
      <c r="H32" s="6"/>
    </row>
    <row r="33" spans="1:8" ht="19.5" customHeight="1" x14ac:dyDescent="0.35">
      <c r="A33" s="6"/>
      <c r="B33" s="207" t="s">
        <v>620</v>
      </c>
      <c r="C33" s="207"/>
      <c r="D33" s="207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52" t="s">
        <v>625</v>
      </c>
      <c r="C34" s="252"/>
      <c r="D34" s="252"/>
      <c r="E34" s="173">
        <f>D11</f>
        <v>985</v>
      </c>
      <c r="F34" s="173">
        <f>E34*(1+D25)</f>
        <v>1019.4749999999999</v>
      </c>
      <c r="G34" s="173">
        <f>F34*(1+D25)</f>
        <v>1055.1566249999998</v>
      </c>
      <c r="H34" s="173">
        <f>G34*(1+D25)</f>
        <v>1092.0871068749998</v>
      </c>
    </row>
    <row r="35" spans="1:8" ht="18" customHeight="1" x14ac:dyDescent="0.35">
      <c r="A35" s="6"/>
      <c r="B35" s="301" t="s">
        <v>626</v>
      </c>
      <c r="C35" s="301"/>
      <c r="D35" s="301"/>
      <c r="E35" s="176">
        <f>D27</f>
        <v>78.849999999999994</v>
      </c>
      <c r="F35" s="176">
        <f t="shared" ref="F35:H36" si="0">E35</f>
        <v>78.849999999999994</v>
      </c>
      <c r="G35" s="176">
        <f t="shared" si="0"/>
        <v>78.849999999999994</v>
      </c>
      <c r="H35" s="176">
        <f t="shared" si="0"/>
        <v>78.849999999999994</v>
      </c>
    </row>
    <row r="36" spans="1:8" ht="18" customHeight="1" x14ac:dyDescent="0.35">
      <c r="A36" s="6"/>
      <c r="B36" s="252" t="s">
        <v>627</v>
      </c>
      <c r="C36" s="252"/>
      <c r="D36" s="252"/>
      <c r="E36" s="173">
        <f>D30</f>
        <v>0</v>
      </c>
      <c r="F36" s="173">
        <f t="shared" si="0"/>
        <v>0</v>
      </c>
      <c r="G36" s="173">
        <f t="shared" si="0"/>
        <v>0</v>
      </c>
      <c r="H36" s="173">
        <f t="shared" si="0"/>
        <v>0</v>
      </c>
    </row>
    <row r="37" spans="1:8" ht="18" customHeight="1" x14ac:dyDescent="0.35">
      <c r="A37" s="6"/>
      <c r="B37" s="301" t="s">
        <v>628</v>
      </c>
      <c r="C37" s="301"/>
      <c r="D37" s="301"/>
      <c r="E37" s="176">
        <f>IF(D20&gt;0,-D11/D9/12*MIN(D20,12),IF(D16&gt;0,-D18,0))</f>
        <v>-1.1772908366533865</v>
      </c>
      <c r="F37" s="176">
        <f>IF(D20&gt;1,-D11/D9/12*MIN(D20-12,12),IF(D16&gt;0,-D18,0))</f>
        <v>-1.1772908366533865</v>
      </c>
      <c r="G37" s="176">
        <f>0</f>
        <v>0</v>
      </c>
      <c r="H37" s="176">
        <f>0</f>
        <v>0</v>
      </c>
    </row>
    <row r="38" spans="1:8" ht="18" customHeight="1" x14ac:dyDescent="0.35">
      <c r="A38" s="6"/>
      <c r="B38" s="191" t="s">
        <v>629</v>
      </c>
      <c r="C38" s="191"/>
      <c r="D38" s="191"/>
      <c r="E38" s="179">
        <f>SUM(E34:E37)</f>
        <v>1062.6727091633466</v>
      </c>
      <c r="F38" s="179">
        <f>SUM(F34:F37)</f>
        <v>1097.1477091633465</v>
      </c>
      <c r="G38" s="179">
        <f>SUM(G34:G37)</f>
        <v>1134.0066249999998</v>
      </c>
      <c r="H38" s="179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191" t="s">
        <v>630</v>
      </c>
      <c r="C40" s="191"/>
      <c r="D40" s="191"/>
      <c r="E40" s="191"/>
      <c r="F40" s="191"/>
      <c r="G40" s="191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70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7" t="s">
        <v>602</v>
      </c>
      <c r="D42" s="172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3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7" t="s">
        <v>602</v>
      </c>
      <c r="D44" s="172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80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7" t="s">
        <v>602</v>
      </c>
      <c r="D46" s="180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80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191" t="s">
        <v>637</v>
      </c>
      <c r="C49" s="191"/>
      <c r="D49" s="191"/>
      <c r="E49" s="191"/>
      <c r="F49" s="191"/>
      <c r="G49" s="191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3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8" t="s">
        <v>639</v>
      </c>
      <c r="C51" s="175" t="s">
        <v>602</v>
      </c>
      <c r="D51" s="176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3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8" t="s">
        <v>641</v>
      </c>
      <c r="C53" s="175" t="s">
        <v>602</v>
      </c>
      <c r="D53" s="176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80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3" t="s">
        <v>643</v>
      </c>
      <c r="C55" s="175" t="s">
        <v>602</v>
      </c>
      <c r="D55" s="180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80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191" t="s">
        <v>645</v>
      </c>
      <c r="C58" s="191"/>
      <c r="D58" s="191"/>
      <c r="E58" s="191"/>
      <c r="F58" s="191"/>
      <c r="G58" s="191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3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7" t="s">
        <v>602</v>
      </c>
      <c r="D60" s="172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3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7" t="s">
        <v>602</v>
      </c>
      <c r="D62" s="180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80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7" t="s">
        <v>592</v>
      </c>
      <c r="D64" s="181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56" t="s">
        <v>651</v>
      </c>
      <c r="C66" s="256"/>
      <c r="D66" s="256"/>
      <c r="E66" s="256"/>
      <c r="F66" s="256"/>
      <c r="G66" s="256"/>
      <c r="H66" s="256"/>
    </row>
  </sheetData>
  <mergeCells count="17">
    <mergeCell ref="A1:H1"/>
    <mergeCell ref="A2:H2"/>
    <mergeCell ref="B4:G4"/>
    <mergeCell ref="B8:G8"/>
    <mergeCell ref="B15:G15"/>
    <mergeCell ref="B24:G24"/>
    <mergeCell ref="B32:G32"/>
    <mergeCell ref="B33:D33"/>
    <mergeCell ref="B34:D34"/>
    <mergeCell ref="B35:D35"/>
    <mergeCell ref="B58:G58"/>
    <mergeCell ref="B66:H66"/>
    <mergeCell ref="B36:D36"/>
    <mergeCell ref="B37:D37"/>
    <mergeCell ref="B38:D38"/>
    <mergeCell ref="B40:G40"/>
    <mergeCell ref="B49:G4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2026-06-30T00:36:35Z</dcterms:modified>
  <dc:language>en-US</dc:language>
</cp:coreProperties>
</file>