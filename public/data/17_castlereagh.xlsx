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over" sheetId="1" state="visible" r:id="rId3"/>
    <sheet name="Last Updated" sheetId="2" state="visible" r:id="rId4"/>
    <sheet name="Input Data" sheetId="3" state="visible" r:id="rId5"/>
    <sheet name="Dashboard" sheetId="4" state="visible" r:id="rId6"/>
    <sheet name="Valuations" sheetId="5" state="visible" r:id="rId7"/>
    <sheet name="Expiry Profile" sheetId="6" state="visible" r:id="rId8"/>
    <sheet name="Leases" sheetId="7" state="visible" r:id="rId9"/>
    <sheet name="Leasing Activity" sheetId="8" state="visible" r:id="rId10"/>
    <sheet name="Market Rents 26-27" sheetId="9" state="visible" r:id="rId11"/>
    <sheet name="Building Expiry Profile" sheetId="10" state="visible" r:id="rId12"/>
    <sheet name="Make Good Obligations" sheetId="11" state="visible" r:id="rId13"/>
    <sheet name="Spec Fitouts" sheetId="12" state="visible" r:id="rId14"/>
    <sheet name="Stack Plan" sheetId="13" state="visible" r:id="rId15"/>
    <sheet name="NER Tracking" sheetId="14" state="visible" r:id="rId16"/>
    <sheet name="Rental Analysis" sheetId="15" state="visible" r:id="rId17"/>
    <sheet name="Leasing Fee Calc" sheetId="16" state="visible" r:id="rId18"/>
    <sheet name="Future Capex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<sst xmlns="http://schemas.openxmlformats.org/spreadsheetml/2006/main" count="1066" uniqueCount="691">
  <si>
    <t xml:space="preserve">GOLDBERG FAMILY OFFICE</t>
  </si>
  <si>
    <t xml:space="preserve">17 Castlereagh Street</t>
  </si>
  <si>
    <t xml:space="preserve">Asset Summary — Tenancy Schedule</t>
  </si>
  <si>
    <t xml:space="preserve">As at 29 June 2026</t>
  </si>
  <si>
    <t xml:space="preserve">—</t>
  </si>
  <si>
    <t xml:space="preserve">Prepared by jake goldberg</t>
  </si>
  <si>
    <t xml:space="preserve">17 CASTLEREAGH STREET, SYDNEY  —  TRACKER VERSION CONTROL</t>
  </si>
  <si>
    <t xml:space="preserve"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</si>
  <si>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</si>
  <si>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</si>
  <si>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 xml:space="preserve"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</si>
  <si>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</si>
  <si>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</si>
  <si>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</si>
  <si>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</si>
  <si>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</si>
  <si>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</si>
  <si>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</si>
  <si>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</si>
  <si>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 xml:space="preserve">23 active  |  1 vacant  |  1 owner-occupied</t>
  </si>
  <si>
    <t xml:space="preserve">  Car Parks</t>
  </si>
  <si>
    <t xml:space="preserve"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</si>
  <si>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</si>
  <si>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</si>
  <si>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</si>
  <si>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</si>
  <si>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 xml:space="preserve">Date Updated</t>
  </si>
  <si>
    <t xml:space="preserve">Updated By</t>
  </si>
  <si>
    <t xml:space="preserve">As At Date (Schedule)</t>
  </si>
  <si>
    <t xml:space="preserve">Occupancy</t>
  </si>
  <si>
    <t xml:space="preserve">WALE (NLA)</t>
  </si>
  <si>
    <t xml:space="preserve">Key Changes / Notes</t>
  </si>
  <si>
    <t xml:space="preserve">30/04/2026</t>
  </si>
  <si>
    <t xml:space="preserve">Initial setup — data loaded from DJ Wear Tenancy Schedule Apr 2026</t>
  </si>
  <si>
    <t xml:space="preserve">Jake</t>
  </si>
  <si>
    <t xml:space="preserve">01/07/2026</t>
  </si>
  <si>
    <t xml:space="preserve">Refreshed from DJ Wear Tenancy Schedule as at 1.7.2026: PU Prime, IPM Residential, Threat Defence, Satellite Office rent reviews applied; Aitken Investment Mgmt lease dates/PSM corrected; TJC#1 trading name updated to Balance Insolvency. Suite 101&amp;2 (Blitzem) expires 30/6/2026 — will show vacant from next update.</t>
  </si>
  <si>
    <t xml:space="preserve">  MONTHLY UPDATE CHECKLIST</t>
  </si>
  <si>
    <t xml:space="preserve">1</t>
  </si>
  <si>
    <t xml:space="preserve">  Download DJ Wear Tenancy Schedule PDF from property management system</t>
  </si>
  <si>
    <t xml:space="preserve">2</t>
  </si>
  <si>
    <t xml:space="preserve">  Update Input Data tab — check each row for rent, dates, PSM, incentive changes</t>
  </si>
  <si>
    <t xml:space="preserve">3</t>
  </si>
  <si>
    <t xml:space="preserve">  Update Market Rents 26-27 tab if any market adjustments since last review</t>
  </si>
  <si>
    <t xml:space="preserve">4</t>
  </si>
  <si>
    <t xml:space="preserve">  Review Dashboard — confirm KPIs reconcile with schedule totals</t>
  </si>
  <si>
    <t xml:space="preserve">5</t>
  </si>
  <si>
    <t xml:space="preserve">  Update Expiry Profile — check any new leases or surrenders</t>
  </si>
  <si>
    <t xml:space="preserve">6</t>
  </si>
  <si>
    <t xml:space="preserve">  Update Leasing Activity tab with any new deals, HOAs or renewals</t>
  </si>
  <si>
    <t xml:space="preserve">7</t>
  </si>
  <si>
    <t xml:space="preserve">  Update Make Good Obligations — check notice periods and estimated costs</t>
  </si>
  <si>
    <t xml:space="preserve">8</t>
  </si>
  <si>
    <t xml:space="preserve">  Update Spec Fitouts tab with any new capex approvals or completions</t>
  </si>
  <si>
    <t xml:space="preserve">9</t>
  </si>
  <si>
    <t xml:space="preserve">  Fill in Update Log above with date, occupancy, WALE and key changes</t>
  </si>
  <si>
    <t xml:space="preserve">10</t>
  </si>
  <si>
    <t xml:space="preserve">  Save file with month-year in filename (e.g. 17Castlereagh_May26.xlsx)</t>
  </si>
  <si>
    <t xml:space="preserve">17 CASTLEREAGH ST, SYDNEY — TENANCY SCHEDULE INPUT  |  As at 1.7.2026</t>
  </si>
  <si>
    <t xml:space="preserve">Suite ID</t>
  </si>
  <si>
    <t xml:space="preserve">Floor</t>
  </si>
  <si>
    <t xml:space="preserve">Suite #</t>
  </si>
  <si>
    <t xml:space="preserve">Tenant Name</t>
  </si>
  <si>
    <t xml:space="preserve">Trading Name</t>
  </si>
  <si>
    <t xml:space="preserve">NLA (sqm)</t>
  </si>
  <si>
    <t xml:space="preserve">Lease Start</t>
  </si>
  <si>
    <t xml:space="preserve">Lease Expiry</t>
  </si>
  <si>
    <t xml:space="preserve">Term (Yrs)</t>
  </si>
  <si>
    <t xml:space="preserve">PSM (Face)</t>
  </si>
  <si>
    <t xml:space="preserve">Office Rent PA ($)</t>
  </si>
  <si>
    <t xml:space="preserve">Incentive Rent PA ($)</t>
  </si>
  <si>
    <t xml:space="preserve">Outgoings PA ($)</t>
  </si>
  <si>
    <t xml:space="preserve">Net Rent PA ($)</t>
  </si>
  <si>
    <t xml:space="preserve">Car Parks</t>
  </si>
  <si>
    <t xml:space="preserve">Review Type</t>
  </si>
  <si>
    <t xml:space="preserve">Next Review Date</t>
  </si>
  <si>
    <t xml:space="preserve">Outgoings Type</t>
  </si>
  <si>
    <t xml:space="preserve">Market Rent PSM ($)</t>
  </si>
  <si>
    <t xml:space="preserve">Variance to Mkt ($)</t>
  </si>
  <si>
    <t xml:space="preserve">Variance to Mkt (%)</t>
  </si>
  <si>
    <t xml:space="preserve">WALE (yrs)</t>
  </si>
  <si>
    <t xml:space="preserve">Weighted NLA</t>
  </si>
  <si>
    <t xml:space="preserve">Notes</t>
  </si>
  <si>
    <t xml:space="preserve">Status</t>
  </si>
  <si>
    <t xml:space="preserve">Expiry Date
(Source — Enter Here)</t>
  </si>
  <si>
    <t xml:space="preserve">PSM Src</t>
  </si>
  <si>
    <t xml:space="preserve">Display Name</t>
  </si>
  <si>
    <t xml:space="preserve">00001</t>
  </si>
  <si>
    <t xml:space="preserve">BSMT</t>
  </si>
  <si>
    <t xml:space="preserve">LWR GROUND</t>
  </si>
  <si>
    <t xml:space="preserve">FIXED 4%</t>
  </si>
  <si>
    <t xml:space="preserve">Net</t>
  </si>
  <si>
    <t xml:space="preserve">Opulent Two Enterprises</t>
  </si>
  <si>
    <t xml:space="preserve">00002</t>
  </si>
  <si>
    <t xml:space="preserve">GF</t>
  </si>
  <si>
    <t xml:space="preserve">GROUND</t>
  </si>
  <si>
    <t xml:space="preserve">Gross</t>
  </si>
  <si>
    <t xml:space="preserve">Recoverie</t>
  </si>
  <si>
    <t xml:space="preserve">00005</t>
  </si>
  <si>
    <t xml:space="preserve">L01</t>
  </si>
  <si>
    <t xml:space="preserve">101&amp;2</t>
  </si>
  <si>
    <t xml:space="preserve">FIXED 4.0%</t>
  </si>
  <si>
    <t xml:space="preserve">Renewed 16/6/26 (TJC) — 3 yr term to 30/6/29. Log's Expiry field had not been updated from the pre-renewal date; corrected per confirmed instruction (old expiry + 3 yrs).</t>
  </si>
  <si>
    <t xml:space="preserve">Blitzem (TJC)</t>
  </si>
  <si>
    <t xml:space="preserve">00008</t>
  </si>
  <si>
    <t xml:space="preserve">103</t>
  </si>
  <si>
    <t xml:space="preserve">PU Prime Trading</t>
  </si>
  <si>
    <t xml:space="preserve">00009</t>
  </si>
  <si>
    <t xml:space="preserve">104</t>
  </si>
  <si>
    <t xml:space="preserve">LEASE RENEWAL</t>
  </si>
  <si>
    <t xml:space="preserve">TJC#1</t>
  </si>
  <si>
    <t xml:space="preserve">00012</t>
  </si>
  <si>
    <t xml:space="preserve">L02</t>
  </si>
  <si>
    <t xml:space="preserve">WHOLE</t>
  </si>
  <si>
    <t xml:space="preserve">Princeton Financial Services</t>
  </si>
  <si>
    <t xml:space="preserve">00015</t>
  </si>
  <si>
    <t xml:space="preserve">L03</t>
  </si>
  <si>
    <t xml:space="preserve">301&amp;2</t>
  </si>
  <si>
    <t xml:space="preserve">IPM Residential</t>
  </si>
  <si>
    <t xml:space="preserve">00018</t>
  </si>
  <si>
    <t xml:space="preserve">303&amp;4</t>
  </si>
  <si>
    <t xml:space="preserve">FIXED 3.75%</t>
  </si>
  <si>
    <t xml:space="preserve">Broadridge</t>
  </si>
  <si>
    <t xml:space="preserve">00021</t>
  </si>
  <si>
    <t xml:space="preserve">L04</t>
  </si>
  <si>
    <t xml:space="preserve">401</t>
  </si>
  <si>
    <t xml:space="preserve">B-W International</t>
  </si>
  <si>
    <t xml:space="preserve">00022</t>
  </si>
  <si>
    <t xml:space="preserve">402</t>
  </si>
  <si>
    <t xml:space="preserve">Gray Dawes Travel</t>
  </si>
  <si>
    <t xml:space="preserve">00025</t>
  </si>
  <si>
    <t xml:space="preserve">L05</t>
  </si>
  <si>
    <t xml:space="preserve">501</t>
  </si>
  <si>
    <t xml:space="preserve">Montgomery Investment</t>
  </si>
  <si>
    <t xml:space="preserve">00026</t>
  </si>
  <si>
    <t xml:space="preserve">502</t>
  </si>
  <si>
    <t xml:space="preserve">Threat Defence</t>
  </si>
  <si>
    <t xml:space="preserve">00029</t>
  </si>
  <si>
    <t xml:space="preserve">L06</t>
  </si>
  <si>
    <t xml:space="preserve">601</t>
  </si>
  <si>
    <t xml:space="preserve">Fullcrm</t>
  </si>
  <si>
    <t xml:space="preserve">00030</t>
  </si>
  <si>
    <t xml:space="preserve">602</t>
  </si>
  <si>
    <t xml:space="preserve">00033</t>
  </si>
  <si>
    <t xml:space="preserve">L07</t>
  </si>
  <si>
    <t xml:space="preserve">701</t>
  </si>
  <si>
    <t xml:space="preserve">Pinpoint Talent</t>
  </si>
  <si>
    <t xml:space="preserve">00034</t>
  </si>
  <si>
    <t xml:space="preserve">702</t>
  </si>
  <si>
    <t xml:space="preserve">Satellite Office</t>
  </si>
  <si>
    <t xml:space="preserve">00037</t>
  </si>
  <si>
    <t xml:space="preserve">L08</t>
  </si>
  <si>
    <t xml:space="preserve">801</t>
  </si>
  <si>
    <t xml:space="preserve">Arkance Australia</t>
  </si>
  <si>
    <t xml:space="preserve">00038</t>
  </si>
  <si>
    <t xml:space="preserve">802</t>
  </si>
  <si>
    <t xml:space="preserve">Hilliard &amp; Berry</t>
  </si>
  <si>
    <t xml:space="preserve">00041</t>
  </si>
  <si>
    <t xml:space="preserve">L09</t>
  </si>
  <si>
    <t xml:space="preserve">901</t>
  </si>
  <si>
    <t xml:space="preserve">Aitken Investment Mgmt</t>
  </si>
  <si>
    <t xml:space="preserve">00044</t>
  </si>
  <si>
    <t xml:space="preserve">902&amp;3</t>
  </si>
  <si>
    <t xml:space="preserve">Capital E Marketing</t>
  </si>
  <si>
    <t xml:space="preserve">00048</t>
  </si>
  <si>
    <t xml:space="preserve">L10</t>
  </si>
  <si>
    <t xml:space="preserve">1001&amp;2</t>
  </si>
  <si>
    <t xml:space="preserve">FIXED</t>
  </si>
  <si>
    <t xml:space="preserve">Connectus Services</t>
  </si>
  <si>
    <t xml:space="preserve">00050</t>
  </si>
  <si>
    <t xml:space="preserve">L11</t>
  </si>
  <si>
    <t xml:space="preserve">1101</t>
  </si>
  <si>
    <t xml:space="preserve">Michael Flegg</t>
  </si>
  <si>
    <t xml:space="preserve">00051</t>
  </si>
  <si>
    <t xml:space="preserve">1102</t>
  </si>
  <si>
    <t xml:space="preserve">Lewis Woolcott new lease commences 15/8/26 (day after PharmX's lease ends), 2 yr term to 14/8/28, $1,271.10 psm. Outgoings carried forward at PharmX's existing rate pending TS confirmation.</t>
  </si>
  <si>
    <t xml:space="preserve">Lewis Woolcott</t>
  </si>
  <si>
    <t xml:space="preserve">00055</t>
  </si>
  <si>
    <t xml:space="preserve">L12</t>
  </si>
  <si>
    <t xml:space="preserve">MONTHLY TENANT</t>
  </si>
  <si>
    <t xml:space="preserve">N/A</t>
  </si>
  <si>
    <t xml:space="preserve">Dakota Corporation</t>
  </si>
  <si>
    <t xml:space="preserve">00052</t>
  </si>
  <si>
    <t xml:space="preserve">1103</t>
  </si>
  <si>
    <t xml:space="preserve">Inferni Systems new lease commences 15/7/26, 3 yr term to 14/7/29, $1,150 psm. Outgoings/car parks TBC pending TS confirmation.</t>
  </si>
  <si>
    <t xml:space="preserve">Inferni Systems</t>
  </si>
  <si>
    <t xml:space="preserve">TOTALS / BUILDING SUMMARY</t>
  </si>
  <si>
    <t xml:space="preserve">LEGEND:</t>
  </si>
  <si>
    <t xml:space="preserve">Expired / Vacant</t>
  </si>
  <si>
    <t xml:space="preserve">Expiring in 2026</t>
  </si>
  <si>
    <t xml:space="preserve">Active (odd rows)</t>
  </si>
  <si>
    <t xml:space="preserve">Note: Blue text = hardcoded input  |  Black text = formula  |  Update monthly from DJ Wear Tenancy Schedule PDF</t>
  </si>
  <si>
    <t xml:space="preserve">17 CASTLEREAGH STREET, SYDNEY  —  ASSET MANAGEMENT DASHBOARD</t>
  </si>
  <si>
    <t xml:space="preserve">As at 30 April 2026  |  Data sourced from Input Data tab</t>
  </si>
  <si>
    <t xml:space="preserve">TOTAL NLA</t>
  </si>
  <si>
    <t xml:space="preserve">OCCUPIED NLA</t>
  </si>
  <si>
    <t xml:space="preserve">VACANT NLA</t>
  </si>
  <si>
    <t xml:space="preserve">OCCUPANCY</t>
  </si>
  <si>
    <t xml:space="preserve">VACANCY RATE</t>
  </si>
  <si>
    <t xml:space="preserve">CAR PARKS</t>
  </si>
  <si>
    <t xml:space="preserve">4 bays</t>
  </si>
  <si>
    <t xml:space="preserve">GROSS INCOME PA</t>
  </si>
  <si>
    <t xml:space="preserve">NET INCOME PA</t>
  </si>
  <si>
    <t xml:space="preserve">INCENTIVE RENT PA</t>
  </si>
  <si>
    <t xml:space="preserve">WALE BY NLA</t>
  </si>
  <si>
    <t xml:space="preserve">WALE BY INCOME</t>
  </si>
  <si>
    <t xml:space="preserve">TOTAL OUTGOINGS %</t>
  </si>
  <si>
    <t xml:space="preserve">92.32%</t>
  </si>
  <si>
    <t xml:space="preserve">WEIGHTED AVERAGE LEASE EXPIRY (WALE)</t>
  </si>
  <si>
    <t xml:space="preserve">Measure</t>
  </si>
  <si>
    <t xml:space="preserve">WALE</t>
  </si>
  <si>
    <t xml:space="preserve">Basis</t>
  </si>
  <si>
    <t xml:space="preserve">WALE by NLA</t>
  </si>
  <si>
    <t xml:space="preserve">Area-weighted avg of remaining lease terms</t>
  </si>
  <si>
    <t xml:space="preserve">WALE by Income</t>
  </si>
  <si>
    <t xml:space="preserve">Income-weighted avg of remaining lease terms</t>
  </si>
  <si>
    <t xml:space="preserve">LEASE EXPIRY PROFILE  —  BY INCOME &amp; AREA (5 YEAR FORWARD VIEW)</t>
  </si>
  <si>
    <t xml:space="preserve">Expiry Year</t>
  </si>
  <si>
    <t xml:space="preserve">Net Income ($)</t>
  </si>
  <si>
    <t xml:space="preserve">Income %</t>
  </si>
  <si>
    <t xml:space="preserve">Area %</t>
  </si>
  <si>
    <t xml:space="preserve"># Leases</t>
  </si>
  <si>
    <t xml:space="preserve">Tenants Expiring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</si>
  <si>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</si>
  <si>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</si>
  <si>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</si>
  <si>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</si>
  <si>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</si>
  <si>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</si>
  <si>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TOTAL (Occupied)</t>
  </si>
  <si>
    <t xml:space="preserve">PASSING RENT vs MARKET RENT ANALYSIS  —  'Market Rents 26-27'</t>
  </si>
  <si>
    <t xml:space="preserve">Suite</t>
  </si>
  <si>
    <t xml:space="preserve">Tenant</t>
  </si>
  <si>
    <t xml:space="preserve">NLA</t>
  </si>
  <si>
    <t xml:space="preserve">Passing PSM</t>
  </si>
  <si>
    <t xml:space="preserve">Market PSM</t>
  </si>
  <si>
    <t xml:space="preserve">Var ($)</t>
  </si>
  <si>
    <t xml:space="preserve">Var (%)</t>
  </si>
  <si>
    <t xml:space="preserve">Position</t>
  </si>
  <si>
    <t xml:space="preserve">Portfolio Avg Passing PSM</t>
  </si>
  <si>
    <t xml:space="preserve">  UPCOMING CRITICAL DATES  —  Next 12 Months</t>
  </si>
  <si>
    <t xml:space="preserve">Event Type</t>
  </si>
  <si>
    <t xml:space="preserve">Due Date</t>
  </si>
  <si>
    <t xml:space="preserve">Days Away</t>
  </si>
  <si>
    <t xml:space="preserve">Action Required</t>
  </si>
  <si>
    <t xml:space="preserve">602 | Capital Credit Solutions</t>
  </si>
  <si>
    <t xml:space="preserve">Lease EXPIRED</t>
  </si>
  <si>
    <t xml:space="preserve">Suite vacant — begin make good &amp; marketing</t>
  </si>
  <si>
    <t xml:space="preserve">101&amp;2 | Blitzem PTY LTD</t>
  </si>
  <si>
    <t xml:space="preserve">Issue make good notice; confirm not renewing; market suite</t>
  </si>
  <si>
    <t xml:space="preserve">104 | TJC#1 PTY LTD</t>
  </si>
  <si>
    <t xml:space="preserve">Confirm renewal or vacating; issue make good notice</t>
  </si>
  <si>
    <t xml:space="preserve">1102 | Pharmx Technologies</t>
  </si>
  <si>
    <t xml:space="preserve">Sublease in place — confirm make good; market suite</t>
  </si>
  <si>
    <t xml:space="preserve">1101 | Michael Flegg</t>
  </si>
  <si>
    <t xml:space="preserve">David Wear to reach out; no works required</t>
  </si>
  <si>
    <t xml:space="preserve">501 | Montgomery Investment</t>
  </si>
  <si>
    <t xml:space="preserve">Rent Review</t>
  </si>
  <si>
    <t xml:space="preserve">3.75% fixed review — confirm calculation and issue</t>
  </si>
  <si>
    <t xml:space="preserve">701 | Pinpoint Talent</t>
  </si>
  <si>
    <t xml:space="preserve">4% fixed review — confirm calculation and issue</t>
  </si>
  <si>
    <t xml:space="preserve">702 | Satellite Office</t>
  </si>
  <si>
    <t xml:space="preserve">3.75% fixed review — imminent; action now</t>
  </si>
  <si>
    <t xml:space="preserve">301&amp;2 | IPM Residential</t>
  </si>
  <si>
    <t xml:space="preserve">901 | Aitken Investment</t>
  </si>
  <si>
    <t xml:space="preserve">4% fixed review — confirm calculation</t>
  </si>
  <si>
    <t xml:space="preserve">GF | Recoverie</t>
  </si>
  <si>
    <t xml:space="preserve">4% fixed review — mark in calendar</t>
  </si>
  <si>
    <t xml:space="preserve">MG Notice Due</t>
  </si>
  <si>
    <t xml:space="preserve">Issue make good notice immediately</t>
  </si>
  <si>
    <t xml:space="preserve">  INCOME ANALYSIS  —  By Floor</t>
  </si>
  <si>
    <t xml:space="preserve">Tenant(s)</t>
  </si>
  <si>
    <t xml:space="preserve">Passing PSM ($)</t>
  </si>
  <si>
    <t xml:space="preserve">% of Total Income</t>
  </si>
  <si>
    <t xml:space="preserve">LWR GND</t>
  </si>
  <si>
    <t xml:space="preserve">TOTAL</t>
  </si>
  <si>
    <t xml:space="preserve">  ASSET VALUATION SUMMARY</t>
  </si>
  <si>
    <t xml:space="preserve">Latest Valuation
(Val 1)</t>
  </si>
  <si>
    <t xml:space="preserve">Previous Valuation
(Val 2)</t>
  </si>
  <si>
    <t xml:space="preserve">Prior Valuation
(Val 3)</t>
  </si>
  <si>
    <t xml:space="preserve"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</si>
  <si>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</si>
  <si>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</si>
  <si>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</si>
  <si>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</si>
  <si>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</si>
  <si>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</si>
  <si>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</si>
  <si>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</si>
  <si>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 xml:space="preserve">Assessment 1
(Latest)</t>
  </si>
  <si>
    <t xml:space="preserve">Assessment 2</t>
  </si>
  <si>
    <t xml:space="preserve">Assessment 3</t>
  </si>
  <si>
    <t xml:space="preserve"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</si>
  <si>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</si>
  <si>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</si>
  <si>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</si>
  <si>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</si>
  <si>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</si>
  <si>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 xml:space="preserve">17 CASTLEREAGH STREET  —  VALUATIONS, LAND TAX &amp; MORTGAGE REGISTER</t>
  </si>
  <si>
    <t xml:space="preserve">Yellow cells = input. All Dashboard valuation figures pull from this tab automatically. Update each time a new valuation or assessment is received.</t>
  </si>
  <si>
    <t xml:space="preserve">  PROPERTY VALUATIONS</t>
  </si>
  <si>
    <t xml:space="preserve">Valuation 1
(Most Recent)</t>
  </si>
  <si>
    <t xml:space="preserve">Valuation 2</t>
  </si>
  <si>
    <t xml:space="preserve">Valuation 3</t>
  </si>
  <si>
    <t xml:space="preserve">  Valuation Amount</t>
  </si>
  <si>
    <t xml:space="preserve">Knight Frank</t>
  </si>
  <si>
    <t xml:space="preserve">JLL</t>
  </si>
  <si>
    <t xml:space="preserve">Market Value 'As Is'</t>
  </si>
  <si>
    <t xml:space="preserve">First Mortgage Security Purposes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</si>
  <si>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</si>
  <si>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</si>
  <si>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</si>
  <si>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</si>
  <si>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</si>
  <si>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</si>
  <si>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</si>
  <si>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</si>
  <si>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</si>
  <si>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 xml:space="preserve">Assessment 1
(Most Recent)</t>
  </si>
  <si>
    <t xml:space="preserve">FY26</t>
  </si>
  <si>
    <t xml:space="preserve">FY25</t>
  </si>
  <si>
    <t xml:space="preserve">FY24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</si>
  <si>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</si>
  <si>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</si>
  <si>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</si>
  <si>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</si>
  <si>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</si>
  <si>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</si>
  <si>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</si>
  <si>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</si>
  <si>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 xml:space="preserve">Field</t>
  </si>
  <si>
    <t xml:space="preserve">Current</t>
  </si>
  <si>
    <t xml:space="preserve">Prior</t>
  </si>
  <si>
    <t xml:space="preserve">  Lender / Bank</t>
  </si>
  <si>
    <t xml:space="preserve">ANZ</t>
  </si>
  <si>
    <t xml:space="preserve">  Loan Amount ($)</t>
  </si>
  <si>
    <t xml:space="preserve">  As at Date</t>
  </si>
  <si>
    <t xml:space="preserve">  Interest Rate (%)</t>
  </si>
  <si>
    <t xml:space="preserve"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</si>
  <si>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</si>
  <si>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</si>
  <si>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</si>
  <si>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</si>
  <si>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</si>
  <si>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</si>
  <si>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 xml:space="preserve">17 CASTLEREAGH STREET  —  LEASE EXPIRY PROFILE  |  As at 30/04/2026  |  ALL DATA FORMULA-DRIVEN FROM INPUT DATA TAB</t>
  </si>
  <si>
    <t xml:space="preserve">Update Input Data tab only  |  This tab recalculates automatically  |  Sorted by Input Data row order  |  Use 'Expiry Year' column to filter  |  As at 30/04/2026</t>
  </si>
  <si>
    <t xml:space="preserve">Tenant / Trading Name</t>
  </si>
  <si>
    <t xml:space="preserve">NLA
(sqm)</t>
  </si>
  <si>
    <t xml:space="preserve">Lease
Start</t>
  </si>
  <si>
    <t xml:space="preserve">Lease
Expiry</t>
  </si>
  <si>
    <t xml:space="preserve">Term
(Yrs)</t>
  </si>
  <si>
    <t xml:space="preserve">Remaining
(Yrs)</t>
  </si>
  <si>
    <t xml:space="preserve">PSM
($)</t>
  </si>
  <si>
    <t xml:space="preserve">Net Rent
PA ($)</t>
  </si>
  <si>
    <t xml:space="preserve">Expiry
Year</t>
  </si>
  <si>
    <t xml:space="preserve">Car
Parks</t>
  </si>
  <si>
    <t xml:space="preserve">Review
Type</t>
  </si>
  <si>
    <t xml:space="preserve">Mkt PSM
($)</t>
  </si>
  <si>
    <t xml:space="preserve">Var to
Mkt ($)</t>
  </si>
  <si>
    <t xml:space="preserve">BUILDING TOTALS</t>
  </si>
  <si>
    <t xml:space="preserve">17 CASTLEREAGH STREET — LEASE REGISTER  |  As at 30/04/2026  |  Source: Input Data tab</t>
  </si>
  <si>
    <t xml:space="preserve">Remaining (Yrs)</t>
  </si>
  <si>
    <t xml:space="preserve">Face Rent PSM ($)</t>
  </si>
  <si>
    <t xml:space="preserve">Market PSM ($)</t>
  </si>
  <si>
    <t xml:space="preserve">Incentive PA ($)</t>
  </si>
  <si>
    <t xml:space="preserve">Next Review</t>
  </si>
  <si>
    <t xml:space="preserve">Var to Mkt PSM ($)</t>
  </si>
  <si>
    <t xml:space="preserve">Var to Mkt (%)</t>
  </si>
  <si>
    <t xml:space="preserve">WALE Contribution</t>
  </si>
  <si>
    <t xml:space="preserve">17 CASTLEREAGH STREET — LEASING ACTIVITY LOG  |  Past 12 Months</t>
  </si>
  <si>
    <t xml:space="preserve">Date</t>
  </si>
  <si>
    <t xml:space="preserve">Type</t>
  </si>
  <si>
    <t xml:space="preserve">Rent PSM ($)</t>
  </si>
  <si>
    <t xml:space="preserve">Review %</t>
  </si>
  <si>
    <t xml:space="preserve">Commencement</t>
  </si>
  <si>
    <t xml:space="preserve">Expiry</t>
  </si>
  <si>
    <t xml:space="preserve">Term</t>
  </si>
  <si>
    <t xml:space="preserve">Incentive %</t>
  </si>
  <si>
    <t xml:space="preserve">Fitout ($)</t>
  </si>
  <si>
    <t xml:space="preserve">Abatement ($)</t>
  </si>
  <si>
    <t xml:space="preserve">TR Fee ($)</t>
  </si>
  <si>
    <t xml:space="preserve">Broadridge (Australia) Pty Ltd</t>
  </si>
  <si>
    <t xml:space="preserve">New Lease</t>
  </si>
  <si>
    <t xml:space="preserve">3.02</t>
  </si>
  <si>
    <t xml:space="preserve">4 Years</t>
  </si>
  <si>
    <t xml:space="preserve">MP Travel Pty Ltd / Gray Dawes Travel</t>
  </si>
  <si>
    <t xml:space="preserve">4.02</t>
  </si>
  <si>
    <t xml:space="preserve">5 Years</t>
  </si>
  <si>
    <t xml:space="preserve">RCVRI Martin Place Pty Ltd (Recoverie)</t>
  </si>
  <si>
    <t xml:space="preserve">7 Years</t>
  </si>
  <si>
    <t xml:space="preserve">Capital E Marketing &amp; Events</t>
  </si>
  <si>
    <t xml:space="preserve">Renewal</t>
  </si>
  <si>
    <t xml:space="preserve">9.02</t>
  </si>
  <si>
    <t xml:space="preserve">TJC</t>
  </si>
  <si>
    <t xml:space="preserve">3 Years</t>
  </si>
  <si>
    <t xml:space="preserve">PU Prime Trading Pty Ltd</t>
  </si>
  <si>
    <t xml:space="preserve">1.03</t>
  </si>
  <si>
    <t xml:space="preserve">2 Years</t>
  </si>
  <si>
    <t xml:space="preserve">LEASING ACTIVITY SUMMARY (LIVE)</t>
  </si>
  <si>
    <t xml:space="preserve">WALE by NLA (May 2025)</t>
  </si>
  <si>
    <t xml:space="preserve">3.11 years</t>
  </si>
  <si>
    <t xml:space="preserve">Occupancy (May 2025)</t>
  </si>
  <si>
    <t xml:space="preserve">95.3%</t>
  </si>
  <si>
    <t xml:space="preserve">WALE by NLA (May 2024)</t>
  </si>
  <si>
    <t xml:space="preserve">3.28 years</t>
  </si>
  <si>
    <t xml:space="preserve">Occupancy (May 2024)</t>
  </si>
  <si>
    <t xml:space="preserve">81.7%</t>
  </si>
  <si>
    <t xml:space="preserve">LEASING ACTIVITY — LAST 12 MONTHS (LIVE FROM LOG ABOVE)</t>
  </si>
  <si>
    <t xml:space="preserve">Total Deals</t>
  </si>
  <si>
    <t xml:space="preserve">New Leases</t>
  </si>
  <si>
    <t xml:space="preserve">Renewals</t>
  </si>
  <si>
    <t xml:space="preserve">Total NLA Transacted (sqm)</t>
  </si>
  <si>
    <t xml:space="preserve">Avg Incentive %</t>
  </si>
  <si>
    <t xml:space="preserve">Total Fitout Contribution ($)</t>
  </si>
  <si>
    <t xml:space="preserve">Total Rent Abatement ($)</t>
  </si>
  <si>
    <t xml:space="preserve">Total Leasing Fees ($)</t>
  </si>
  <si>
    <t xml:space="preserve">Total Leasing Cost ($)</t>
  </si>
  <si>
    <t xml:space="preserve">17 CASTLEREAGH STREET — MARKET RENTS 2026-27  |  Face Rent PSM &amp; Incentive Benchmarks</t>
  </si>
  <si>
    <t xml:space="preserve">Source: Market assessment 2025/2026  |  Update annually or as market conditions change</t>
  </si>
  <si>
    <t xml:space="preserve">Size (sqm)</t>
  </si>
  <si>
    <t xml:space="preserve">Current Tenant</t>
  </si>
  <si>
    <t xml:space="preserve">New Tenant Incentive
3yr</t>
  </si>
  <si>
    <t xml:space="preserve">4yr</t>
  </si>
  <si>
    <t xml:space="preserve">5yr</t>
  </si>
  <si>
    <t xml:space="preserve">Renewal Incentive
3yr</t>
  </si>
  <si>
    <t xml:space="preserve">PORTFOLIO MARKET RENT SUMMARY</t>
  </si>
  <si>
    <t xml:space="preserve">Passing &gt; Market (above mkt)</t>
  </si>
  <si>
    <t xml:space="preserve">Passing &lt; Market (reversion upside)</t>
  </si>
  <si>
    <t xml:space="preserve">At Market (within 5%)</t>
  </si>
  <si>
    <t xml:space="preserve">17 CASTLEREAGH STREET  —  BUILDING LEASE EXPIRY PROFILE  |  As at 30/04/2026</t>
  </si>
  <si>
    <t xml:space="preserve">Floor-by-floor lease status  |  Colour indicates expiry year  |  ▲ = Above Market   ▼ = Below Market   ≈ = At Market</t>
  </si>
  <si>
    <t xml:space="preserve"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</si>
  <si>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</si>
  <si>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</si>
  <si>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</si>
  <si>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</si>
  <si>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</si>
  <si>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</si>
  <si>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</si>
  <si>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</si>
  <si>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</si>
  <si>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</si>
  <si>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</si>
  <si>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</si>
  <si>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</si>
  <si>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</si>
  <si>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</si>
  <si>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 xml:space="preserve">Expiring 2026</t>
  </si>
  <si>
    <t xml:space="preserve">Expiring 2027</t>
  </si>
  <si>
    <t xml:space="preserve">Expiring 2028</t>
  </si>
  <si>
    <t xml:space="preserve">Expiring 2029</t>
  </si>
  <si>
    <t xml:space="preserve">Expiring 2030</t>
  </si>
  <si>
    <t xml:space="preserve">Expiring 2031+</t>
  </si>
  <si>
    <t xml:space="preserve">Vacant</t>
  </si>
  <si>
    <t xml:space="preserve">Owner Occupied</t>
  </si>
  <si>
    <t xml:space="preserve">  GARAGES: 2 garages — each contains 1 tandem car space. 74 bay licences currently leased to tenants.</t>
  </si>
  <si>
    <t xml:space="preserve">17 CASTLEREAGH STREET  —  MAKE GOOD OBLIGATIONS REGISTER  |  As at 30/04/2026</t>
  </si>
  <si>
    <t xml:space="preserve"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</si>
  <si>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</si>
  <si>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</si>
  <si>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</si>
  <si>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</si>
  <si>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</si>
  <si>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 xml:space="preserve">Input below</t>
  </si>
  <si>
    <t xml:space="preserve">See per lease</t>
  </si>
  <si>
    <t xml:space="preserve">  MAKE GOOD OBLIGATIONS  —  Per Lease  (update from lease schedule &amp; inspections)</t>
  </si>
  <si>
    <t xml:space="preserve">Notice
Period</t>
  </si>
  <si>
    <t xml:space="preserve">MG Obligation
in Lease?</t>
  </si>
  <si>
    <t xml:space="preserve">Estimated
Cost ($)</t>
  </si>
  <si>
    <t xml:space="preserve">Cost
PSM ($)</t>
  </si>
  <si>
    <t xml:space="preserve">Last
Inspected</t>
  </si>
  <si>
    <t xml:space="preserve">Condition
Rating</t>
  </si>
  <si>
    <t xml:space="preserve">MG
Status</t>
  </si>
  <si>
    <t xml:space="preserve">Action
Required</t>
  </si>
  <si>
    <t xml:space="preserve">Notes / Scope of Works</t>
  </si>
  <si>
    <t xml:space="preserve">Further detail</t>
  </si>
  <si>
    <t xml:space="preserve">60 days</t>
  </si>
  <si>
    <t xml:space="preserve">Yes</t>
  </si>
  <si>
    <t xml:space="preserve">Not Inspected</t>
  </si>
  <si>
    <t xml:space="preserve">None</t>
  </si>
  <si>
    <t xml:space="preserve">Repaint, steam clean carpet, remove tenant fit-out</t>
  </si>
  <si>
    <t xml:space="preserve">90 days</t>
  </si>
  <si>
    <t xml:space="preserve">Retail strip-out, restore to base build</t>
  </si>
  <si>
    <t xml:space="preserve">Payment in Lieu $250sqm ($74,575)</t>
  </si>
  <si>
    <t xml:space="preserve">10 days</t>
  </si>
  <si>
    <t xml:space="preserve">Repaint walls, replace carpet, patch partitions — contact HasBuilt re spec fitout</t>
  </si>
  <si>
    <t xml:space="preserve">Standard office make good — repaint, steam clean</t>
  </si>
  <si>
    <t xml:space="preserve">Payment in Lieu $200sqm ($19.260)</t>
  </si>
  <si>
    <t xml:space="preserve">TBC — confirm notice period in lease; repaint &amp; carpet</t>
  </si>
  <si>
    <t xml:space="preserve">Reinstate any alterations and restore premies
The Lessor may nominate an amount per square metre + GST for costs
1 June
</t>
  </si>
  <si>
    <t xml:space="preserve">30 days</t>
  </si>
  <si>
    <t xml:space="preserve">Full floor — strip fit-out, repaint, replace carpet</t>
  </si>
  <si>
    <t xml:space="preserve">Payment in Lieu of $200sqm + GST indexed annually to CPI) ($78,640)</t>
  </si>
  <si>
    <t xml:space="preserve">Repaint, carpet, remove internal joinery</t>
  </si>
  <si>
    <t xml:space="preserve">Payment in Lieu of $140sqm + GST ($22,736)</t>
  </si>
  <si>
    <t xml:space="preserve">Standard office make good — repaint, carpet</t>
  </si>
  <si>
    <t xml:space="preserve">Payment in Lieu of $150 sqm + GST ($29,010)</t>
  </si>
  <si>
    <t xml:space="preserve">Repaint, carpet, remove partitions</t>
  </si>
  <si>
    <t xml:space="preserve">Standard office make good</t>
  </si>
  <si>
    <t xml:space="preserve">In Addition, a payment of $100sqm  + GST ($14,560)</t>
  </si>
  <si>
    <t xml:space="preserve">Repaint, carpet, joinery removal</t>
  </si>
  <si>
    <t xml:space="preserve">Payment in Lieu of $250 sqm + GST ($53,075)</t>
  </si>
  <si>
    <t xml:space="preserve">Repaint, steam clean carpet</t>
  </si>
  <si>
    <t xml:space="preserve">Payment in Lieu of $250 sqm + GST ($)</t>
  </si>
  <si>
    <t xml:space="preserve">Tenant leaving — repaint $150/sqm notice required; internal partitions</t>
  </si>
  <si>
    <t xml:space="preserve">EXPIRED — tenant left early April. Clean carpets and repaint.</t>
  </si>
  <si>
    <t xml:space="preserve">No works required per David Wear — $200/sqm make good notice</t>
  </si>
  <si>
    <t xml:space="preserve">The Lessor may nominate an amount per square metre + GST for costs</t>
  </si>
  <si>
    <t xml:space="preserve">Full spec fitout — strip out at lease end</t>
  </si>
  <si>
    <t xml:space="preserve">Long-term tenant — repaint, carpet, minor remediation</t>
  </si>
  <si>
    <t xml:space="preserve">Holdover — no works required per notes; repaint &amp; carpet on vacating</t>
  </si>
  <si>
    <t xml:space="preserve">Full floor — strip fit-out and restore base build</t>
  </si>
  <si>
    <t xml:space="preserve">Full floor — strip fit-out, repaint, carpet</t>
  </si>
  <si>
    <t xml:space="preserve">The Lessor may nominate an amount per square metre + GST for costs
Quotes from both parties - amount will be lowest of both quotes</t>
  </si>
  <si>
    <t xml:space="preserve">David Wear to reach out — no works required; repaint $200/sqm</t>
  </si>
  <si>
    <t xml:space="preserve">Payment in Lieu of $200 sqm + GST ($)</t>
  </si>
  <si>
    <t xml:space="preserve">Current sublease — repaint &amp; steam carpet; alterations/damage to assess</t>
  </si>
  <si>
    <t xml:space="preserve">Suite vacant — repaint and carpet remediation complete</t>
  </si>
  <si>
    <t xml:space="preserve">Owner occupied — monthly; no make good obligation</t>
  </si>
  <si>
    <t xml:space="preserve">  KEY  |  Amber cells = user input required   |   Status automatically set from expiry date</t>
  </si>
  <si>
    <t xml:space="preserve">LIGHT_RED (expired/overdue)</t>
  </si>
  <si>
    <t xml:space="preserve">LT_ORANGE (&lt;6 mths)</t>
  </si>
  <si>
    <t xml:space="preserve">LT_AMBER (&lt;12 mths)</t>
  </si>
  <si>
    <t xml:space="preserve">Blue/White (&gt;12 mths)</t>
  </si>
  <si>
    <t xml:space="preserve">17 CASTLEREAGH STREET  —  SPEC FITOUT REGISTER  |  As at 30/04/2026</t>
  </si>
  <si>
    <t xml:space="preserve"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</si>
  <si>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</si>
  <si>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</si>
  <si>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</si>
  <si>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</si>
  <si>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</si>
  <si>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</si>
  <si>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</si>
  <si>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</si>
  <si>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 xml:space="preserve">Suite Description /
Last Tenant</t>
  </si>
  <si>
    <t xml:space="preserve">Date
Approved</t>
  </si>
  <si>
    <t xml:space="preserve">Total Budget
($)</t>
  </si>
  <si>
    <t xml:space="preserve">Fitout
Allowance ($)</t>
  </si>
  <si>
    <t xml:space="preserve">Net Cost
($)</t>
  </si>
  <si>
    <t xml:space="preserve">Contractor</t>
  </si>
  <si>
    <t xml:space="preserve">Date
Completed</t>
  </si>
  <si>
    <t xml:space="preserve">Estimated
Rent PSM ($)</t>
  </si>
  <si>
    <t xml:space="preserve">Incentive
% (new tenant)</t>
  </si>
  <si>
    <t xml:space="preserve">Notes / Scope</t>
  </si>
  <si>
    <t xml:space="preserve">Pending Approval</t>
  </si>
  <si>
    <t xml:space="preserve">Approved</t>
  </si>
  <si>
    <t xml:space="preserve">JC Painting Solutions
King Commercial</t>
  </si>
  <si>
    <t xml:space="preserve">HasBuilt</t>
  </si>
  <si>
    <t xml:space="preserve">  COST REFERENCE GUIDE  —  Typical Spec Fitout Costs (update from market quotes)</t>
  </si>
  <si>
    <t xml:space="preserve">Category</t>
  </si>
  <si>
    <t xml:space="preserve">Low ($ psm)</t>
  </si>
  <si>
    <t xml:space="preserve">Mid ($ psm)</t>
  </si>
  <si>
    <t xml:space="preserve">High ($ psm)</t>
  </si>
  <si>
    <t xml:space="preserve">Partition offices + open plan</t>
  </si>
  <si>
    <t xml:space="preserve">$350</t>
  </si>
  <si>
    <t xml:space="preserve">$550</t>
  </si>
  <si>
    <t xml:space="preserve">$750</t>
  </si>
  <si>
    <t xml:space="preserve">Includes demolition, new partitions, doors</t>
  </si>
  <si>
    <t xml:space="preserve">Carpet / floor coverings</t>
  </si>
  <si>
    <t xml:space="preserve">$65</t>
  </si>
  <si>
    <t xml:space="preserve">$90</t>
  </si>
  <si>
    <t xml:space="preserve">$130</t>
  </si>
  <si>
    <t xml:space="preserve">Quality commercial carpet tiles</t>
  </si>
  <si>
    <t xml:space="preserve">Painting – full repaint</t>
  </si>
  <si>
    <t xml:space="preserve">$25</t>
  </si>
  <si>
    <t xml:space="preserve">$40</t>
  </si>
  <si>
    <t xml:space="preserve">$55</t>
  </si>
  <si>
    <t xml:space="preserve">Per sqm NLA</t>
  </si>
  <si>
    <t xml:space="preserve">Lighting upgrade (LED)</t>
  </si>
  <si>
    <t xml:space="preserve">$70</t>
  </si>
  <si>
    <t xml:space="preserve">$110</t>
  </si>
  <si>
    <t xml:space="preserve">Per sqm; assume if &gt;10yrs old</t>
  </si>
  <si>
    <t xml:space="preserve">Joinery / kitchen</t>
  </si>
  <si>
    <t xml:space="preserve">$15,000</t>
  </si>
  <si>
    <t xml:space="preserve">$25,000</t>
  </si>
  <si>
    <t xml:space="preserve">$40,000</t>
  </si>
  <si>
    <t xml:space="preserve">Per kitchen (per fitout)</t>
  </si>
  <si>
    <t xml:space="preserve">A/C servicing &amp; balancing</t>
  </si>
  <si>
    <t xml:space="preserve">$20</t>
  </si>
  <si>
    <t xml:space="preserve">$35</t>
  </si>
  <si>
    <t xml:space="preserve">Full blank canvas fitout</t>
  </si>
  <si>
    <t xml:space="preserve">$600</t>
  </si>
  <si>
    <t xml:space="preserve">$850</t>
  </si>
  <si>
    <t xml:space="preserve">$1,200</t>
  </si>
  <si>
    <t xml:space="preserve">Complete stripped and refitted suite</t>
  </si>
  <si>
    <t xml:space="preserve">Cosmetic refresh only</t>
  </si>
  <si>
    <t xml:space="preserve">$100</t>
  </si>
  <si>
    <t xml:space="preserve">$180</t>
  </si>
  <si>
    <t xml:space="preserve">$260</t>
  </si>
  <si>
    <t xml:space="preserve">Carpet + paint + lighting only</t>
  </si>
  <si>
    <t xml:space="preserve">17 CASTLEREAGH STREET, SYDNEY  —  BUILDING STACK PLAN  |  As at 30/04/2026</t>
  </si>
  <si>
    <t xml:space="preserve">Blocks sized proportionally by NLA  |  Colour = lease expiry year  |  Source: Input Data tab</t>
  </si>
  <si>
    <t xml:space="preserve">Floor
NLA (sqm)</t>
  </si>
  <si>
    <t xml:space="preserve"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</si>
  <si>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 xml:space="preserve">Level 12</t>
  </si>
  <si>
    <t xml:space="preserve">Level 11</t>
  </si>
  <si>
    <t xml:space="preserve">Level 10</t>
  </si>
  <si>
    <t xml:space="preserve">Level 9</t>
  </si>
  <si>
    <t xml:space="preserve">Level 8</t>
  </si>
  <si>
    <t xml:space="preserve">Level 7</t>
  </si>
  <si>
    <t xml:space="preserve">Level 6</t>
  </si>
  <si>
    <t xml:space="preserve">Level 5</t>
  </si>
  <si>
    <t xml:space="preserve">Level 4</t>
  </si>
  <si>
    <t xml:space="preserve">Level 3</t>
  </si>
  <si>
    <t xml:space="preserve">Level 2</t>
  </si>
  <si>
    <t xml:space="preserve">Level 1</t>
  </si>
  <si>
    <t xml:space="preserve">Ground Floor</t>
  </si>
  <si>
    <t xml:space="preserve">Lower Ground</t>
  </si>
  <si>
    <t xml:space="preserve">  LEGEND  —  Expiry Year Colour Code</t>
  </si>
  <si>
    <t xml:space="preserve">Expiring 2026  ⚠ URGENT</t>
  </si>
  <si>
    <t xml:space="preserve">  PORTFOLIO SUMMARY  |  As at 30/04/2026</t>
  </si>
  <si>
    <t xml:space="preserve">Total NLA
4,704.5 sqm</t>
  </si>
  <si>
    <t xml:space="preserve">Occupied
4,544.2 sqm (96.6%)</t>
  </si>
  <si>
    <t xml:space="preserve">WALE (NLA)
2.44 years</t>
  </si>
  <si>
    <t xml:space="preserve">Gross Income PA
$4,460,629</t>
  </si>
  <si>
    <t xml:space="preserve">Active Leases
23  |  1 vacant  |  1 owner</t>
  </si>
  <si>
    <t xml:space="preserve">Car Parks
2 garages</t>
  </si>
  <si>
    <t xml:space="preserve">17 CASTLEREAGH STREET  —  NET EFFECTIVE RENT (NER) TRACKING  |  Monthly Rolling Log</t>
  </si>
  <si>
    <t xml:space="preserve">Each month: paste the current NER snapshot into a new row. All values pull from Input Data for the current month row (row 5). Yellow = input (paste values each month). Chart updates automatically.</t>
  </si>
  <si>
    <t xml:space="preserve"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</si>
  <si>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 xml:space="preserve">Occupied NLA
(sqm)</t>
  </si>
  <si>
    <t xml:space="preserve">Occupancy
(%)</t>
  </si>
  <si>
    <t xml:space="preserve">Gross Income
PA ($)</t>
  </si>
  <si>
    <t xml:space="preserve">Net Effective
PA ($)</t>
  </si>
  <si>
    <t xml:space="preserve">Avg Face
PSM ($)</t>
  </si>
  <si>
    <t xml:space="preserve">Avg NER
PSM ($)</t>
  </si>
  <si>
    <t xml:space="preserve">Incentive
PSM ($)</t>
  </si>
  <si>
    <t xml:space="preserve">Incentive
%</t>
  </si>
  <si>
    <t xml:space="preserve">WALE
(yrs NLA)</t>
  </si>
  <si>
    <t xml:space="preserve">WALE
(yrs Inc)</t>
  </si>
  <si>
    <t xml:space="preserve">▶</t>
  </si>
  <si>
    <t xml:space="preserve">Apr 26 — initial snapshot</t>
  </si>
  <si>
    <t xml:space="preserve">  NER PSM TREND  —  Chart updates automatically as monthly rows are added</t>
  </si>
  <si>
    <t xml:space="preserve">Initial Proposal</t>
  </si>
  <si>
    <t xml:space="preserve">Incentive Summary</t>
  </si>
  <si>
    <t xml:space="preserve">Lease Term (Yrs.)</t>
  </si>
  <si>
    <t xml:space="preserve">Net Rent ($/sqm/pa ex GST)</t>
  </si>
  <si>
    <t xml:space="preserve">Item</t>
  </si>
  <si>
    <t xml:space="preserve">Total</t>
  </si>
  <si>
    <t xml:space="preserve">Percentage</t>
  </si>
  <si>
    <t xml:space="preserve">Per SQM</t>
  </si>
  <si>
    <t xml:space="preserve">Outgoings ($/sqm/pa ex GST)</t>
  </si>
  <si>
    <t xml:space="preserve">Incentive Total</t>
  </si>
  <si>
    <t xml:space="preserve">Rental ($/sqm/pa ex GST)</t>
  </si>
  <si>
    <t xml:space="preserve">Fit out costs</t>
  </si>
  <si>
    <t xml:space="preserve">Area (subject to survey)</t>
  </si>
  <si>
    <t xml:space="preserve">Tenant Incentive</t>
  </si>
  <si>
    <t xml:space="preserve">Annual reviews</t>
  </si>
  <si>
    <t xml:space="preserve">Fitout Costs</t>
  </si>
  <si>
    <t xml:space="preserve">Total incentive ($ value) </t>
  </si>
  <si>
    <t xml:space="preserve">Incentive $/sqm</t>
  </si>
  <si>
    <t xml:space="preserve">Year</t>
  </si>
  <si>
    <t xml:space="preserve">Rate per m² Net</t>
  </si>
  <si>
    <t xml:space="preserve">Outgoings</t>
  </si>
  <si>
    <t xml:space="preserve">Annual Rent</t>
  </si>
  <si>
    <t xml:space="preserve">Year 1</t>
  </si>
  <si>
    <t xml:space="preserve">Make good obligation </t>
  </si>
  <si>
    <t xml:space="preserve">DRAFT FEE ADVICE</t>
  </si>
  <si>
    <t xml:space="preserve">SUITE 3.03 - 17 Castlereagh</t>
  </si>
  <si>
    <t xml:space="preserve">Lessor</t>
  </si>
  <si>
    <t xml:space="preserve">Hartswan Pty Ltd</t>
  </si>
  <si>
    <t xml:space="preserve">Lessee</t>
  </si>
  <si>
    <t xml:space="preserve">Broadridge Financial</t>
  </si>
  <si>
    <t xml:space="preserve">Lease Commencement Date</t>
  </si>
  <si>
    <t xml:space="preserve">Lease term</t>
  </si>
  <si>
    <t xml:space="preserve">Area (m2)</t>
  </si>
  <si>
    <t xml:space="preserve">Rental</t>
  </si>
  <si>
    <t xml:space="preserve">Gross rent per sqm</t>
  </si>
  <si>
    <t xml:space="preserve">Year 1 Gross Rental</t>
  </si>
  <si>
    <t xml:space="preserve">Annual Increases</t>
  </si>
  <si>
    <t xml:space="preserve">Year 2 Gross Rental</t>
  </si>
  <si>
    <t xml:space="preserve">Year 3 Gross Rental</t>
  </si>
  <si>
    <t xml:space="preserve">Year 4 Gross Rental</t>
  </si>
  <si>
    <t xml:space="preserve">Fee Basis</t>
  </si>
  <si>
    <t xml:space="preserve">Gross Fee (100% of Scale)</t>
  </si>
  <si>
    <t xml:space="preserve">Average Annual Gross Rental</t>
  </si>
  <si>
    <t xml:space="preserve">Leasing Fee</t>
  </si>
  <si>
    <t xml:space="preserve">Cadigal</t>
  </si>
  <si>
    <t xml:space="preserve">Plus GST</t>
  </si>
  <si>
    <t xml:space="preserve">Total Leasing Fee</t>
  </si>
  <si>
    <t xml:space="preserve">Date of Quote</t>
  </si>
  <si>
    <t xml:space="preserve">Company</t>
  </si>
  <si>
    <t xml:space="preserve">Amount</t>
  </si>
  <si>
    <t xml:space="preserve">Comment</t>
  </si>
  <si>
    <t xml:space="preserve">Removal of old and supply of new gas boilers</t>
  </si>
  <si>
    <t xml:space="preserve">Coverall Plumbing</t>
  </si>
  <si>
    <t xml:space="preserve">Not going ahead yet, waiting for further deterioiration </t>
  </si>
  <si>
    <t xml:space="preserve">Work and inclosure of level 12</t>
  </si>
  <si>
    <t xml:space="preserve">Cullen Feng</t>
  </si>
  <si>
    <t xml:space="preserve">Holding off </t>
  </si>
</sst>
</file>

<file path=xl/styles.xml><?xml version="1.0" encoding="utf-8"?>
<styleSheet xmlns="http://schemas.openxmlformats.org/spreadsheetml/2006/main">
  <numFmts count="35">
    <numFmt numFmtId="164" formatCode="General"/>
    <numFmt numFmtId="165" formatCode="_(\$* #,##0.00_);_(\$* \(#,##0.00\);_(\$* \-??_);_(@_)"/>
    <numFmt numFmtId="166" formatCode="0%"/>
    <numFmt numFmtId="167" formatCode="m/d/yyyy"/>
    <numFmt numFmtId="168" formatCode="#,##0.0&quot; sqm&quot;"/>
    <numFmt numFmtId="169" formatCode="0.00%"/>
    <numFmt numFmtId="170" formatCode="0.00&quot; years&quot;"/>
    <numFmt numFmtId="171" formatCode="\$#,##0"/>
    <numFmt numFmtId="172" formatCode="0.00&quot; yrs&quot;"/>
    <numFmt numFmtId="173" formatCode="yyyy\-mm\-dd\ h:mm:ss"/>
    <numFmt numFmtId="174" formatCode="#,##0.0"/>
    <numFmt numFmtId="175" formatCode="0.0"/>
    <numFmt numFmtId="176" formatCode="0.0%"/>
    <numFmt numFmtId="177" formatCode="0.00"/>
    <numFmt numFmtId="178" formatCode="\$#,##0.00"/>
    <numFmt numFmtId="179" formatCode="mm/dd/yy"/>
    <numFmt numFmtId="180" formatCode="0.00&quot; yrs (WALE)&quot;"/>
    <numFmt numFmtId="181" formatCode="&quot;($&quot;#,##0\)"/>
    <numFmt numFmtId="182" formatCode="0"/>
    <numFmt numFmtId="183" formatCode="0&quot; days&quot;"/>
    <numFmt numFmtId="184" formatCode="0.000%"/>
    <numFmt numFmtId="185" formatCode="0.00\x"/>
    <numFmt numFmtId="186" formatCode="0.00&quot; yrs (WALE NLA)&quot;"/>
    <numFmt numFmtId="187" formatCode="\$#,##0.00;[RED]&quot;-$&quot;#,##0.00"/>
    <numFmt numFmtId="188" formatCode="#,##0"/>
    <numFmt numFmtId="189" formatCode="\$#,##0;[RED]&quot;-$&quot;#,##0"/>
    <numFmt numFmtId="190" formatCode="_-\$* #,##0.00_-;&quot;-$&quot;* #,##0.00_-;_-\$* \-??_-;_-@_-"/>
    <numFmt numFmtId="191" formatCode="\$0&quot; psm pa&quot;"/>
    <numFmt numFmtId="192" formatCode="0.0&quot; sqm&quot;"/>
    <numFmt numFmtId="193" formatCode="0&quot; sqm&quot;"/>
    <numFmt numFmtId="194" formatCode="d\-mmm\-yy"/>
    <numFmt numFmtId="195" formatCode="d\-mmm"/>
    <numFmt numFmtId="196" formatCode="mmm\-yy"/>
    <numFmt numFmtId="197" formatCode="\$#,##0.00_);[RED]&quot;($&quot;#,##0.00\)"/>
    <numFmt numFmtId="198" formatCode="\$#,##0.00;[RED]\$#,##0.00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4"/>
      <color rgb="FF6B5E52"/>
      <name val="Georgia"/>
      <family val="0"/>
      <charset val="1"/>
    </font>
    <font>
      <b val="true"/>
      <sz val="32"/>
      <color rgb="FF2C2925"/>
      <name val="Georgia"/>
      <family val="0"/>
      <charset val="1"/>
    </font>
    <font>
      <i val="true"/>
      <sz val="16"/>
      <color rgb="FF6B5E52"/>
      <name val="Georgia"/>
      <family val="0"/>
      <charset val="1"/>
    </font>
    <font>
      <sz val="11"/>
      <color rgb="FF6B5E52"/>
      <name val="Georgia"/>
      <family val="0"/>
      <charset val="1"/>
    </font>
    <font>
      <b val="true"/>
      <sz val="14"/>
      <color rgb="FFB5A494"/>
      <name val="Georgia"/>
      <family val="0"/>
      <charset val="1"/>
    </font>
    <font>
      <b val="true"/>
      <sz val="13"/>
      <color rgb="FFF5F0EA"/>
      <name val="Georgia"/>
      <family val="0"/>
      <charset val="1"/>
    </font>
    <font>
      <i val="true"/>
      <sz val="9"/>
      <color rgb="FF6B5E52"/>
      <name val="Georgia"/>
      <family val="0"/>
      <charset val="1"/>
    </font>
    <font>
      <sz val="11"/>
      <color rgb="FF2C2925"/>
      <name val="Georgia"/>
      <family val="0"/>
      <charset val="1"/>
    </font>
    <font>
      <b val="true"/>
      <sz val="10"/>
      <color rgb="FFF5F0EA"/>
      <name val="Georgia"/>
      <family val="0"/>
      <charset val="1"/>
    </font>
    <font>
      <b val="true"/>
      <sz val="10"/>
      <color rgb="FF2C2925"/>
      <name val="Georgia"/>
      <family val="0"/>
      <charset val="1"/>
    </font>
    <font>
      <sz val="10"/>
      <color rgb="FF2C2925"/>
      <name val="Georgia"/>
      <family val="0"/>
      <charset val="1"/>
    </font>
    <font>
      <sz val="9"/>
      <color rgb="FF2C2925"/>
      <name val="Georgia"/>
      <family val="0"/>
      <charset val="1"/>
    </font>
    <font>
      <b val="true"/>
      <sz val="11"/>
      <color rgb="FFF5F0EA"/>
      <name val="Georgia"/>
      <family val="0"/>
      <charset val="1"/>
    </font>
    <font>
      <b val="true"/>
      <sz val="9"/>
      <color rgb="FFF5F0EA"/>
      <name val="Georgia"/>
      <family val="0"/>
      <charset val="1"/>
    </font>
    <font>
      <sz val="7"/>
      <color rgb="FF2C2925"/>
      <name val="Georgia"/>
      <family val="0"/>
      <charset val="1"/>
    </font>
    <font>
      <b val="true"/>
      <sz val="9"/>
      <color rgb="FF2C2925"/>
      <name val="Georgia"/>
      <family val="0"/>
      <charset val="1"/>
    </font>
    <font>
      <sz val="8"/>
      <color rgb="FF2C2925"/>
      <name val="Georgia"/>
      <family val="0"/>
      <charset val="1"/>
    </font>
    <font>
      <i val="true"/>
      <sz val="8"/>
      <color rgb="FF6B5E52"/>
      <name val="Georgia"/>
      <family val="0"/>
      <charset val="1"/>
    </font>
    <font>
      <b val="true"/>
      <sz val="15"/>
      <color rgb="FFF5F0EA"/>
      <name val="Georgia"/>
      <family val="0"/>
      <charset val="1"/>
    </font>
    <font>
      <i val="true"/>
      <sz val="10"/>
      <color rgb="FFF5F0EA"/>
      <name val="Georgia"/>
      <family val="0"/>
      <charset val="1"/>
    </font>
    <font>
      <b val="true"/>
      <sz val="14"/>
      <color rgb="FFF5F0EA"/>
      <name val="Georgia"/>
      <family val="0"/>
      <charset val="1"/>
    </font>
    <font>
      <sz val="11"/>
      <color rgb="FFF5F0EA"/>
      <name val="Georgia"/>
      <family val="0"/>
      <charset val="1"/>
    </font>
    <font>
      <b val="true"/>
      <sz val="12"/>
      <color rgb="FFF5F0EA"/>
      <name val="Georgia"/>
      <family val="0"/>
      <charset val="1"/>
    </font>
    <font>
      <b val="true"/>
      <sz val="11"/>
      <color rgb="FF2C2925"/>
      <name val="Georgia"/>
      <family val="0"/>
      <charset val="1"/>
    </font>
    <font>
      <sz val="9"/>
      <color rgb="FF6B5E52"/>
      <name val="Georgia"/>
      <family val="0"/>
      <charset val="1"/>
    </font>
    <font>
      <sz val="10"/>
      <color rgb="FFF5F0EA"/>
      <name val="Georgia"/>
      <family val="0"/>
      <charset val="1"/>
    </font>
    <font>
      <b val="true"/>
      <sz val="9"/>
      <color rgb="FF8A6E45"/>
      <name val="Georgia"/>
      <family val="0"/>
      <charset val="1"/>
    </font>
    <font>
      <b val="true"/>
      <sz val="9"/>
      <color rgb="FF6B5E52"/>
      <name val="Georgia"/>
      <family val="0"/>
      <charset val="1"/>
    </font>
    <font>
      <i val="true"/>
      <sz val="8"/>
      <color rgb="FF2C2925"/>
      <name val="Georgia"/>
      <family val="0"/>
      <charset val="1"/>
    </font>
    <font>
      <i val="true"/>
      <sz val="9"/>
      <color rgb="FF2C2925"/>
      <name val="Georgia"/>
      <family val="0"/>
      <charset val="1"/>
    </font>
    <font>
      <sz val="9"/>
      <color rgb="FFF5F0EA"/>
      <name val="Georgia"/>
      <family val="0"/>
      <charset val="1"/>
    </font>
    <font>
      <sz val="9"/>
      <color rgb="FF7A4F47"/>
      <name val="Georgia"/>
      <family val="0"/>
      <charset val="1"/>
    </font>
    <font>
      <sz val="9"/>
      <color rgb="FF5B6650"/>
      <name val="Georgia"/>
      <family val="0"/>
      <charset val="1"/>
    </font>
    <font>
      <b val="true"/>
      <sz val="8"/>
      <color rgb="FF8A6E45"/>
      <name val="Georgia"/>
      <family val="0"/>
      <charset val="1"/>
    </font>
    <font>
      <b val="true"/>
      <sz val="8"/>
      <color rgb="FF6B5E52"/>
      <name val="Georgia"/>
      <family val="0"/>
      <charset val="1"/>
    </font>
    <font>
      <b val="true"/>
      <sz val="8"/>
      <color rgb="FF2C2925"/>
      <name val="Georgia"/>
      <family val="0"/>
      <charset val="1"/>
    </font>
    <font>
      <b val="true"/>
      <sz val="8"/>
      <color rgb="FF5B6650"/>
      <name val="Georgia"/>
      <family val="0"/>
      <charset val="1"/>
    </font>
    <font>
      <b val="true"/>
      <sz val="8"/>
      <color rgb="FF7A4F47"/>
      <name val="Georgia"/>
      <family val="0"/>
      <charset val="1"/>
    </font>
    <font>
      <b val="true"/>
      <sz val="12"/>
      <color rgb="FF2C2925"/>
      <name val="Georgia"/>
      <family val="0"/>
      <charset val="1"/>
    </font>
    <font>
      <sz val="8"/>
      <color rgb="FF6B5E52"/>
      <name val="Georgia"/>
      <family val="0"/>
      <charset val="1"/>
    </font>
    <font>
      <b val="true"/>
      <sz val="8"/>
      <color rgb="FFF5F0EA"/>
      <name val="Georgia"/>
      <family val="0"/>
      <charset val="1"/>
    </font>
    <font>
      <sz val="8"/>
      <color rgb="FFF5F0EA"/>
      <name val="Georg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name val="Calibri"/>
      <family val="2"/>
      <charset val="1"/>
    </font>
    <font>
      <b val="true"/>
      <sz val="16"/>
      <color rgb="FF2C2925"/>
      <name val="Georgia"/>
      <family val="0"/>
      <charset val="1"/>
    </font>
    <font>
      <sz val="16"/>
      <color rgb="FF2C2925"/>
      <name val="Georgia"/>
      <family val="0"/>
      <charset val="1"/>
    </font>
    <font>
      <b val="true"/>
      <sz val="14"/>
      <color rgb="FF2C2925"/>
      <name val="Georgia"/>
      <family val="0"/>
      <charset val="1"/>
    </font>
    <font>
      <b val="true"/>
      <i val="true"/>
      <sz val="11"/>
      <color rgb="FF2C2925"/>
      <name val="Georg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003300"/>
      </patternFill>
    </fill>
    <fill>
      <patternFill patternType="solid">
        <fgColor rgb="FFDCD9D2"/>
        <bgColor rgb="FFD9D9D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6B5E52"/>
        <bgColor rgb="FF5B6650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5B6E7A"/>
        <bgColor rgb="FF4F7A6E"/>
      </patternFill>
    </fill>
    <fill>
      <patternFill patternType="solid">
        <fgColor rgb="FFDCD5C9"/>
        <bgColor rgb="FFDCD9D2"/>
      </patternFill>
    </fill>
    <fill>
      <patternFill patternType="solid">
        <fgColor rgb="FF9C9486"/>
        <bgColor rgb="FFB5A494"/>
      </patternFill>
    </fill>
    <fill>
      <patternFill patternType="solid">
        <fgColor rgb="FF6B5670"/>
        <bgColor rgb="FF6B5E52"/>
      </patternFill>
    </fill>
    <fill>
      <patternFill patternType="solid">
        <fgColor rgb="FF4F7A6E"/>
        <bgColor rgb="FF5B6E7A"/>
      </patternFill>
    </fill>
    <fill>
      <patternFill patternType="solid">
        <fgColor rgb="FFFFFFFF"/>
        <bgColor rgb="FFF5F0EA"/>
      </patternFill>
    </fill>
    <fill>
      <patternFill patternType="solid">
        <fgColor theme="1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6B5E52"/>
      </bottom>
      <diagonal/>
    </border>
    <border diagonalUp="false" diagonalDown="false">
      <left/>
      <right/>
      <top/>
      <bottom style="thin">
        <color rgb="FFB5A494"/>
      </bottom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2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4" fontId="3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7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2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0" fillId="1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2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3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19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9" fontId="12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1" fontId="1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2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3" fontId="1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90" fontId="12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90" fontId="1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2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2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8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4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5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4" fontId="1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95" fontId="15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82" fontId="1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1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8" fontId="15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6" fontId="15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8" fontId="15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14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6" fontId="15" fillId="4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8" fontId="15" fillId="4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5" fillId="4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6" fontId="15" fillId="4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87" fontId="15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8" fontId="15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97" fontId="15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97" fontId="1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4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98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4" fontId="12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9" fontId="12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4" fontId="12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9" fontId="12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2" xfId="20"/>
    <cellStyle name="Currency 2 2" xfId="21"/>
    <cellStyle name="Normal 2" xfId="22"/>
    <cellStyle name="Normal 3" xfId="23"/>
    <cellStyle name="Normal 3 2" xfId="24"/>
    <cellStyle name="Normal 4" xfId="25"/>
    <cellStyle name="Percent 2" xfId="26"/>
    <cellStyle name="Percent 2 2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B3B3B3"/>
      <rgbColor rgb="FF8A6E45"/>
      <rgbColor rgb="FF9999FF"/>
      <rgbColor rgb="FF7A4F47"/>
      <rgbColor rgb="FFF5F0EA"/>
      <rgbColor rgb="FFEDE7D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D9D2"/>
      <rgbColor rgb="FFDDE2D0"/>
      <rgbColor rgb="FFDCD5C9"/>
      <rgbColor rgb="FFE3D2CC"/>
      <rgbColor rgb="FFFF99CC"/>
      <rgbColor rgb="FFB5A494"/>
      <rgbColor rgb="FFEBDFC4"/>
      <rgbColor rgb="FF6B5670"/>
      <rgbColor rgb="FF33CCCC"/>
      <rgbColor rgb="FF99CC00"/>
      <rgbColor rgb="FFFFCC00"/>
      <rgbColor rgb="FFFF9900"/>
      <rgbColor rgb="FFED7D31"/>
      <rgbColor rgb="FF5B6E7A"/>
      <rgbColor rgb="FF9C9486"/>
      <rgbColor rgb="FF003366"/>
      <rgbColor rgb="FF4F7A6E"/>
      <rgbColor rgb="FF003300"/>
      <rgbColor rgb="FF375623"/>
      <rgbColor rgb="FF6B5E52"/>
      <rgbColor rgb="FF7030A0"/>
      <rgbColor rgb="FF2E5090"/>
      <rgbColor rgb="FF2C292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Net Effective Rent PSM — Monthly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"Avg NER PSM ($)"</c:f>
              <c:strCache>
                <c:ptCount val="1"/>
                <c:pt idx="0">
                  <c:v>Avg NER PSM ($)</c:v>
                </c:pt>
              </c:strCache>
            </c:strRef>
          </c:tx>
          <c:spPr>
            <a:solidFill>
              <a:srgbClr val="2E5090"/>
            </a:solidFill>
            <a:ln w="24840">
              <a:solidFill>
                <a:srgbClr val="2E509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"Avg Face PSM ($)"</c:f>
              <c:strCache>
                <c:ptCount val="1"/>
                <c:pt idx="0">
                  <c:v>Avg Face PSM ($)</c:v>
                </c:pt>
              </c:strCache>
            </c:strRef>
          </c:tx>
          <c:spPr>
            <a:solidFill>
              <a:srgbClr val="ED7D31"/>
            </a:solidFill>
            <a:ln w="201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0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708906"/>
        <c:axId val="92123390"/>
      </c:lineChart>
      <c:dateAx>
        <c:axId val="27708906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123390"/>
        <c:auto val="1"/>
        <c:lblOffset val="100"/>
        <c:baseTimeUnit val="days"/>
      </c:dateAx>
      <c:valAx>
        <c:axId val="92123390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NER ($/sqm)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708906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Occupancy % &amp; WALE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"Occupancy %"</c:f>
              <c:strCache>
                <c:ptCount val="1"/>
                <c:pt idx="0">
                  <c:v>Occupancy %</c:v>
                </c:pt>
              </c:strCache>
            </c:strRef>
          </c:tx>
          <c:spPr>
            <a:solidFill>
              <a:srgbClr val="375623"/>
            </a:solidFill>
            <a:ln w="24840">
              <a:solidFill>
                <a:srgbClr val="37562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"WALE (yrs, NLA)"</c:f>
              <c:strCache>
                <c:ptCount val="1"/>
                <c:pt idx="0">
                  <c:v>WALE (yrs, NLA)</c:v>
                </c:pt>
              </c:strCache>
            </c:strRef>
          </c:tx>
          <c:spPr>
            <a:solidFill>
              <a:srgbClr val="7030A0"/>
            </a:solidFill>
            <a:ln w="201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0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819027"/>
        <c:axId val="79564965"/>
      </c:lineChart>
      <c:dateAx>
        <c:axId val="25819027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564965"/>
        <c:auto val="1"/>
        <c:lblOffset val="100"/>
        <c:baseTimeUnit val="days"/>
      </c:dateAx>
      <c:valAx>
        <c:axId val="79564965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819027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33</xdr:row>
      <xdr:rowOff>0</xdr:rowOff>
    </xdr:from>
    <xdr:to>
      <xdr:col>9</xdr:col>
      <xdr:colOff>588960</xdr:colOff>
      <xdr:row>60</xdr:row>
      <xdr:rowOff>152640</xdr:rowOff>
    </xdr:to>
    <xdr:graphicFrame>
      <xdr:nvGraphicFramePr>
        <xdr:cNvPr id="1" name="Chart 1"/>
        <xdr:cNvGraphicFramePr/>
      </xdr:nvGraphicFramePr>
      <xdr:xfrm>
        <a:off x="102240" y="8010360"/>
        <a:ext cx="7919280" cy="50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9</xdr:col>
      <xdr:colOff>588960</xdr:colOff>
      <xdr:row>75</xdr:row>
      <xdr:rowOff>160920</xdr:rowOff>
    </xdr:to>
    <xdr:graphicFrame>
      <xdr:nvGraphicFramePr>
        <xdr:cNvPr id="2" name="Chart 2"/>
        <xdr:cNvGraphicFramePr/>
      </xdr:nvGraphicFramePr>
      <xdr:xfrm>
        <a:off x="102240" y="12173040"/>
        <a:ext cx="791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134640</xdr:rowOff>
    </xdr:from>
    <xdr:to>
      <xdr:col>8</xdr:col>
      <xdr:colOff>921240</xdr:colOff>
      <xdr:row>1</xdr:row>
      <xdr:rowOff>179280</xdr:rowOff>
    </xdr:to>
    <xdr:pic>
      <xdr:nvPicPr>
        <xdr:cNvPr id="3" name="Picture 1"/>
        <xdr:cNvPicPr/>
      </xdr:nvPicPr>
      <xdr:blipFill>
        <a:blip r:embed="rId1"/>
        <a:stretch/>
      </xdr:blipFill>
      <xdr:spPr>
        <a:xfrm>
          <a:off x="10366920" y="134640"/>
          <a:ext cx="921240" cy="292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52200</xdr:colOff>
      <xdr:row>0</xdr:row>
      <xdr:rowOff>95400</xdr:rowOff>
    </xdr:from>
    <xdr:to>
      <xdr:col>6</xdr:col>
      <xdr:colOff>513720</xdr:colOff>
      <xdr:row>1</xdr:row>
      <xdr:rowOff>304200</xdr:rowOff>
    </xdr:to>
    <xdr:pic>
      <xdr:nvPicPr>
        <xdr:cNvPr id="4" name="Picture 1"/>
        <xdr:cNvPicPr/>
      </xdr:nvPicPr>
      <xdr:blipFill>
        <a:blip r:embed="rId1"/>
        <a:stretch/>
      </xdr:blipFill>
      <xdr:spPr>
        <a:xfrm>
          <a:off x="7357320" y="95400"/>
          <a:ext cx="1179000" cy="36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8" min="2" style="0" width="14"/>
    <col collapsed="false" customWidth="true" hidden="false" outlineLevel="0" max="9" min="9" style="0" width="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7.35" hidden="false" customHeight="false" outlineLevel="0" collapsed="false">
      <c r="A3" s="1"/>
      <c r="B3" s="2" t="s">
        <v>0</v>
      </c>
      <c r="C3" s="1"/>
      <c r="D3" s="1"/>
      <c r="E3" s="1"/>
      <c r="F3" s="1"/>
      <c r="G3" s="1"/>
      <c r="H3" s="1"/>
      <c r="I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1"/>
      <c r="H8" s="1"/>
      <c r="I8" s="1"/>
    </row>
    <row r="9" customFormat="false" ht="15" hidden="false" customHeight="false" outlineLevel="0" collapsed="false">
      <c r="A9" s="1"/>
      <c r="B9" s="3" t="s">
        <v>1</v>
      </c>
      <c r="C9" s="3"/>
      <c r="D9" s="3"/>
      <c r="E9" s="3"/>
      <c r="F9" s="3"/>
      <c r="G9" s="3"/>
      <c r="H9" s="3"/>
      <c r="I9" s="1"/>
    </row>
    <row r="10" customFormat="false" ht="15" hidden="false" customHeight="false" outlineLevel="0" collapsed="false">
      <c r="A10" s="1"/>
      <c r="B10" s="3"/>
      <c r="C10" s="3"/>
      <c r="D10" s="3"/>
      <c r="E10" s="3"/>
      <c r="F10" s="3"/>
      <c r="G10" s="3"/>
      <c r="H10" s="3"/>
      <c r="I10" s="1"/>
    </row>
    <row r="11" customFormat="false" ht="15" hidden="false" customHeight="false" outlineLevel="0" collapsed="false">
      <c r="A11" s="1"/>
      <c r="B11" s="3"/>
      <c r="C11" s="3"/>
      <c r="D11" s="3"/>
      <c r="E11" s="3"/>
      <c r="F11" s="3"/>
      <c r="G11" s="3"/>
      <c r="H11" s="3"/>
      <c r="I11" s="1"/>
    </row>
    <row r="12" customFormat="false" ht="15" hidden="false" customHeight="false" outlineLevel="0" collapsed="false">
      <c r="A12" s="1"/>
      <c r="B12" s="3"/>
      <c r="C12" s="3"/>
      <c r="D12" s="3"/>
      <c r="E12" s="3"/>
      <c r="F12" s="3"/>
      <c r="G12" s="3"/>
      <c r="H12" s="3"/>
      <c r="I12" s="1"/>
    </row>
    <row r="13" customFormat="false" ht="15" hidden="false" customHeight="false" outlineLevel="0" collapsed="false">
      <c r="A13" s="1"/>
      <c r="B13" s="3"/>
      <c r="C13" s="3"/>
      <c r="D13" s="3"/>
      <c r="E13" s="3"/>
      <c r="F13" s="3"/>
      <c r="G13" s="3"/>
      <c r="H13" s="3"/>
      <c r="I13" s="1"/>
    </row>
    <row r="14" customFormat="false" ht="15" hidden="false" customHeight="false" outlineLevel="0" collapsed="false">
      <c r="A14" s="1"/>
      <c r="B14" s="3"/>
      <c r="C14" s="3"/>
      <c r="D14" s="3"/>
      <c r="E14" s="3"/>
      <c r="F14" s="3"/>
      <c r="G14" s="3"/>
      <c r="H14" s="3"/>
      <c r="I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</row>
    <row r="16" customFormat="false" ht="19.7" hidden="false" customHeight="false" outlineLevel="0" collapsed="false">
      <c r="A16" s="1"/>
      <c r="B16" s="4" t="s">
        <v>2</v>
      </c>
      <c r="C16" s="4"/>
      <c r="D16" s="4"/>
      <c r="E16" s="4"/>
      <c r="F16" s="4"/>
      <c r="G16" s="4"/>
      <c r="H16" s="4"/>
      <c r="I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</row>
    <row r="18" customFormat="false" ht="15" hidden="false" customHeight="false" outlineLevel="0" collapsed="false">
      <c r="A18" s="1"/>
      <c r="B18" s="5" t="s">
        <v>3</v>
      </c>
      <c r="C18" s="5"/>
      <c r="D18" s="5"/>
      <c r="E18" s="5"/>
      <c r="F18" s="5"/>
      <c r="G18" s="5"/>
      <c r="H18" s="5"/>
      <c r="I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</row>
    <row r="27" customFormat="false" ht="17.35" hidden="false" customHeight="false" outlineLevel="0" collapsed="false">
      <c r="A27" s="1"/>
      <c r="B27" s="6" t="s">
        <v>4</v>
      </c>
      <c r="C27" s="5" t="s">
        <v>5</v>
      </c>
      <c r="D27" s="5"/>
      <c r="E27" s="5"/>
      <c r="F27" s="5"/>
      <c r="G27" s="5"/>
      <c r="H27" s="5"/>
      <c r="I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</row>
  </sheetData>
  <mergeCells count="4">
    <mergeCell ref="B9:H14"/>
    <mergeCell ref="B16:H16"/>
    <mergeCell ref="B18:H18"/>
    <mergeCell ref="C27:H27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" width="2"/>
    <col collapsed="false" customWidth="true" hidden="false" outlineLevel="0" max="2" min="2" style="7" width="16"/>
    <col collapsed="false" customWidth="true" hidden="false" outlineLevel="0" max="4" min="3" style="7" width="20"/>
    <col collapsed="false" customWidth="true" hidden="false" outlineLevel="0" max="6" min="5" style="7" width="14"/>
    <col collapsed="false" customWidth="true" hidden="false" outlineLevel="0" max="7" min="7" style="7" width="50"/>
    <col collapsed="false" customWidth="true" hidden="false" outlineLevel="0" max="8" min="8" style="7" width="2"/>
  </cols>
  <sheetData>
    <row r="1" customFormat="false" ht="30" hidden="false" customHeight="true" outlineLevel="0" collapsed="false">
      <c r="A1" s="8" t="s">
        <v>6</v>
      </c>
      <c r="B1" s="8"/>
      <c r="C1" s="8"/>
      <c r="D1" s="8"/>
      <c r="E1" s="8"/>
      <c r="F1" s="8"/>
      <c r="G1" s="8"/>
      <c r="H1" s="8"/>
    </row>
    <row r="2" customFormat="false" ht="18" hidden="false" customHeight="true" outlineLevel="0" collapsed="false">
      <c r="A2" s="9" t="s">
        <v>7</v>
      </c>
      <c r="B2" s="9"/>
      <c r="C2" s="9"/>
      <c r="D2" s="9"/>
      <c r="E2" s="9"/>
      <c r="F2" s="9"/>
      <c r="G2" s="9"/>
      <c r="H2" s="9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</row>
    <row r="4" customFormat="false" ht="19.5" hidden="false" customHeight="true" outlineLevel="0" collapsed="false">
      <c r="A4" s="10"/>
      <c r="B4" s="11" t="s">
        <v>8</v>
      </c>
      <c r="C4" s="11"/>
      <c r="D4" s="11"/>
      <c r="E4" s="11"/>
      <c r="F4" s="11"/>
      <c r="G4" s="11"/>
      <c r="H4" s="10"/>
    </row>
    <row r="5" customFormat="false" ht="18" hidden="false" customHeight="true" outlineLevel="0" collapsed="false">
      <c r="A5" s="10"/>
      <c r="B5" s="12" t="s">
        <v>9</v>
      </c>
      <c r="C5" s="12"/>
      <c r="D5" s="12" t="s">
        <v>10</v>
      </c>
      <c r="E5" s="12"/>
      <c r="F5" s="12"/>
      <c r="G5" s="12"/>
      <c r="H5" s="10"/>
    </row>
    <row r="6" customFormat="false" ht="18" hidden="false" customHeight="true" outlineLevel="0" collapsed="false">
      <c r="A6" s="10"/>
      <c r="B6" s="13" t="s">
        <v>11</v>
      </c>
      <c r="C6" s="13"/>
      <c r="D6" s="14" t="n">
        <v>46204</v>
      </c>
      <c r="E6" s="14"/>
      <c r="F6" s="14"/>
      <c r="G6" s="14"/>
      <c r="H6" s="10"/>
    </row>
    <row r="7" customFormat="false" ht="18" hidden="false" customHeight="true" outlineLevel="0" collapsed="false">
      <c r="A7" s="10"/>
      <c r="B7" s="12" t="s">
        <v>12</v>
      </c>
      <c r="C7" s="12"/>
      <c r="D7" s="15" t="n">
        <f aca="false">SUM('Input Data'!F3:F27)</f>
        <v>4704.5</v>
      </c>
      <c r="E7" s="15"/>
      <c r="F7" s="15"/>
      <c r="G7" s="15"/>
      <c r="H7" s="10"/>
    </row>
    <row r="8" customFormat="false" ht="18" hidden="false" customHeight="true" outlineLevel="0" collapsed="false">
      <c r="A8" s="10"/>
      <c r="B8" s="13" t="s">
        <v>13</v>
      </c>
      <c r="C8" s="13"/>
      <c r="D8" s="16" t="n">
        <f aca="false">(SUM('Input Data'!F3:F27)-'Input Data'!F27)/SUM('Input Data'!F3:F27)</f>
        <v>0.965926240833245</v>
      </c>
      <c r="E8" s="16"/>
      <c r="F8" s="16"/>
      <c r="G8" s="16"/>
      <c r="H8" s="10"/>
    </row>
    <row r="9" customFormat="false" ht="18" hidden="false" customHeight="true" outlineLevel="0" collapsed="false">
      <c r="A9" s="10"/>
      <c r="B9" s="12" t="s">
        <v>14</v>
      </c>
      <c r="C9" s="12"/>
      <c r="D9" s="17" t="n">
        <f aca="true">IFERROR(SUMPRODUCT(('Input Data'!K3:K27&gt;0)*'Input Data'!F3:F27*MAX(('Input Data'!H3:H27-TODAY())/365.25,0))/SUMIF('Input Data'!K3:K27,"&gt;0",'Input Data'!F3:F27),0)</f>
        <v>0</v>
      </c>
      <c r="E9" s="17"/>
      <c r="F9" s="17"/>
      <c r="G9" s="17"/>
      <c r="H9" s="10"/>
    </row>
    <row r="10" customFormat="false" ht="18" hidden="false" customHeight="true" outlineLevel="0" collapsed="false">
      <c r="A10" s="10"/>
      <c r="B10" s="13" t="s">
        <v>15</v>
      </c>
      <c r="C10" s="13"/>
      <c r="D10" s="18" t="n">
        <f aca="true">IFERROR(SUMPRODUCT(('Input Data'!N3:N27&gt;0)*'Input Data'!N3:N27*MAX(('Input Data'!H3:H27-TODAY())/365.25,0))/SUMIF('Input Data'!N3:N27,"&gt;0"),0)</f>
        <v>0</v>
      </c>
      <c r="E10" s="18"/>
      <c r="F10" s="18"/>
      <c r="G10" s="18"/>
      <c r="H10" s="10"/>
    </row>
    <row r="11" customFormat="false" ht="18" hidden="false" customHeight="true" outlineLevel="0" collapsed="false">
      <c r="A11" s="10"/>
      <c r="B11" s="12" t="s">
        <v>16</v>
      </c>
      <c r="C11" s="12"/>
      <c r="D11" s="19" t="n">
        <f aca="false">SUMIF('Input Data'!K3:K27,"&gt;0")</f>
        <v>4906203.941</v>
      </c>
      <c r="E11" s="19"/>
      <c r="F11" s="19"/>
      <c r="G11" s="19"/>
      <c r="H11" s="10"/>
    </row>
    <row r="12" customFormat="false" ht="18" hidden="false" customHeight="true" outlineLevel="0" collapsed="false">
      <c r="A12" s="10"/>
      <c r="B12" s="13" t="s">
        <v>17</v>
      </c>
      <c r="C12" s="13"/>
      <c r="D12" s="20" t="n">
        <f aca="false">SUM('Input Data'!N3:N27)</f>
        <v>4062126.511</v>
      </c>
      <c r="E12" s="20"/>
      <c r="F12" s="20"/>
      <c r="G12" s="20"/>
      <c r="H12" s="10"/>
    </row>
    <row r="13" customFormat="false" ht="18" hidden="false" customHeight="true" outlineLevel="0" collapsed="false">
      <c r="A13" s="10"/>
      <c r="B13" s="12" t="s">
        <v>18</v>
      </c>
      <c r="C13" s="12"/>
      <c r="D13" s="21" t="s">
        <v>19</v>
      </c>
      <c r="E13" s="21"/>
      <c r="F13" s="21"/>
      <c r="G13" s="21"/>
      <c r="H13" s="10"/>
    </row>
    <row r="14" customFormat="false" ht="18" hidden="false" customHeight="true" outlineLevel="0" collapsed="false">
      <c r="A14" s="10"/>
      <c r="B14" s="13" t="s">
        <v>20</v>
      </c>
      <c r="C14" s="13"/>
      <c r="D14" s="22" t="s">
        <v>21</v>
      </c>
      <c r="E14" s="22"/>
      <c r="F14" s="22"/>
      <c r="G14" s="22"/>
      <c r="H14" s="10"/>
    </row>
    <row r="15" customFormat="false" ht="18" hidden="false" customHeight="true" outlineLevel="0" collapsed="false">
      <c r="A15" s="10"/>
      <c r="B15" s="12" t="s">
        <v>22</v>
      </c>
      <c r="C15" s="12"/>
      <c r="D15" s="23"/>
      <c r="E15" s="23"/>
      <c r="F15" s="23"/>
      <c r="G15" s="23"/>
      <c r="H15" s="10"/>
    </row>
    <row r="16" customFormat="false" ht="18" hidden="false" customHeight="true" outlineLevel="0" collapsed="false">
      <c r="A16" s="10"/>
      <c r="B16" s="13" t="s">
        <v>23</v>
      </c>
      <c r="C16" s="13"/>
      <c r="D16" s="23"/>
      <c r="E16" s="23"/>
      <c r="F16" s="23"/>
      <c r="G16" s="23"/>
      <c r="H16" s="10"/>
    </row>
    <row r="17" customFormat="false" ht="19.5" hidden="false" customHeight="true" outlineLevel="0" collapsed="false">
      <c r="A17" s="10"/>
      <c r="B17" s="12" t="s">
        <v>24</v>
      </c>
      <c r="C17" s="12"/>
      <c r="D17" s="24"/>
      <c r="E17" s="24"/>
      <c r="F17" s="24"/>
      <c r="G17" s="24"/>
      <c r="H17" s="10"/>
    </row>
    <row r="18" customFormat="false" ht="7.5" hidden="false" customHeight="true" outlineLevel="0" collapsed="false">
      <c r="A18" s="10"/>
      <c r="B18" s="10"/>
      <c r="C18" s="10"/>
      <c r="D18" s="10"/>
      <c r="E18" s="10"/>
      <c r="F18" s="10"/>
      <c r="G18" s="10"/>
      <c r="H18" s="10"/>
    </row>
    <row r="19" customFormat="false" ht="19.5" hidden="false" customHeight="true" outlineLevel="0" collapsed="false">
      <c r="A19" s="10"/>
      <c r="B19" s="11" t="s">
        <v>25</v>
      </c>
      <c r="C19" s="11"/>
      <c r="D19" s="11"/>
      <c r="E19" s="11"/>
      <c r="F19" s="11"/>
      <c r="G19" s="11"/>
      <c r="H19" s="10"/>
    </row>
    <row r="20" customFormat="false" ht="24" hidden="false" customHeight="true" outlineLevel="0" collapsed="false">
      <c r="A20" s="10"/>
      <c r="B20" s="25" t="s">
        <v>26</v>
      </c>
      <c r="C20" s="25" t="s">
        <v>27</v>
      </c>
      <c r="D20" s="25" t="s">
        <v>28</v>
      </c>
      <c r="E20" s="25" t="s">
        <v>29</v>
      </c>
      <c r="F20" s="25" t="s">
        <v>30</v>
      </c>
      <c r="G20" s="25" t="s">
        <v>31</v>
      </c>
      <c r="H20" s="10"/>
    </row>
    <row r="21" customFormat="false" ht="18" hidden="false" customHeight="true" outlineLevel="0" collapsed="false">
      <c r="A21" s="10"/>
      <c r="B21" s="26" t="n">
        <v>46142</v>
      </c>
      <c r="C21" s="27"/>
      <c r="D21" s="28" t="s">
        <v>32</v>
      </c>
      <c r="E21" s="29" t="n">
        <f aca="false">(SUM('Input Data'!F3:F27)-'Input Data'!F27)/SUM('Input Data'!F3:F27)</f>
        <v>0.965926240833245</v>
      </c>
      <c r="F21" s="30" t="n">
        <f aca="true">IFERROR(SUMPRODUCT(('Input Data'!K3:K27&gt;0)*'Input Data'!F3:F27*MAX(('Input Data'!H3:H27-TODAY())/365.25,0))/SUMIF('Input Data'!K3:K27,"&gt;0",'Input Data'!F3:F27),0)</f>
        <v>0</v>
      </c>
      <c r="G21" s="31" t="s">
        <v>33</v>
      </c>
      <c r="H21" s="10"/>
    </row>
    <row r="22" customFormat="false" ht="18" hidden="false" customHeight="true" outlineLevel="0" collapsed="false">
      <c r="A22" s="10"/>
      <c r="B22" s="32" t="n">
        <v>46204</v>
      </c>
      <c r="C22" s="33" t="s">
        <v>34</v>
      </c>
      <c r="D22" s="33" t="s">
        <v>35</v>
      </c>
      <c r="E22" s="33" t="n">
        <f aca="false">(SUM('Input Data'!F3:F27)-'Input Data'!F27)/SUM('Input Data'!F3:F27)</f>
        <v>0.965926240833245</v>
      </c>
      <c r="F22" s="33" t="n">
        <f aca="true">IFERROR(SUMPRODUCT(('Input Data'!K3:K27&gt;0)*'Input Data'!F3:F27*MAX(('Input Data'!H3:H27-TODAY())/365.25,0))/SUMIF('Input Data'!K3:K27,"&gt;0",'Input Data'!F3:F27),0)</f>
        <v>0</v>
      </c>
      <c r="G22" s="33" t="s">
        <v>36</v>
      </c>
      <c r="H22" s="10"/>
    </row>
    <row r="23" customFormat="false" ht="18" hidden="false" customHeight="true" outlineLevel="0" collapsed="false">
      <c r="A23" s="10"/>
      <c r="B23" s="34"/>
      <c r="C23" s="34"/>
      <c r="D23" s="34"/>
      <c r="E23" s="34"/>
      <c r="F23" s="34"/>
      <c r="G23" s="34"/>
      <c r="H23" s="10"/>
    </row>
    <row r="24" customFormat="false" ht="18" hidden="false" customHeight="true" outlineLevel="0" collapsed="false">
      <c r="A24" s="10"/>
      <c r="B24" s="35"/>
      <c r="C24" s="35"/>
      <c r="D24" s="35"/>
      <c r="E24" s="35"/>
      <c r="F24" s="35"/>
      <c r="G24" s="35"/>
      <c r="H24" s="10"/>
    </row>
    <row r="25" customFormat="false" ht="18" hidden="false" customHeight="true" outlineLevel="0" collapsed="false">
      <c r="A25" s="10"/>
      <c r="B25" s="34"/>
      <c r="C25" s="34"/>
      <c r="D25" s="34"/>
      <c r="E25" s="34"/>
      <c r="F25" s="34"/>
      <c r="G25" s="34"/>
      <c r="H25" s="10"/>
    </row>
    <row r="26" customFormat="false" ht="18" hidden="false" customHeight="true" outlineLevel="0" collapsed="false">
      <c r="A26" s="10"/>
      <c r="B26" s="35"/>
      <c r="C26" s="35"/>
      <c r="D26" s="35"/>
      <c r="E26" s="35"/>
      <c r="F26" s="35"/>
      <c r="G26" s="35"/>
      <c r="H26" s="10"/>
    </row>
    <row r="27" customFormat="false" ht="18" hidden="false" customHeight="true" outlineLevel="0" collapsed="false">
      <c r="A27" s="10"/>
      <c r="B27" s="34"/>
      <c r="C27" s="34"/>
      <c r="D27" s="34"/>
      <c r="E27" s="34"/>
      <c r="F27" s="34"/>
      <c r="G27" s="34"/>
      <c r="H27" s="10"/>
    </row>
    <row r="28" customFormat="false" ht="18" hidden="false" customHeight="true" outlineLevel="0" collapsed="false">
      <c r="A28" s="10"/>
      <c r="B28" s="35"/>
      <c r="C28" s="35"/>
      <c r="D28" s="35"/>
      <c r="E28" s="35"/>
      <c r="F28" s="35"/>
      <c r="G28" s="35"/>
      <c r="H28" s="10"/>
    </row>
    <row r="29" customFormat="false" ht="18" hidden="false" customHeight="true" outlineLevel="0" collapsed="false">
      <c r="A29" s="10"/>
      <c r="B29" s="34"/>
      <c r="C29" s="34"/>
      <c r="D29" s="34"/>
      <c r="E29" s="34"/>
      <c r="F29" s="34"/>
      <c r="G29" s="34"/>
      <c r="H29" s="10"/>
    </row>
    <row r="30" customFormat="false" ht="18" hidden="false" customHeight="true" outlineLevel="0" collapsed="false">
      <c r="A30" s="10"/>
      <c r="B30" s="35"/>
      <c r="C30" s="35"/>
      <c r="D30" s="35"/>
      <c r="E30" s="35"/>
      <c r="F30" s="35"/>
      <c r="G30" s="35"/>
      <c r="H30" s="10"/>
    </row>
    <row r="31" customFormat="false" ht="18" hidden="false" customHeight="true" outlineLevel="0" collapsed="false">
      <c r="A31" s="10"/>
      <c r="B31" s="34"/>
      <c r="C31" s="34"/>
      <c r="D31" s="34"/>
      <c r="E31" s="34"/>
      <c r="F31" s="34"/>
      <c r="G31" s="34"/>
      <c r="H31" s="10"/>
    </row>
    <row r="32" customFormat="false" ht="18" hidden="false" customHeight="true" outlineLevel="0" collapsed="false">
      <c r="A32" s="10"/>
      <c r="B32" s="35"/>
      <c r="C32" s="35"/>
      <c r="D32" s="35"/>
      <c r="E32" s="35"/>
      <c r="F32" s="35"/>
      <c r="G32" s="35"/>
      <c r="H32" s="10"/>
    </row>
    <row r="33" customFormat="false" ht="18" hidden="false" customHeight="true" outlineLevel="0" collapsed="false">
      <c r="A33" s="10"/>
      <c r="B33" s="34"/>
      <c r="C33" s="34"/>
      <c r="D33" s="34"/>
      <c r="E33" s="34"/>
      <c r="F33" s="34"/>
      <c r="G33" s="34"/>
      <c r="H33" s="10"/>
    </row>
    <row r="34" customFormat="false" ht="18" hidden="false" customHeight="true" outlineLevel="0" collapsed="false">
      <c r="A34" s="10"/>
      <c r="B34" s="35"/>
      <c r="C34" s="35"/>
      <c r="D34" s="35"/>
      <c r="E34" s="35"/>
      <c r="F34" s="35"/>
      <c r="G34" s="35"/>
      <c r="H34" s="10"/>
    </row>
    <row r="35" customFormat="false" ht="18" hidden="false" customHeight="true" outlineLevel="0" collapsed="false">
      <c r="A35" s="10"/>
      <c r="B35" s="34"/>
      <c r="C35" s="34"/>
      <c r="D35" s="34"/>
      <c r="E35" s="34"/>
      <c r="F35" s="34"/>
      <c r="G35" s="34"/>
      <c r="H35" s="10"/>
    </row>
    <row r="36" customFormat="false" ht="18" hidden="false" customHeight="true" outlineLevel="0" collapsed="false">
      <c r="A36" s="10"/>
      <c r="B36" s="35"/>
      <c r="C36" s="35"/>
      <c r="D36" s="35"/>
      <c r="E36" s="35"/>
      <c r="F36" s="35"/>
      <c r="G36" s="35"/>
      <c r="H36" s="10"/>
    </row>
    <row r="37" customFormat="false" ht="18" hidden="false" customHeight="true" outlineLevel="0" collapsed="false">
      <c r="A37" s="10"/>
      <c r="B37" s="34"/>
      <c r="C37" s="34"/>
      <c r="D37" s="34"/>
      <c r="E37" s="34"/>
      <c r="F37" s="34"/>
      <c r="G37" s="34"/>
      <c r="H37" s="10"/>
    </row>
    <row r="38" customFormat="false" ht="18" hidden="false" customHeight="true" outlineLevel="0" collapsed="false">
      <c r="A38" s="10"/>
      <c r="B38" s="35"/>
      <c r="C38" s="35"/>
      <c r="D38" s="35"/>
      <c r="E38" s="35"/>
      <c r="F38" s="35"/>
      <c r="G38" s="35"/>
      <c r="H38" s="10"/>
    </row>
    <row r="39" customFormat="false" ht="18" hidden="false" customHeight="true" outlineLevel="0" collapsed="false">
      <c r="A39" s="10"/>
      <c r="B39" s="34"/>
      <c r="C39" s="34"/>
      <c r="D39" s="34"/>
      <c r="E39" s="34"/>
      <c r="F39" s="34"/>
      <c r="G39" s="34"/>
      <c r="H39" s="10"/>
    </row>
    <row r="40" customFormat="false" ht="7.5" hidden="false" customHeight="true" outlineLevel="0" collapsed="false">
      <c r="A40" s="10"/>
      <c r="B40" s="10"/>
      <c r="C40" s="10"/>
      <c r="D40" s="10"/>
      <c r="E40" s="10"/>
      <c r="F40" s="10"/>
      <c r="G40" s="10"/>
      <c r="H40" s="10"/>
    </row>
    <row r="41" customFormat="false" ht="19.5" hidden="false" customHeight="true" outlineLevel="0" collapsed="false">
      <c r="A41" s="10"/>
      <c r="B41" s="11" t="s">
        <v>37</v>
      </c>
      <c r="C41" s="11"/>
      <c r="D41" s="11"/>
      <c r="E41" s="11"/>
      <c r="F41" s="11"/>
      <c r="G41" s="11"/>
      <c r="H41" s="10"/>
    </row>
    <row r="42" customFormat="false" ht="18" hidden="false" customHeight="true" outlineLevel="0" collapsed="false">
      <c r="A42" s="10"/>
      <c r="B42" s="36" t="s">
        <v>38</v>
      </c>
      <c r="C42" s="37" t="s">
        <v>39</v>
      </c>
      <c r="D42" s="37"/>
      <c r="E42" s="37"/>
      <c r="F42" s="37"/>
      <c r="G42" s="37"/>
      <c r="H42" s="10"/>
    </row>
    <row r="43" customFormat="false" ht="18" hidden="false" customHeight="true" outlineLevel="0" collapsed="false">
      <c r="A43" s="10"/>
      <c r="B43" s="38" t="s">
        <v>40</v>
      </c>
      <c r="C43" s="39" t="s">
        <v>41</v>
      </c>
      <c r="D43" s="39"/>
      <c r="E43" s="39"/>
      <c r="F43" s="39"/>
      <c r="G43" s="39"/>
      <c r="H43" s="10"/>
    </row>
    <row r="44" customFormat="false" ht="18" hidden="false" customHeight="true" outlineLevel="0" collapsed="false">
      <c r="A44" s="10"/>
      <c r="B44" s="36" t="s">
        <v>42</v>
      </c>
      <c r="C44" s="37" t="s">
        <v>43</v>
      </c>
      <c r="D44" s="37"/>
      <c r="E44" s="37"/>
      <c r="F44" s="37"/>
      <c r="G44" s="37"/>
      <c r="H44" s="10"/>
    </row>
    <row r="45" customFormat="false" ht="18" hidden="false" customHeight="true" outlineLevel="0" collapsed="false">
      <c r="A45" s="10"/>
      <c r="B45" s="38" t="s">
        <v>44</v>
      </c>
      <c r="C45" s="39" t="s">
        <v>45</v>
      </c>
      <c r="D45" s="39"/>
      <c r="E45" s="39"/>
      <c r="F45" s="39"/>
      <c r="G45" s="39"/>
      <c r="H45" s="10"/>
    </row>
    <row r="46" customFormat="false" ht="18" hidden="false" customHeight="true" outlineLevel="0" collapsed="false">
      <c r="A46" s="10"/>
      <c r="B46" s="36" t="s">
        <v>46</v>
      </c>
      <c r="C46" s="37" t="s">
        <v>47</v>
      </c>
      <c r="D46" s="37"/>
      <c r="E46" s="37"/>
      <c r="F46" s="37"/>
      <c r="G46" s="37"/>
      <c r="H46" s="10"/>
    </row>
    <row r="47" customFormat="false" ht="18" hidden="false" customHeight="true" outlineLevel="0" collapsed="false">
      <c r="A47" s="10"/>
      <c r="B47" s="38" t="s">
        <v>48</v>
      </c>
      <c r="C47" s="39" t="s">
        <v>49</v>
      </c>
      <c r="D47" s="39"/>
      <c r="E47" s="39"/>
      <c r="F47" s="39"/>
      <c r="G47" s="39"/>
      <c r="H47" s="10"/>
    </row>
    <row r="48" customFormat="false" ht="18" hidden="false" customHeight="true" outlineLevel="0" collapsed="false">
      <c r="A48" s="10"/>
      <c r="B48" s="36" t="s">
        <v>50</v>
      </c>
      <c r="C48" s="37" t="s">
        <v>51</v>
      </c>
      <c r="D48" s="37"/>
      <c r="E48" s="37"/>
      <c r="F48" s="37"/>
      <c r="G48" s="37"/>
      <c r="H48" s="10"/>
    </row>
    <row r="49" customFormat="false" ht="18" hidden="false" customHeight="true" outlineLevel="0" collapsed="false">
      <c r="A49" s="10"/>
      <c r="B49" s="38" t="s">
        <v>52</v>
      </c>
      <c r="C49" s="39" t="s">
        <v>53</v>
      </c>
      <c r="D49" s="39"/>
      <c r="E49" s="39"/>
      <c r="F49" s="39"/>
      <c r="G49" s="39"/>
      <c r="H49" s="10"/>
    </row>
    <row r="50" customFormat="false" ht="18" hidden="false" customHeight="true" outlineLevel="0" collapsed="false">
      <c r="A50" s="10"/>
      <c r="B50" s="36" t="s">
        <v>54</v>
      </c>
      <c r="C50" s="37" t="s">
        <v>55</v>
      </c>
      <c r="D50" s="37"/>
      <c r="E50" s="37"/>
      <c r="F50" s="37"/>
      <c r="G50" s="37"/>
      <c r="H50" s="10"/>
    </row>
    <row r="51" customFormat="false" ht="18" hidden="false" customHeight="true" outlineLevel="0" collapsed="false">
      <c r="A51" s="10"/>
      <c r="B51" s="38" t="s">
        <v>56</v>
      </c>
      <c r="C51" s="39" t="s">
        <v>57</v>
      </c>
      <c r="D51" s="39"/>
      <c r="E51" s="39"/>
      <c r="F51" s="39"/>
      <c r="G51" s="39"/>
      <c r="H51" s="10"/>
    </row>
  </sheetData>
  <mergeCells count="41">
    <mergeCell ref="A1:H1"/>
    <mergeCell ref="A2:H2"/>
    <mergeCell ref="B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7:C17"/>
    <mergeCell ref="D17:G17"/>
    <mergeCell ref="B19:G19"/>
    <mergeCell ref="B41:G41"/>
    <mergeCell ref="C42:G42"/>
    <mergeCell ref="C43:G43"/>
    <mergeCell ref="C44:G44"/>
    <mergeCell ref="C45:G45"/>
    <mergeCell ref="C46:G46"/>
    <mergeCell ref="C47:G47"/>
    <mergeCell ref="C48:G48"/>
    <mergeCell ref="C49:G49"/>
    <mergeCell ref="C50:G50"/>
    <mergeCell ref="C51:G51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H7" activeCellId="0" sqref="H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8"/>
    <col collapsed="false" customWidth="true" hidden="false" outlineLevel="0" max="3" min="3" style="7" width="10"/>
    <col collapsed="false" customWidth="true" hidden="false" outlineLevel="0" max="4" min="4" style="7" width="30"/>
    <col collapsed="false" customWidth="true" hidden="false" outlineLevel="0" max="5" min="5" style="7" width="28"/>
    <col collapsed="false" customWidth="true" hidden="false" outlineLevel="0" max="6" min="6" style="7" width="10"/>
    <col collapsed="false" customWidth="true" hidden="false" outlineLevel="0" max="8" min="7" style="7" width="14"/>
    <col collapsed="false" customWidth="true" hidden="false" outlineLevel="0" max="10" min="9" style="7" width="10"/>
    <col collapsed="false" customWidth="true" hidden="false" outlineLevel="0" max="12" min="11" style="7" width="16"/>
    <col collapsed="false" customWidth="true" hidden="false" outlineLevel="0" max="13" min="13" style="7" width="14"/>
    <col collapsed="false" customWidth="true" hidden="false" outlineLevel="0" max="14" min="14" style="7" width="16"/>
    <col collapsed="false" customWidth="true" hidden="false" outlineLevel="0" max="15" min="15" style="7" width="10"/>
    <col collapsed="false" customWidth="true" hidden="false" outlineLevel="0" max="16" min="16" style="7" width="14"/>
    <col collapsed="false" customWidth="true" hidden="false" outlineLevel="0" max="17" min="17" style="7" width="16"/>
    <col collapsed="false" customWidth="true" hidden="false" outlineLevel="0" max="18" min="18" style="7" width="13"/>
    <col collapsed="false" customWidth="true" hidden="false" outlineLevel="0" max="21" min="19" style="7" width="14"/>
    <col collapsed="false" customWidth="true" hidden="false" outlineLevel="0" max="22" min="22" style="7" width="10"/>
    <col collapsed="false" customWidth="true" hidden="false" outlineLevel="0" max="23" min="23" style="7" width="12"/>
    <col collapsed="false" customWidth="true" hidden="false" outlineLevel="0" max="24" min="24" style="7" width="25"/>
    <col collapsed="false" customWidth="true" hidden="false" outlineLevel="0" max="25" min="25" style="7" width="10"/>
    <col collapsed="false" customWidth="true" hidden="false" outlineLevel="0" max="26" min="26" style="7" width="14"/>
    <col collapsed="false" customWidth="true" hidden="false" outlineLevel="0" max="28" min="27" style="7" width="0.09"/>
  </cols>
  <sheetData>
    <row r="1" customFormat="false" ht="27.75" hidden="false" customHeight="true" outlineLevel="0" collapsed="false">
      <c r="A1" s="8" t="s">
        <v>58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10"/>
      <c r="Z1" s="10"/>
      <c r="AA1" s="10"/>
      <c r="AB1" s="10"/>
    </row>
    <row r="2" customFormat="false" ht="31.5" hidden="false" customHeight="true" outlineLevel="0" collapsed="false">
      <c r="A2" s="40" t="s">
        <v>59</v>
      </c>
      <c r="B2" s="40" t="s">
        <v>60</v>
      </c>
      <c r="C2" s="40" t="s">
        <v>61</v>
      </c>
      <c r="D2" s="40" t="s">
        <v>62</v>
      </c>
      <c r="E2" s="40" t="s">
        <v>63</v>
      </c>
      <c r="F2" s="40" t="s">
        <v>64</v>
      </c>
      <c r="G2" s="40" t="s">
        <v>65</v>
      </c>
      <c r="H2" s="40" t="s">
        <v>66</v>
      </c>
      <c r="I2" s="40" t="s">
        <v>67</v>
      </c>
      <c r="J2" s="40" t="s">
        <v>68</v>
      </c>
      <c r="K2" s="40" t="s">
        <v>69</v>
      </c>
      <c r="L2" s="40" t="s">
        <v>70</v>
      </c>
      <c r="M2" s="40" t="s">
        <v>71</v>
      </c>
      <c r="N2" s="40" t="s">
        <v>72</v>
      </c>
      <c r="O2" s="40" t="s">
        <v>73</v>
      </c>
      <c r="P2" s="40" t="s">
        <v>74</v>
      </c>
      <c r="Q2" s="40" t="s">
        <v>75</v>
      </c>
      <c r="R2" s="40" t="s">
        <v>76</v>
      </c>
      <c r="S2" s="40" t="s">
        <v>77</v>
      </c>
      <c r="T2" s="40" t="s">
        <v>78</v>
      </c>
      <c r="U2" s="40" t="s">
        <v>79</v>
      </c>
      <c r="V2" s="40" t="s">
        <v>80</v>
      </c>
      <c r="W2" s="40" t="s">
        <v>81</v>
      </c>
      <c r="X2" s="40" t="s">
        <v>82</v>
      </c>
      <c r="Y2" s="41" t="s">
        <v>83</v>
      </c>
      <c r="Z2" s="41" t="s">
        <v>84</v>
      </c>
      <c r="AA2" s="42" t="s">
        <v>85</v>
      </c>
      <c r="AB2" s="42" t="s">
        <v>86</v>
      </c>
    </row>
    <row r="3" customFormat="false" ht="15.75" hidden="false" customHeight="true" outlineLevel="0" collapsed="false">
      <c r="A3" s="28" t="s">
        <v>87</v>
      </c>
      <c r="B3" s="28" t="s">
        <v>88</v>
      </c>
      <c r="C3" s="28" t="s">
        <v>89</v>
      </c>
      <c r="D3" s="43" t="str">
        <f aca="false">IF(Y3="EXPIRED","VACANT","OPULENT TWO ENTERPRISES")</f>
        <v>OPULENT TWO ENTERPRISES</v>
      </c>
      <c r="E3" s="31" t="str">
        <f aca="false">IF(Y3="EXPIRED","","OPULENT TWO ENTERPRISES")</f>
        <v>OPULENT TWO ENTERPRISES</v>
      </c>
      <c r="F3" s="44" t="n">
        <v>151.2</v>
      </c>
      <c r="G3" s="45" t="n">
        <f aca="false">IF(Y3="EXPIRED","",DATE(2016,2,1))</f>
        <v>42401</v>
      </c>
      <c r="H3" s="45" t="n">
        <f aca="true">IF(Z3="","",IF(Z3&lt;TODAY(),"",Z3))</f>
        <v>47149</v>
      </c>
      <c r="I3" s="46" t="n">
        <f aca="false">IF(Y3="EXPIRED","",13)</f>
        <v>13</v>
      </c>
      <c r="J3" s="47" t="n">
        <f aca="false">IF(Y3="EXPIRED",0,1002.01)</f>
        <v>1002.01</v>
      </c>
      <c r="K3" s="47" t="n">
        <f aca="false">IF(Y3="EXPIRED",0,J3*F3)</f>
        <v>151503.912</v>
      </c>
      <c r="L3" s="47" t="n">
        <v>-28014.84</v>
      </c>
      <c r="M3" s="47" t="n">
        <v>15000</v>
      </c>
      <c r="N3" s="47" t="n">
        <f aca="false">K3+L3</f>
        <v>123489.072</v>
      </c>
      <c r="O3" s="28" t="n">
        <v>0</v>
      </c>
      <c r="P3" s="28" t="s">
        <v>90</v>
      </c>
      <c r="Q3" s="45" t="n">
        <v>46419</v>
      </c>
      <c r="R3" s="28" t="s">
        <v>91</v>
      </c>
      <c r="S3" s="47" t="n">
        <f aca="false">IFERROR(INDEX('Market Rents 26-27'!E:E,MATCH(C3,'Market Rents 26-27'!$A:$A,0)),0)</f>
        <v>930</v>
      </c>
      <c r="T3" s="47" t="n">
        <f aca="false">IF(J3&gt;0,J3-S3,"")</f>
        <v>72.01</v>
      </c>
      <c r="U3" s="48" t="n">
        <f aca="false">IF(AND(J3&gt;0,S3&gt;0),(J3-S3)/S3,"")</f>
        <v>0.0774301075268817</v>
      </c>
      <c r="V3" s="49" t="n">
        <f aca="true">IF(H3="",0,IFERROR(MAX((H3-TODAY())/365.25,0),0))</f>
        <v>2.5927446954141</v>
      </c>
      <c r="W3" s="44" t="n">
        <f aca="false">F3*V3</f>
        <v>392.022997946612</v>
      </c>
      <c r="X3" s="27"/>
      <c r="Y3" s="50" t="str">
        <f aca="true">IF(Z3="","VACANT",IF(Z3&lt;TODAY(),"EXPIRED","ACTIVE"))</f>
        <v>ACTIVE</v>
      </c>
      <c r="Z3" s="26" t="n">
        <v>47149</v>
      </c>
      <c r="AA3" s="51" t="n">
        <v>1002.01</v>
      </c>
      <c r="AB3" s="52" t="s">
        <v>92</v>
      </c>
    </row>
    <row r="4" customFormat="false" ht="15.75" hidden="false" customHeight="true" outlineLevel="0" collapsed="false">
      <c r="A4" s="53" t="s">
        <v>93</v>
      </c>
      <c r="B4" s="53" t="s">
        <v>94</v>
      </c>
      <c r="C4" s="53" t="s">
        <v>95</v>
      </c>
      <c r="D4" s="54" t="str">
        <f aca="false">IF(Y4="EXPIRED","VACANT","RCVRI MARTIN PLACE PTY LTD")</f>
        <v>RCVRI MARTIN PLACE PTY LTD</v>
      </c>
      <c r="E4" s="55" t="str">
        <f aca="false">IF(Y4="EXPIRED","","RECOVERIE")</f>
        <v>RECOVERIE</v>
      </c>
      <c r="F4" s="56" t="n">
        <v>298.3</v>
      </c>
      <c r="G4" s="57" t="n">
        <f aca="false">IF(Y4="EXPIRED","",DATE(2025,1,21))</f>
        <v>45678</v>
      </c>
      <c r="H4" s="57" t="n">
        <f aca="true">IF(Z4="","",IF(Z4&lt;TODAY(),"",Z4))</f>
        <v>48233</v>
      </c>
      <c r="I4" s="58" t="n">
        <f aca="false">IF(Y4="EXPIRED","",7)</f>
        <v>7</v>
      </c>
      <c r="J4" s="59" t="n">
        <f aca="false">IF(Y4="EXPIRED",0,1150.52)</f>
        <v>1150.52</v>
      </c>
      <c r="K4" s="59" t="n">
        <f aca="false">IF(Y4="EXPIRED",0,J4*F4)</f>
        <v>343200.116</v>
      </c>
      <c r="L4" s="59" t="n">
        <v>-70714.32</v>
      </c>
      <c r="M4" s="59" t="n">
        <v>10408.32</v>
      </c>
      <c r="N4" s="59" t="n">
        <f aca="false">K4+L4</f>
        <v>272485.796</v>
      </c>
      <c r="O4" s="53" t="n">
        <v>0</v>
      </c>
      <c r="P4" s="53" t="s">
        <v>90</v>
      </c>
      <c r="Q4" s="57" t="n">
        <v>46408</v>
      </c>
      <c r="R4" s="53" t="s">
        <v>96</v>
      </c>
      <c r="S4" s="59" t="n">
        <f aca="false">IFERROR(INDEX('Market Rents 26-27'!E:E,MATCH(C4,'Market Rents 26-27'!$A:$A,0)),0)</f>
        <v>1100</v>
      </c>
      <c r="T4" s="59" t="n">
        <f aca="false">IF(J4&gt;0,J4-S4,"")</f>
        <v>50.52</v>
      </c>
      <c r="U4" s="60" t="n">
        <f aca="false">IF(AND(J4&gt;0,S4&gt;0),(J4-S4)/S4,"")</f>
        <v>0.0459272727272727</v>
      </c>
      <c r="V4" s="61" t="n">
        <f aca="true">IF(H4="",0,IFERROR(MAX((H4-TODAY())/365.25,0),0))</f>
        <v>5.5605749486653</v>
      </c>
      <c r="W4" s="56" t="n">
        <f aca="false">F4*V4</f>
        <v>1658.71950718686</v>
      </c>
      <c r="X4" s="62"/>
      <c r="Y4" s="50" t="str">
        <f aca="true">IF(Z4="","VACANT",IF(Z4&lt;TODAY(),"EXPIRED","ACTIVE"))</f>
        <v>ACTIVE</v>
      </c>
      <c r="Z4" s="26" t="n">
        <v>48233</v>
      </c>
      <c r="AA4" s="51" t="n">
        <v>1150.52</v>
      </c>
      <c r="AB4" s="52" t="s">
        <v>97</v>
      </c>
    </row>
    <row r="5" customFormat="false" ht="15.75" hidden="false" customHeight="true" outlineLevel="0" collapsed="false">
      <c r="A5" s="63" t="s">
        <v>98</v>
      </c>
      <c r="B5" s="63" t="s">
        <v>99</v>
      </c>
      <c r="C5" s="63" t="s">
        <v>100</v>
      </c>
      <c r="D5" s="64" t="str">
        <f aca="false">IF(Y5="EXPIRED","VACANT","BLITZEM PTY LTD")</f>
        <v>BLITZEM PTY LTD</v>
      </c>
      <c r="E5" s="37" t="str">
        <f aca="false">IF(Y5="EXPIRED","","BLITZEM PTY LTD")</f>
        <v>BLITZEM PTY LTD</v>
      </c>
      <c r="F5" s="65" t="n">
        <v>162.4</v>
      </c>
      <c r="G5" s="26" t="n">
        <f aca="false">IF(Y5="EXPIRED","",DATE(2017,3,1))</f>
        <v>42795</v>
      </c>
      <c r="H5" s="26" t="n">
        <f aca="true">IF(Z5="","",IF(Z5&lt;TODAY(),"",Z5))</f>
        <v>47299</v>
      </c>
      <c r="I5" s="66" t="n">
        <f aca="false">IF(Y5="EXPIRED","",3)</f>
        <v>3</v>
      </c>
      <c r="J5" s="67" t="n">
        <f aca="false">IF(Y5="EXPIRED",0,1012.37)</f>
        <v>1012.37</v>
      </c>
      <c r="K5" s="67" t="n">
        <f aca="false">IF(Y5="EXPIRED",0,J5*F5)</f>
        <v>164408.888</v>
      </c>
      <c r="L5" s="67" t="n">
        <v>0</v>
      </c>
      <c r="M5" s="67" t="n">
        <v>9936</v>
      </c>
      <c r="N5" s="67" t="n">
        <f aca="false">K5+L5</f>
        <v>164408.888</v>
      </c>
      <c r="O5" s="63" t="n">
        <v>0</v>
      </c>
      <c r="P5" s="63" t="s">
        <v>101</v>
      </c>
      <c r="Q5" s="26" t="n">
        <v>46568</v>
      </c>
      <c r="R5" s="63" t="s">
        <v>91</v>
      </c>
      <c r="S5" s="67" t="n">
        <f aca="false">IFERROR(INDEX('Market Rents 26-27'!E:E,MATCH(C5,'Market Rents 26-27'!$A:$A,0)),0)</f>
        <v>1115</v>
      </c>
      <c r="T5" s="67" t="n">
        <f aca="false">IF(J5&gt;0,J5-S5,"")</f>
        <v>-102.63</v>
      </c>
      <c r="U5" s="68" t="n">
        <f aca="false">IF(AND(J5&gt;0,S5&gt;0),(J5-S5)/S5,"")</f>
        <v>-0.0920448430493274</v>
      </c>
      <c r="V5" s="69" t="n">
        <f aca="true">IF(H5="",0,IFERROR(MAX((H5-TODAY())/365.25,0),0))</f>
        <v>3.00342231348392</v>
      </c>
      <c r="W5" s="65" t="n">
        <f aca="false">F5*V5</f>
        <v>487.755783709788</v>
      </c>
      <c r="X5" s="63" t="s">
        <v>102</v>
      </c>
      <c r="Y5" s="50" t="str">
        <f aca="true">IF(Z5="","VACANT",IF(Z5&lt;TODAY(),"EXPIRED","ACTIVE"))</f>
        <v>ACTIVE</v>
      </c>
      <c r="Z5" s="26" t="n">
        <v>47299</v>
      </c>
      <c r="AA5" s="51" t="n">
        <v>1012.37</v>
      </c>
      <c r="AB5" s="52" t="s">
        <v>103</v>
      </c>
    </row>
    <row r="6" customFormat="false" ht="15.75" hidden="false" customHeight="true" outlineLevel="0" collapsed="false">
      <c r="A6" s="53" t="s">
        <v>104</v>
      </c>
      <c r="B6" s="53" t="s">
        <v>99</v>
      </c>
      <c r="C6" s="53" t="s">
        <v>105</v>
      </c>
      <c r="D6" s="54" t="str">
        <f aca="false">IF(Y6="EXPIRED","VACANT","PU PRIME TRADING PTY LTD")</f>
        <v>PU PRIME TRADING PTY LTD</v>
      </c>
      <c r="E6" s="55" t="str">
        <f aca="false">IF(Y6="EXPIRED","","PU PRIME TRADING PTY LTD")</f>
        <v>PU PRIME TRADING PTY LTD</v>
      </c>
      <c r="F6" s="56" t="n">
        <v>96.3</v>
      </c>
      <c r="G6" s="57" t="n">
        <f aca="false">IF(Y6="EXPIRED","",DATE(2021,7,1))</f>
        <v>44378</v>
      </c>
      <c r="H6" s="57" t="n">
        <f aca="true">IF(Z6="","",IF(Z6&lt;TODAY(),"",Z6))</f>
        <v>46918</v>
      </c>
      <c r="I6" s="58" t="n">
        <f aca="false">IF(Y6="EXPIRED","",7)</f>
        <v>7</v>
      </c>
      <c r="J6" s="59" t="n">
        <v>1021.99</v>
      </c>
      <c r="K6" s="59" t="n">
        <f aca="false">IF(Y6="EXPIRED",0,J6*F6)</f>
        <v>98417.637</v>
      </c>
      <c r="L6" s="59" t="n">
        <v>-9021.6</v>
      </c>
      <c r="M6" s="59" t="n">
        <v>6780</v>
      </c>
      <c r="N6" s="59" t="n">
        <f aca="false">K6+L6</f>
        <v>89396.037</v>
      </c>
      <c r="O6" s="53" t="n">
        <v>0</v>
      </c>
      <c r="P6" s="53" t="s">
        <v>90</v>
      </c>
      <c r="Q6" s="57" t="n">
        <v>46461</v>
      </c>
      <c r="R6" s="53" t="s">
        <v>91</v>
      </c>
      <c r="S6" s="59" t="n">
        <f aca="false">IFERROR(INDEX('Market Rents 26-27'!E:E,MATCH(C6,'Market Rents 26-27'!$A:$A,0)),0)</f>
        <v>960</v>
      </c>
      <c r="T6" s="59" t="n">
        <f aca="false">IF(J6&gt;0,J6-S6,"")</f>
        <v>61.99</v>
      </c>
      <c r="U6" s="60" t="n">
        <f aca="false">IF(AND(J6&gt;0,S6&gt;0),(J6-S6)/S6,"")</f>
        <v>0.0645729166666667</v>
      </c>
      <c r="V6" s="61" t="n">
        <f aca="true">IF(H6="",0,IFERROR(MAX((H6-TODAY())/365.25,0),0))</f>
        <v>1.96030116358658</v>
      </c>
      <c r="W6" s="56" t="n">
        <f aca="false">F6*V6</f>
        <v>188.777002053388</v>
      </c>
      <c r="X6" s="62"/>
      <c r="Y6" s="50" t="str">
        <f aca="true">IF(Z6="","VACANT",IF(Z6&lt;TODAY(),"EXPIRED","ACTIVE"))</f>
        <v>ACTIVE</v>
      </c>
      <c r="Z6" s="26" t="n">
        <v>46918</v>
      </c>
      <c r="AA6" s="51" t="n">
        <v>1021.99</v>
      </c>
      <c r="AB6" s="52" t="s">
        <v>106</v>
      </c>
    </row>
    <row r="7" customFormat="false" ht="15.75" hidden="false" customHeight="true" outlineLevel="0" collapsed="false">
      <c r="A7" s="63" t="s">
        <v>107</v>
      </c>
      <c r="B7" s="63" t="s">
        <v>99</v>
      </c>
      <c r="C7" s="63" t="s">
        <v>108</v>
      </c>
      <c r="D7" s="64" t="str">
        <f aca="false">IF(Y7="EXPIRED","VACANT","TJC#1 PTY LTD")</f>
        <v>TJC#1 PTY LTD</v>
      </c>
      <c r="E7" s="37" t="str">
        <f aca="false">IF(Y7="EXPIRED","","BALANCE INSOLVENCY")</f>
        <v>BALANCE INSOLVENCY</v>
      </c>
      <c r="F7" s="65" t="n">
        <v>98.1</v>
      </c>
      <c r="G7" s="26" t="n">
        <f aca="false">IF(Y7="EXPIRED","",DATE(2023,8,1))</f>
        <v>45139</v>
      </c>
      <c r="H7" s="26" t="n">
        <f aca="true">IF(Z7="","",IF(Z7&lt;TODAY(),"",Z7))</f>
        <v>46234</v>
      </c>
      <c r="I7" s="66" t="n">
        <f aca="false">IF(Y7="EXPIRED","",3)</f>
        <v>3</v>
      </c>
      <c r="J7" s="67" t="n">
        <f aca="false">IF(Y7="EXPIRED",0,973.44)</f>
        <v>973.44</v>
      </c>
      <c r="K7" s="67" t="n">
        <f aca="false">IF(Y7="EXPIRED",0,J7*F7)</f>
        <v>95494.464</v>
      </c>
      <c r="L7" s="67" t="n">
        <v>-19423.8</v>
      </c>
      <c r="M7" s="67" t="n">
        <v>4500</v>
      </c>
      <c r="N7" s="67" t="n">
        <f aca="false">K7+L7</f>
        <v>76070.664</v>
      </c>
      <c r="O7" s="63" t="n">
        <v>0</v>
      </c>
      <c r="P7" s="63" t="s">
        <v>109</v>
      </c>
      <c r="Q7" s="26" t="n">
        <v>46235</v>
      </c>
      <c r="R7" s="63" t="s">
        <v>91</v>
      </c>
      <c r="S7" s="67" t="n">
        <f aca="false">IFERROR(INDEX('Market Rents 26-27'!E:E,MATCH(C7,'Market Rents 26-27'!$A:$A,0)),0)</f>
        <v>960</v>
      </c>
      <c r="T7" s="67" t="n">
        <f aca="false">IF(J7&gt;0,J7-S7,"")</f>
        <v>13.4400000000001</v>
      </c>
      <c r="U7" s="68" t="n">
        <f aca="false">IF(AND(J7&gt;0,S7&gt;0),(J7-S7)/S7,"")</f>
        <v>0.0140000000000001</v>
      </c>
      <c r="V7" s="69" t="n">
        <f aca="true">IF(H7="",0,IFERROR(MAX((H7-TODAY())/365.25,0),0))</f>
        <v>0.0876112251882272</v>
      </c>
      <c r="W7" s="65" t="n">
        <f aca="false">F7*V7</f>
        <v>8.59466119096509</v>
      </c>
      <c r="X7" s="70"/>
      <c r="Y7" s="50" t="str">
        <f aca="true">IF(Z7="","VACANT",IF(Z7&lt;TODAY(),"EXPIRED","ACTIVE"))</f>
        <v>ACTIVE</v>
      </c>
      <c r="Z7" s="26" t="n">
        <v>46234</v>
      </c>
      <c r="AA7" s="51" t="n">
        <v>973.44</v>
      </c>
      <c r="AB7" s="52" t="s">
        <v>110</v>
      </c>
    </row>
    <row r="8" customFormat="false" ht="15.75" hidden="false" customHeight="true" outlineLevel="0" collapsed="false">
      <c r="A8" s="53" t="s">
        <v>111</v>
      </c>
      <c r="B8" s="53" t="s">
        <v>112</v>
      </c>
      <c r="C8" s="53" t="s">
        <v>113</v>
      </c>
      <c r="D8" s="54" t="str">
        <f aca="false">IF(Y8="EXPIRED","VACANT","PRINCETON FINANCIAL SERVICES")</f>
        <v>PRINCETON FINANCIAL SERVICES</v>
      </c>
      <c r="E8" s="55" t="str">
        <f aca="false">IF(Y8="EXPIRED","","PRINCETON FINANCIAL SERVICES")</f>
        <v>PRINCETON FINANCIAL SERVICES</v>
      </c>
      <c r="F8" s="56" t="n">
        <v>393.2</v>
      </c>
      <c r="G8" s="57" t="n">
        <f aca="false">IF(Y8="EXPIRED","",DATE(2024,1,1))</f>
        <v>45292</v>
      </c>
      <c r="H8" s="57" t="n">
        <f aca="true">IF(Z8="","",IF(Z8&lt;TODAY(),"",Z8))</f>
        <v>47118</v>
      </c>
      <c r="I8" s="58" t="n">
        <f aca="false">IF(Y8="EXPIRED","",5)</f>
        <v>5</v>
      </c>
      <c r="J8" s="59" t="n">
        <f aca="false">IF(Y8="EXPIRED",0,1081.6)</f>
        <v>1081.6</v>
      </c>
      <c r="K8" s="59" t="n">
        <f aca="false">IF(Y8="EXPIRED",0,J8*F8)</f>
        <v>425285.12</v>
      </c>
      <c r="L8" s="59" t="n">
        <v>-23581.8</v>
      </c>
      <c r="M8" s="59" t="n">
        <v>16200</v>
      </c>
      <c r="N8" s="59" t="n">
        <f aca="false">K8+L8</f>
        <v>401703.32</v>
      </c>
      <c r="O8" s="53" t="n">
        <v>0</v>
      </c>
      <c r="P8" s="53" t="s">
        <v>90</v>
      </c>
      <c r="Q8" s="57" t="n">
        <v>46388</v>
      </c>
      <c r="R8" s="53" t="s">
        <v>91</v>
      </c>
      <c r="S8" s="59" t="n">
        <f aca="false">IFERROR(INDEX('Market Rents 26-27'!E:E,MATCH(C8,'Market Rents 26-27'!$A:$A,0)),0)</f>
        <v>1095</v>
      </c>
      <c r="T8" s="59" t="n">
        <f aca="false">IF(J8&gt;0,J8-S8,"")</f>
        <v>-13.4000000000001</v>
      </c>
      <c r="U8" s="60" t="n">
        <f aca="false">IF(AND(J8&gt;0,S8&gt;0),(J8-S8)/S8,"")</f>
        <v>-0.0122374429223745</v>
      </c>
      <c r="V8" s="61" t="n">
        <f aca="true">IF(H8="",0,IFERROR(MAX((H8-TODAY())/365.25,0),0))</f>
        <v>2.50787132101301</v>
      </c>
      <c r="W8" s="56" t="n">
        <f aca="false">F8*V8</f>
        <v>986.095003422313</v>
      </c>
      <c r="X8" s="62"/>
      <c r="Y8" s="50" t="str">
        <f aca="true">IF(Z8="","VACANT",IF(Z8&lt;TODAY(),"EXPIRED","ACTIVE"))</f>
        <v>ACTIVE</v>
      </c>
      <c r="Z8" s="26" t="n">
        <v>47118</v>
      </c>
      <c r="AA8" s="51" t="n">
        <v>1081.6</v>
      </c>
      <c r="AB8" s="52" t="s">
        <v>114</v>
      </c>
    </row>
    <row r="9" customFormat="false" ht="15.75" hidden="false" customHeight="true" outlineLevel="0" collapsed="false">
      <c r="A9" s="28" t="s">
        <v>115</v>
      </c>
      <c r="B9" s="28" t="s">
        <v>116</v>
      </c>
      <c r="C9" s="28" t="s">
        <v>117</v>
      </c>
      <c r="D9" s="43" t="str">
        <f aca="false">IF(Y9="EXPIRED","VACANT","IPM RESIDENTIAL PTY LTD")</f>
        <v>IPM RESIDENTIAL PTY LTD</v>
      </c>
      <c r="E9" s="31" t="str">
        <f aca="false">IF(Y9="EXPIRED","","IPM RESIDENTIAL PTY LTD")</f>
        <v>IPM RESIDENTIAL PTY LTD</v>
      </c>
      <c r="F9" s="44" t="n">
        <v>164.2</v>
      </c>
      <c r="G9" s="45" t="n">
        <f aca="false">IF(Y9="EXPIRED","",DATE(2022,6,1))</f>
        <v>44713</v>
      </c>
      <c r="H9" s="45" t="n">
        <f aca="true">IF(Z9="","",IF(Z9&lt;TODAY(),"",Z9))</f>
        <v>46538</v>
      </c>
      <c r="I9" s="46" t="n">
        <f aca="false">IF(Y9="EXPIRED","",5)</f>
        <v>5</v>
      </c>
      <c r="J9" s="47" t="n">
        <v>1216.58</v>
      </c>
      <c r="K9" s="47" t="n">
        <f aca="false">IF(Y9="EXPIRED",0,J9*F9)</f>
        <v>199762.436</v>
      </c>
      <c r="L9" s="47" t="n">
        <v>-15516.96</v>
      </c>
      <c r="M9" s="47" t="n">
        <v>9900</v>
      </c>
      <c r="N9" s="47" t="n">
        <f aca="false">K9+L9</f>
        <v>184245.476</v>
      </c>
      <c r="O9" s="28" t="n">
        <v>2</v>
      </c>
      <c r="P9" s="28" t="s">
        <v>109</v>
      </c>
      <c r="Q9" s="45" t="n">
        <v>46539</v>
      </c>
      <c r="R9" s="28" t="s">
        <v>91</v>
      </c>
      <c r="S9" s="47" t="n">
        <f aca="false">IFERROR(INDEX('Market Rents 26-27'!E:E,MATCH(C9,'Market Rents 26-27'!$A:$A,0)),0)</f>
        <v>1135</v>
      </c>
      <c r="T9" s="47" t="n">
        <f aca="false">IF(J9&gt;0,J9-S9,"")</f>
        <v>81.5799999999999</v>
      </c>
      <c r="U9" s="48" t="n">
        <f aca="false">IF(AND(J9&gt;0,S9&gt;0),(J9-S9)/S9,"")</f>
        <v>0.0718766519823788</v>
      </c>
      <c r="V9" s="49" t="n">
        <f aca="true">IF(H9="",0,IFERROR(MAX((H9-TODAY())/365.25,0),0))</f>
        <v>0.919917864476386</v>
      </c>
      <c r="W9" s="44" t="n">
        <f aca="false">F9*V9</f>
        <v>151.050513347023</v>
      </c>
      <c r="X9" s="27"/>
      <c r="Y9" s="50" t="str">
        <f aca="true">IF(Z9="","VACANT",IF(Z9&lt;TODAY(),"EXPIRED","ACTIVE"))</f>
        <v>ACTIVE</v>
      </c>
      <c r="Z9" s="26" t="n">
        <v>46538</v>
      </c>
      <c r="AA9" s="51" t="n">
        <v>1216.58</v>
      </c>
      <c r="AB9" s="52" t="s">
        <v>118</v>
      </c>
    </row>
    <row r="10" customFormat="false" ht="15.75" hidden="false" customHeight="true" outlineLevel="0" collapsed="false">
      <c r="A10" s="53" t="s">
        <v>119</v>
      </c>
      <c r="B10" s="53" t="s">
        <v>116</v>
      </c>
      <c r="C10" s="53" t="s">
        <v>120</v>
      </c>
      <c r="D10" s="54" t="str">
        <f aca="false">IF(Y10="EXPIRED","VACANT","BROADRIDGE (AUSTRALIA) PTY LTD")</f>
        <v>BROADRIDGE (AUSTRALIA) PTY LTD</v>
      </c>
      <c r="E10" s="55" t="str">
        <f aca="false">IF(Y10="EXPIRED","","BROADRIDGE (AUSTRALI) PTY LTD")</f>
        <v>BROADRIDGE (AUSTRALI) PTY LTD</v>
      </c>
      <c r="F10" s="56" t="n">
        <v>193.4</v>
      </c>
      <c r="G10" s="57" t="n">
        <f aca="false">IF(Y10="EXPIRED","",DATE(2024,10,1))</f>
        <v>45566</v>
      </c>
      <c r="H10" s="57" t="n">
        <f aca="true">IF(Z10="","",IF(Z10&lt;TODAY(),"",Z10))</f>
        <v>47026</v>
      </c>
      <c r="I10" s="58" t="n">
        <f aca="false">IF(Y10="EXPIRED","",4)</f>
        <v>4</v>
      </c>
      <c r="J10" s="59" t="n">
        <f aca="false">IF(Y10="EXPIRED",0,933.75)</f>
        <v>933.75</v>
      </c>
      <c r="K10" s="59" t="n">
        <f aca="false">IF(Y10="EXPIRED",0,J10*F10)</f>
        <v>180587.25</v>
      </c>
      <c r="L10" s="59" t="n">
        <v>-20962.2</v>
      </c>
      <c r="M10" s="59" t="n">
        <v>6300</v>
      </c>
      <c r="N10" s="59" t="n">
        <f aca="false">K10+L10</f>
        <v>159625.05</v>
      </c>
      <c r="O10" s="53" t="n">
        <v>0</v>
      </c>
      <c r="P10" s="53" t="s">
        <v>121</v>
      </c>
      <c r="Q10" s="57" t="n">
        <v>46296</v>
      </c>
      <c r="R10" s="53" t="s">
        <v>91</v>
      </c>
      <c r="S10" s="59" t="n">
        <f aca="false">IFERROR(INDEX('Market Rents 26-27'!E:E,MATCH(C10,'Market Rents 26-27'!$A:$A,0)),0)</f>
        <v>920</v>
      </c>
      <c r="T10" s="59" t="n">
        <f aca="false">IF(J10&gt;0,J10-S10,"")</f>
        <v>13.75</v>
      </c>
      <c r="U10" s="60" t="n">
        <f aca="false">IF(AND(J10&gt;0,S10&gt;0),(J10-S10)/S10,"")</f>
        <v>0.014945652173913</v>
      </c>
      <c r="V10" s="61" t="n">
        <f aca="true">IF(H10="",0,IFERROR(MAX((H10-TODAY())/365.25,0),0))</f>
        <v>2.25598904859685</v>
      </c>
      <c r="W10" s="56" t="n">
        <f aca="false">F10*V10</f>
        <v>436.308281998631</v>
      </c>
      <c r="X10" s="62"/>
      <c r="Y10" s="50" t="str">
        <f aca="true">IF(Z10="","VACANT",IF(Z10&lt;TODAY(),"EXPIRED","ACTIVE"))</f>
        <v>ACTIVE</v>
      </c>
      <c r="Z10" s="26" t="n">
        <v>47026</v>
      </c>
      <c r="AA10" s="51" t="n">
        <v>933.75</v>
      </c>
      <c r="AB10" s="52" t="s">
        <v>122</v>
      </c>
    </row>
    <row r="11" customFormat="false" ht="15.75" hidden="false" customHeight="true" outlineLevel="0" collapsed="false">
      <c r="A11" s="28" t="s">
        <v>123</v>
      </c>
      <c r="B11" s="28" t="s">
        <v>124</v>
      </c>
      <c r="C11" s="28" t="s">
        <v>125</v>
      </c>
      <c r="D11" s="43" t="str">
        <f aca="false">IF(Y11="EXPIRED","VACANT","B-W INTERNATIONAL AUSTRALIA PTY LTD")</f>
        <v>B-W INTERNATIONAL AUSTRALIA PTY LTD</v>
      </c>
      <c r="E11" s="31" t="str">
        <f aca="false">IF(Y11="EXPIRED","","B-W INTERNATIONAL AUSTRALIA PTY LTD")</f>
        <v>B-W INTERNATIONAL AUSTRALIA PTY LTD</v>
      </c>
      <c r="F11" s="44" t="n">
        <v>214.1</v>
      </c>
      <c r="G11" s="45" t="n">
        <f aca="false">IF(Y11="EXPIRED","",DATE(2024,3,1))</f>
        <v>45352</v>
      </c>
      <c r="H11" s="45" t="n">
        <f aca="true">IF(Z11="","",IF(Z11&lt;TODAY(),"",Z11))</f>
        <v>47177</v>
      </c>
      <c r="I11" s="46" t="n">
        <f aca="false">IF(Y11="EXPIRED","",5)</f>
        <v>5</v>
      </c>
      <c r="J11" s="47" t="n">
        <f aca="false">IF(Y11="EXPIRED",0,1135.61)</f>
        <v>1135.61</v>
      </c>
      <c r="K11" s="47" t="n">
        <f aca="false">IF(Y11="EXPIRED",0,J11*F11)</f>
        <v>243134.101</v>
      </c>
      <c r="L11" s="47" t="n">
        <v>-54203.76</v>
      </c>
      <c r="M11" s="47" t="n">
        <v>8700</v>
      </c>
      <c r="N11" s="47" t="n">
        <f aca="false">K11+L11</f>
        <v>188930.341</v>
      </c>
      <c r="O11" s="28" t="n">
        <v>0</v>
      </c>
      <c r="P11" s="28" t="s">
        <v>121</v>
      </c>
      <c r="Q11" s="45" t="n">
        <v>46447</v>
      </c>
      <c r="R11" s="28" t="s">
        <v>91</v>
      </c>
      <c r="S11" s="47" t="n">
        <f aca="false">IFERROR(INDEX('Market Rents 26-27'!E:E,MATCH(C11,'Market Rents 26-27'!$A:$A,0)),0)</f>
        <v>1145</v>
      </c>
      <c r="T11" s="47" t="n">
        <f aca="false">IF(J11&gt;0,J11-S11,"")</f>
        <v>-9.3900000000001</v>
      </c>
      <c r="U11" s="48" t="n">
        <f aca="false">IF(AND(J11&gt;0,S11&gt;0),(J11-S11)/S11,"")</f>
        <v>-0.0082008733624455</v>
      </c>
      <c r="V11" s="49" t="n">
        <f aca="true">IF(H11="",0,IFERROR(MAX((H11-TODAY())/365.25,0),0))</f>
        <v>2.6694045174538</v>
      </c>
      <c r="W11" s="44" t="n">
        <f aca="false">F11*V11</f>
        <v>571.519507186858</v>
      </c>
      <c r="X11" s="27"/>
      <c r="Y11" s="50" t="str">
        <f aca="true">IF(Z11="","VACANT",IF(Z11&lt;TODAY(),"EXPIRED","ACTIVE"))</f>
        <v>ACTIVE</v>
      </c>
      <c r="Z11" s="26" t="n">
        <v>47177</v>
      </c>
      <c r="AA11" s="51" t="n">
        <v>1135.61</v>
      </c>
      <c r="AB11" s="52" t="s">
        <v>126</v>
      </c>
    </row>
    <row r="12" customFormat="false" ht="15.75" hidden="false" customHeight="true" outlineLevel="0" collapsed="false">
      <c r="A12" s="53" t="s">
        <v>127</v>
      </c>
      <c r="B12" s="53" t="s">
        <v>124</v>
      </c>
      <c r="C12" s="53" t="s">
        <v>128</v>
      </c>
      <c r="D12" s="54" t="str">
        <f aca="false">IF(Y12="EXPIRED","VACANT","MP TRAVEL PTY LTD")</f>
        <v>MP TRAVEL PTY LTD</v>
      </c>
      <c r="E12" s="55" t="str">
        <f aca="false">IF(Y12="EXPIRED","","GRAY DAWES TRAVEL")</f>
        <v>GRAY DAWES TRAVEL</v>
      </c>
      <c r="F12" s="56" t="n">
        <v>145.6</v>
      </c>
      <c r="G12" s="57" t="n">
        <f aca="false">IF(Y12="EXPIRED","",DATE(2025,1,1))</f>
        <v>45658</v>
      </c>
      <c r="H12" s="57" t="n">
        <f aca="true">IF(Z12="","",IF(Z12&lt;TODAY(),"",Z12))</f>
        <v>47483</v>
      </c>
      <c r="I12" s="58" t="n">
        <f aca="false">IF(Y12="EXPIRED","",5)</f>
        <v>5</v>
      </c>
      <c r="J12" s="59" t="n">
        <f aca="false">IF(Y12="EXPIRED",0,1037.5)</f>
        <v>1037.5</v>
      </c>
      <c r="K12" s="59" t="n">
        <f aca="false">IF(Y12="EXPIRED",0,J12*F12)</f>
        <v>151060</v>
      </c>
      <c r="L12" s="59" t="n">
        <v>-17675.88</v>
      </c>
      <c r="M12" s="59" t="n">
        <v>6000</v>
      </c>
      <c r="N12" s="59" t="n">
        <f aca="false">K12+L12</f>
        <v>133384.12</v>
      </c>
      <c r="O12" s="53" t="n">
        <v>0</v>
      </c>
      <c r="P12" s="53" t="s">
        <v>121</v>
      </c>
      <c r="Q12" s="57" t="n">
        <v>46388</v>
      </c>
      <c r="R12" s="53" t="s">
        <v>91</v>
      </c>
      <c r="S12" s="59" t="n">
        <f aca="false">IFERROR(INDEX('Market Rents 26-27'!E:E,MATCH(C12,'Market Rents 26-27'!$A:$A,0)),0)</f>
        <v>1000</v>
      </c>
      <c r="T12" s="59" t="n">
        <f aca="false">IF(J12&gt;0,J12-S12,"")</f>
        <v>37.5</v>
      </c>
      <c r="U12" s="60" t="n">
        <f aca="false">IF(AND(J12&gt;0,S12&gt;0),(J12-S12)/S12,"")</f>
        <v>0.0375</v>
      </c>
      <c r="V12" s="61" t="n">
        <f aca="true">IF(H12="",0,IFERROR(MAX((H12-TODAY())/365.25,0),0))</f>
        <v>3.50718685831622</v>
      </c>
      <c r="W12" s="56" t="n">
        <f aca="false">F12*V12</f>
        <v>510.646406570842</v>
      </c>
      <c r="X12" s="62"/>
      <c r="Y12" s="50" t="str">
        <f aca="true">IF(Z12="","VACANT",IF(Z12&lt;TODAY(),"EXPIRED","ACTIVE"))</f>
        <v>ACTIVE</v>
      </c>
      <c r="Z12" s="26" t="n">
        <v>47483</v>
      </c>
      <c r="AA12" s="51" t="n">
        <v>1037.5</v>
      </c>
      <c r="AB12" s="52" t="s">
        <v>129</v>
      </c>
    </row>
    <row r="13" customFormat="false" ht="15.75" hidden="false" customHeight="true" outlineLevel="0" collapsed="false">
      <c r="A13" s="28" t="s">
        <v>130</v>
      </c>
      <c r="B13" s="28" t="s">
        <v>131</v>
      </c>
      <c r="C13" s="28" t="s">
        <v>132</v>
      </c>
      <c r="D13" s="43" t="str">
        <f aca="false">IF(Y13="EXPIRED","VACANT","MONTGOMERY INVESTMENT")</f>
        <v>MONTGOMERY INVESTMENT</v>
      </c>
      <c r="E13" s="31" t="str">
        <f aca="false">IF(Y13="EXPIRED","","MONTGOMERY INVESTMENT")</f>
        <v>MONTGOMERY INVESTMENT</v>
      </c>
      <c r="F13" s="44" t="n">
        <v>212.3</v>
      </c>
      <c r="G13" s="45" t="n">
        <f aca="false">IF(Y13="EXPIRED","",DATE(2019,11,1))</f>
        <v>43770</v>
      </c>
      <c r="H13" s="45" t="n">
        <f aca="true">IF(Z13="","",IF(Z13&lt;TODAY(),"",Z13))</f>
        <v>46691</v>
      </c>
      <c r="I13" s="46" t="n">
        <f aca="false">IF(Y13="EXPIRED","",8)</f>
        <v>8</v>
      </c>
      <c r="J13" s="47" t="n">
        <f aca="false">IF(Y13="EXPIRED",0,1341.24)</f>
        <v>1341.24</v>
      </c>
      <c r="K13" s="47" t="n">
        <f aca="false">IF(Y13="EXPIRED",0,J13*F13)</f>
        <v>284745.252</v>
      </c>
      <c r="L13" s="47" t="n">
        <v>-49361.76</v>
      </c>
      <c r="M13" s="47" t="n">
        <v>9900</v>
      </c>
      <c r="N13" s="47" t="n">
        <f aca="false">K13+L13</f>
        <v>235383.492</v>
      </c>
      <c r="O13" s="28" t="n">
        <v>36</v>
      </c>
      <c r="P13" s="28" t="s">
        <v>90</v>
      </c>
      <c r="Q13" s="45" t="n">
        <v>46327</v>
      </c>
      <c r="R13" s="28" t="s">
        <v>91</v>
      </c>
      <c r="S13" s="47" t="n">
        <f aca="false">IFERROR(INDEX('Market Rents 26-27'!E:E,MATCH(C13,'Market Rents 26-27'!$A:$A,0)),0)</f>
        <v>1155</v>
      </c>
      <c r="T13" s="47" t="n">
        <f aca="false">IF(J13&gt;0,J13-S13,"")</f>
        <v>186.24</v>
      </c>
      <c r="U13" s="48" t="n">
        <f aca="false">IF(AND(J13&gt;0,S13&gt;0),(J13-S13)/S13,"")</f>
        <v>0.161246753246753</v>
      </c>
      <c r="V13" s="49" t="n">
        <f aca="true">IF(H13="",0,IFERROR(MAX((H13-TODAY())/365.25,0),0))</f>
        <v>1.3388090349076</v>
      </c>
      <c r="W13" s="44" t="n">
        <f aca="false">F13*V13</f>
        <v>284.229158110883</v>
      </c>
      <c r="X13" s="27"/>
      <c r="Y13" s="50" t="str">
        <f aca="true">IF(Z13="","VACANT",IF(Z13&lt;TODAY(),"EXPIRED","ACTIVE"))</f>
        <v>ACTIVE</v>
      </c>
      <c r="Z13" s="26" t="n">
        <v>46691</v>
      </c>
      <c r="AA13" s="51" t="n">
        <v>1341.24</v>
      </c>
      <c r="AB13" s="52" t="s">
        <v>133</v>
      </c>
    </row>
    <row r="14" customFormat="false" ht="15.75" hidden="false" customHeight="true" outlineLevel="0" collapsed="false">
      <c r="A14" s="53" t="s">
        <v>134</v>
      </c>
      <c r="B14" s="53" t="s">
        <v>131</v>
      </c>
      <c r="C14" s="53" t="s">
        <v>135</v>
      </c>
      <c r="D14" s="54" t="str">
        <f aca="false">IF(Y14="EXPIRED","VACANT","THREAT DEFENCE")</f>
        <v>THREAT DEFENCE</v>
      </c>
      <c r="E14" s="55" t="str">
        <f aca="false">IF(Y14="EXPIRED","","THREAT DEFENCE PTY LTD")</f>
        <v>THREAT DEFENCE PTY LTD</v>
      </c>
      <c r="F14" s="56" t="n">
        <v>163.8</v>
      </c>
      <c r="G14" s="57" t="n">
        <f aca="false">IF(Y14="EXPIRED","",DATE(2024,7,1))</f>
        <v>45474</v>
      </c>
      <c r="H14" s="57" t="n">
        <f aca="true">IF(Z14="","",IF(Z14&lt;TODAY(),"",Z14))</f>
        <v>46568</v>
      </c>
      <c r="I14" s="58" t="n">
        <f aca="false">IF(Y14="EXPIRED","",3)</f>
        <v>3</v>
      </c>
      <c r="J14" s="59" t="n">
        <v>1054.88</v>
      </c>
      <c r="K14" s="59" t="n">
        <f aca="false">IF(Y14="EXPIRED",0,J14*F14)</f>
        <v>172789.344</v>
      </c>
      <c r="L14" s="59" t="n">
        <v>-41736.24</v>
      </c>
      <c r="M14" s="59" t="n">
        <v>7140</v>
      </c>
      <c r="N14" s="59" t="n">
        <f aca="false">K14+L14</f>
        <v>131053.104</v>
      </c>
      <c r="O14" s="53" t="n">
        <v>0</v>
      </c>
      <c r="P14" s="53" t="s">
        <v>109</v>
      </c>
      <c r="Q14" s="57" t="n">
        <v>46569</v>
      </c>
      <c r="R14" s="53" t="s">
        <v>91</v>
      </c>
      <c r="S14" s="59" t="n">
        <f aca="false">IFERROR(INDEX('Market Rents 26-27'!E:E,MATCH(C14,'Market Rents 26-27'!$A:$A,0)),0)</f>
        <v>1020</v>
      </c>
      <c r="T14" s="59" t="n">
        <f aca="false">IF(J14&gt;0,J14-S14,"")</f>
        <v>34.8800000000001</v>
      </c>
      <c r="U14" s="60" t="n">
        <f aca="false">IF(AND(J14&gt;0,S14&gt;0),(J14-S14)/S14,"")</f>
        <v>0.0341960784313727</v>
      </c>
      <c r="V14" s="61" t="n">
        <f aca="true">IF(H14="",0,IFERROR(MAX((H14-TODAY())/365.25,0),0))</f>
        <v>1.00205338809035</v>
      </c>
      <c r="W14" s="56" t="n">
        <f aca="false">F14*V14</f>
        <v>164.136344969199</v>
      </c>
      <c r="X14" s="62"/>
      <c r="Y14" s="50" t="str">
        <f aca="true">IF(Z14="","VACANT",IF(Z14&lt;TODAY(),"EXPIRED","ACTIVE"))</f>
        <v>ACTIVE</v>
      </c>
      <c r="Z14" s="26" t="n">
        <v>46568</v>
      </c>
      <c r="AA14" s="51" t="n">
        <v>1054.88</v>
      </c>
      <c r="AB14" s="52" t="s">
        <v>136</v>
      </c>
    </row>
    <row r="15" customFormat="false" ht="15.75" hidden="false" customHeight="true" outlineLevel="0" collapsed="false">
      <c r="A15" s="28" t="s">
        <v>137</v>
      </c>
      <c r="B15" s="28" t="s">
        <v>138</v>
      </c>
      <c r="C15" s="28" t="s">
        <v>139</v>
      </c>
      <c r="D15" s="43" t="str">
        <f aca="false">IF(Y15="EXPIRED","VACANT","FULLCRM PTY LTD")</f>
        <v>FULLCRM PTY LTD</v>
      </c>
      <c r="E15" s="31" t="str">
        <f aca="false">IF(Y15="EXPIRED","","FULLCRM PTY LTD")</f>
        <v>FULLCRM PTY LTD</v>
      </c>
      <c r="F15" s="44" t="n">
        <v>226.1</v>
      </c>
      <c r="G15" s="45" t="n">
        <f aca="false">IF(Y15="EXPIRED","",DATE(2021,12,1))</f>
        <v>44531</v>
      </c>
      <c r="H15" s="45" t="n">
        <f aca="true">IF(Z15="","",IF(Z15&lt;TODAY(),"",Z15))</f>
        <v>46418</v>
      </c>
      <c r="I15" s="46" t="n">
        <f aca="false">IF(Y15="EXPIRED","",5.2)</f>
        <v>5.2</v>
      </c>
      <c r="J15" s="47" t="n">
        <f aca="false">IF(Y15="EXPIRED",0,1251.34)</f>
        <v>1251.34</v>
      </c>
      <c r="K15" s="47" t="n">
        <f aca="false">IF(Y15="EXPIRED",0,J15*F15)</f>
        <v>282927.974</v>
      </c>
      <c r="L15" s="47" t="n">
        <v>-31744.44</v>
      </c>
      <c r="M15" s="47" t="n">
        <v>13800</v>
      </c>
      <c r="N15" s="47" t="n">
        <f aca="false">K15+L15</f>
        <v>251183.534</v>
      </c>
      <c r="O15" s="28" t="n">
        <v>0</v>
      </c>
      <c r="P15" s="28" t="s">
        <v>109</v>
      </c>
      <c r="Q15" s="45" t="n">
        <v>46419</v>
      </c>
      <c r="R15" s="28" t="s">
        <v>91</v>
      </c>
      <c r="S15" s="47" t="n">
        <f aca="false">IFERROR(INDEX('Market Rents 26-27'!E:E,MATCH(C15,'Market Rents 26-27'!$A:$A,0)),0)</f>
        <v>1165</v>
      </c>
      <c r="T15" s="47" t="n">
        <f aca="false">IF(J15&gt;0,J15-S15,"")</f>
        <v>86.3399999999999</v>
      </c>
      <c r="U15" s="48" t="n">
        <f aca="false">IF(AND(J15&gt;0,S15&gt;0),(J15-S15)/S15,"")</f>
        <v>0.0741115879828325</v>
      </c>
      <c r="V15" s="49" t="n">
        <f aca="true">IF(H15="",0,IFERROR(MAX((H15-TODAY())/365.25,0),0))</f>
        <v>0.591375770020534</v>
      </c>
      <c r="W15" s="44" t="n">
        <f aca="false">F15*V15</f>
        <v>133.710061601643</v>
      </c>
      <c r="X15" s="27"/>
      <c r="Y15" s="50" t="str">
        <f aca="true">IF(Z15="","VACANT",IF(Z15&lt;TODAY(),"EXPIRED","ACTIVE"))</f>
        <v>ACTIVE</v>
      </c>
      <c r="Z15" s="26" t="n">
        <v>46418</v>
      </c>
      <c r="AA15" s="51" t="n">
        <v>1251.34</v>
      </c>
      <c r="AB15" s="52" t="s">
        <v>140</v>
      </c>
    </row>
    <row r="16" customFormat="false" ht="15.75" hidden="false" customHeight="true" outlineLevel="0" collapsed="false">
      <c r="A16" s="63" t="s">
        <v>141</v>
      </c>
      <c r="B16" s="63" t="s">
        <v>138</v>
      </c>
      <c r="C16" s="63" t="s">
        <v>142</v>
      </c>
      <c r="D16" s="71" t="str">
        <f aca="false">IF(Y16="EXPIRED","VACANT","VACANT")</f>
        <v>VACANT</v>
      </c>
      <c r="E16" s="72"/>
      <c r="F16" s="65" t="n">
        <v>152.1</v>
      </c>
      <c r="G16" s="73"/>
      <c r="H16" s="26" t="str">
        <f aca="true">IF(Z16="","",IF(Z16&lt;TODAY(),"",Z16))</f>
        <v/>
      </c>
      <c r="I16" s="74"/>
      <c r="J16" s="75"/>
      <c r="K16" s="67" t="n">
        <f aca="false">IF(Y16="EXPIRED",0,J16*F16)</f>
        <v>0</v>
      </c>
      <c r="L16" s="67" t="n">
        <v>0</v>
      </c>
      <c r="M16" s="75"/>
      <c r="N16" s="67" t="n">
        <f aca="false">K16+L16</f>
        <v>0</v>
      </c>
      <c r="O16" s="63" t="n">
        <v>0</v>
      </c>
      <c r="P16" s="70"/>
      <c r="Q16" s="73"/>
      <c r="R16" s="70"/>
      <c r="S16" s="67" t="n">
        <f aca="false">IFERROR(INDEX('Market Rents 26-27'!E:E,MATCH(C16,'Market Rents 26-27'!$A:$A,0)),0)</f>
        <v>1030</v>
      </c>
      <c r="T16" s="67" t="str">
        <f aca="false">IF(J16&gt;0,J16-S16,"")</f>
        <v/>
      </c>
      <c r="U16" s="68" t="str">
        <f aca="false">IF(AND(J16&gt;0,S16&gt;0),(J16-S16)/S16,"")</f>
        <v/>
      </c>
      <c r="V16" s="69" t="n">
        <f aca="true">IF(H16="",0,IFERROR(MAX((H16-TODAY())/365.25,0),0))</f>
        <v>0</v>
      </c>
      <c r="W16" s="65" t="n">
        <f aca="false">F16*V16</f>
        <v>0</v>
      </c>
      <c r="X16" s="70"/>
      <c r="Y16" s="50" t="str">
        <f aca="true">IF(Z16="","VACANT",IF(Z16&lt;TODAY(),"EXPIRED","ACTIVE"))</f>
        <v>VACANT</v>
      </c>
      <c r="Z16" s="73"/>
      <c r="AA16" s="51" t="n">
        <v>756.36</v>
      </c>
      <c r="AB16" s="76"/>
    </row>
    <row r="17" customFormat="false" ht="15.75" hidden="false" customHeight="true" outlineLevel="0" collapsed="false">
      <c r="A17" s="28" t="s">
        <v>143</v>
      </c>
      <c r="B17" s="28" t="s">
        <v>144</v>
      </c>
      <c r="C17" s="28" t="s">
        <v>145</v>
      </c>
      <c r="D17" s="43" t="str">
        <f aca="false">IF(Y17="EXPIRED","VACANT","PINPOINT TALENT PTY LTD")</f>
        <v>PINPOINT TALENT PTY LTD</v>
      </c>
      <c r="E17" s="31" t="str">
        <f aca="false">IF(Y17="EXPIRED","","PINPOINT TALENT PTY LTD")</f>
        <v>PINPOINT TALENT PTY LTD</v>
      </c>
      <c r="F17" s="44" t="n">
        <v>210.5</v>
      </c>
      <c r="G17" s="45" t="n">
        <f aca="false">IF(Y17="EXPIRED","",DATE(2023,8,7))</f>
        <v>45145</v>
      </c>
      <c r="H17" s="45" t="n">
        <f aca="true">IF(Z17="","",IF(Z17&lt;TODAY(),"",Z17))</f>
        <v>46605</v>
      </c>
      <c r="I17" s="46" t="n">
        <f aca="false">IF(Y17="EXPIRED","",4)</f>
        <v>4</v>
      </c>
      <c r="J17" s="47" t="n">
        <f aca="false">IF(Y17="EXPIRED",0,1173.54)</f>
        <v>1173.54</v>
      </c>
      <c r="K17" s="47" t="n">
        <f aca="false">IF(Y17="EXPIRED",0,J17*F17)</f>
        <v>247030.17</v>
      </c>
      <c r="L17" s="47" t="n">
        <v>-68517.72</v>
      </c>
      <c r="M17" s="47" t="n">
        <v>13800</v>
      </c>
      <c r="N17" s="47" t="n">
        <f aca="false">K17+L17</f>
        <v>178512.45</v>
      </c>
      <c r="O17" s="28" t="n">
        <v>0</v>
      </c>
      <c r="P17" s="28" t="s">
        <v>90</v>
      </c>
      <c r="Q17" s="45" t="n">
        <v>46241</v>
      </c>
      <c r="R17" s="28" t="s">
        <v>91</v>
      </c>
      <c r="S17" s="47" t="n">
        <f aca="false">IFERROR(INDEX('Market Rents 26-27'!E:E,MATCH(C17,'Market Rents 26-27'!$A:$A,0)),0)</f>
        <v>1175</v>
      </c>
      <c r="T17" s="47" t="n">
        <f aca="false">IF(J17&gt;0,J17-S17,"")</f>
        <v>-1.46000000000004</v>
      </c>
      <c r="U17" s="48" t="n">
        <f aca="false">IF(AND(J17&gt;0,S17&gt;0),(J17-S17)/S17,"")</f>
        <v>-0.00124255319148939</v>
      </c>
      <c r="V17" s="49" t="n">
        <f aca="true">IF(H17="",0,IFERROR(MAX((H17-TODAY())/365.25,0),0))</f>
        <v>1.10335386721424</v>
      </c>
      <c r="W17" s="44" t="n">
        <f aca="false">F17*V17</f>
        <v>232.255989048597</v>
      </c>
      <c r="X17" s="27"/>
      <c r="Y17" s="50" t="str">
        <f aca="true">IF(Z17="","VACANT",IF(Z17&lt;TODAY(),"EXPIRED","ACTIVE"))</f>
        <v>ACTIVE</v>
      </c>
      <c r="Z17" s="26" t="n">
        <v>46605</v>
      </c>
      <c r="AA17" s="51" t="n">
        <v>1173.54</v>
      </c>
      <c r="AB17" s="52" t="s">
        <v>146</v>
      </c>
    </row>
    <row r="18" customFormat="false" ht="15.75" hidden="false" customHeight="true" outlineLevel="0" collapsed="false">
      <c r="A18" s="53" t="s">
        <v>147</v>
      </c>
      <c r="B18" s="53" t="s">
        <v>144</v>
      </c>
      <c r="C18" s="53" t="s">
        <v>148</v>
      </c>
      <c r="D18" s="54" t="str">
        <f aca="false">IF(Y18="EXPIRED","VACANT","SATELLITE OFFICE PTY LTD")</f>
        <v>SATELLITE OFFICE PTY LTD</v>
      </c>
      <c r="E18" s="55" t="str">
        <f aca="false">IF(Y18="EXPIRED","","SATELLITE OFFICE PTY LTD")</f>
        <v>SATELLITE OFFICE PTY LTD</v>
      </c>
      <c r="F18" s="56" t="n">
        <v>163.9</v>
      </c>
      <c r="G18" s="57" t="n">
        <f aca="false">IF(Y18="EXPIRED","",DATE(2024,6,1))</f>
        <v>45444</v>
      </c>
      <c r="H18" s="57" t="n">
        <f aca="true">IF(Z18="","",IF(Z18&lt;TODAY(),"",Z18))</f>
        <v>46904</v>
      </c>
      <c r="I18" s="58" t="n">
        <f aca="false">IF(Y18="EXPIRED","",4)</f>
        <v>4</v>
      </c>
      <c r="J18" s="59" t="n">
        <v>1054.88</v>
      </c>
      <c r="K18" s="59" t="n">
        <f aca="false">IF(Y18="EXPIRED",0,J18*F18)</f>
        <v>172894.832</v>
      </c>
      <c r="L18" s="59" t="n">
        <v>-40261.56</v>
      </c>
      <c r="M18" s="59" t="n">
        <v>7020</v>
      </c>
      <c r="N18" s="59" t="n">
        <f aca="false">K18+L18</f>
        <v>132633.272</v>
      </c>
      <c r="O18" s="53" t="n">
        <v>24</v>
      </c>
      <c r="P18" s="53" t="s">
        <v>121</v>
      </c>
      <c r="Q18" s="57" t="n">
        <v>46539</v>
      </c>
      <c r="R18" s="53" t="s">
        <v>91</v>
      </c>
      <c r="S18" s="59" t="n">
        <f aca="false">IFERROR(INDEX('Market Rents 26-27'!E:E,MATCH(C18,'Market Rents 26-27'!$A:$A,0)),0)</f>
        <v>1040</v>
      </c>
      <c r="T18" s="59" t="n">
        <f aca="false">IF(J18&gt;0,J18-S18,"")</f>
        <v>14.8800000000001</v>
      </c>
      <c r="U18" s="60" t="n">
        <f aca="false">IF(AND(J18&gt;0,S18&gt;0),(J18-S18)/S18,"")</f>
        <v>0.0143076923076924</v>
      </c>
      <c r="V18" s="61" t="n">
        <f aca="true">IF(H18="",0,IFERROR(MAX((H18-TODAY())/365.25,0),0))</f>
        <v>1.92197125256674</v>
      </c>
      <c r="W18" s="56" t="n">
        <f aca="false">F18*V18</f>
        <v>315.011088295688</v>
      </c>
      <c r="X18" s="62"/>
      <c r="Y18" s="50" t="str">
        <f aca="true">IF(Z18="","VACANT",IF(Z18&lt;TODAY(),"EXPIRED","ACTIVE"))</f>
        <v>ACTIVE</v>
      </c>
      <c r="Z18" s="26" t="n">
        <v>46904</v>
      </c>
      <c r="AA18" s="51" t="n">
        <v>1054.88</v>
      </c>
      <c r="AB18" s="52" t="s">
        <v>149</v>
      </c>
    </row>
    <row r="19" customFormat="false" ht="15.75" hidden="false" customHeight="true" outlineLevel="0" collapsed="false">
      <c r="A19" s="28" t="s">
        <v>150</v>
      </c>
      <c r="B19" s="28" t="s">
        <v>151</v>
      </c>
      <c r="C19" s="28" t="s">
        <v>152</v>
      </c>
      <c r="D19" s="43" t="str">
        <f aca="false">IF(Y19="EXPIRED","VACANT","ARKANCE AUSTRALIA PTY LTD")</f>
        <v>ARKANCE AUSTRALIA PTY LTD</v>
      </c>
      <c r="E19" s="31" t="str">
        <f aca="false">IF(Y19="EXPIRED","","ARKANCE AUSTRALIA PTY LTD")</f>
        <v>ARKANCE AUSTRALIA PTY LTD</v>
      </c>
      <c r="F19" s="44" t="n">
        <v>222</v>
      </c>
      <c r="G19" s="45" t="n">
        <f aca="false">IF(Y19="EXPIRED","",DATE(2025,10,1))</f>
        <v>45931</v>
      </c>
      <c r="H19" s="45" t="n">
        <f aca="true">IF(Z19="","",IF(Z19&lt;TODAY(),"",Z19))</f>
        <v>47756</v>
      </c>
      <c r="I19" s="46" t="n">
        <f aca="false">IF(Y19="EXPIRED","",5)</f>
        <v>5</v>
      </c>
      <c r="J19" s="47" t="n">
        <f aca="false">IF(Y19="EXPIRED",0,1300)</f>
        <v>1300</v>
      </c>
      <c r="K19" s="47" t="n">
        <f aca="false">IF(Y19="EXPIRED",0,J19*F19)</f>
        <v>288600</v>
      </c>
      <c r="L19" s="47" t="n">
        <v>-46176</v>
      </c>
      <c r="M19" s="47" t="n">
        <v>1500</v>
      </c>
      <c r="N19" s="47" t="n">
        <f aca="false">K19+L19</f>
        <v>242424</v>
      </c>
      <c r="O19" s="28" t="n">
        <v>0</v>
      </c>
      <c r="P19" s="28" t="s">
        <v>121</v>
      </c>
      <c r="Q19" s="45" t="n">
        <v>46296</v>
      </c>
      <c r="R19" s="28" t="s">
        <v>91</v>
      </c>
      <c r="S19" s="47" t="n">
        <f aca="false">IFERROR(INDEX('Market Rents 26-27'!E:E,MATCH(C19,'Market Rents 26-27'!$A:$A,0)),0)</f>
        <v>1300</v>
      </c>
      <c r="T19" s="47" t="n">
        <f aca="false">IF(J19&gt;0,J19-S19,"")</f>
        <v>0</v>
      </c>
      <c r="U19" s="48" t="n">
        <f aca="false">IF(AND(J19&gt;0,S19&gt;0),(J19-S19)/S19,"")</f>
        <v>0</v>
      </c>
      <c r="V19" s="49" t="n">
        <f aca="true">IF(H19="",0,IFERROR(MAX((H19-TODAY())/365.25,0),0))</f>
        <v>4.25462012320329</v>
      </c>
      <c r="W19" s="44" t="n">
        <f aca="false">F19*V19</f>
        <v>944.525667351129</v>
      </c>
      <c r="X19" s="27"/>
      <c r="Y19" s="50" t="str">
        <f aca="true">IF(Z19="","VACANT",IF(Z19&lt;TODAY(),"EXPIRED","ACTIVE"))</f>
        <v>ACTIVE</v>
      </c>
      <c r="Z19" s="26" t="n">
        <v>47756</v>
      </c>
      <c r="AA19" s="51" t="n">
        <v>1300</v>
      </c>
      <c r="AB19" s="52" t="s">
        <v>153</v>
      </c>
    </row>
    <row r="20" customFormat="false" ht="15.75" hidden="false" customHeight="true" outlineLevel="0" collapsed="false">
      <c r="A20" s="53" t="s">
        <v>154</v>
      </c>
      <c r="B20" s="53" t="s">
        <v>151</v>
      </c>
      <c r="C20" s="53" t="s">
        <v>155</v>
      </c>
      <c r="D20" s="54" t="str">
        <f aca="false">IF(Y20="EXPIRED","VACANT","HILLIARD &amp; BERRY")</f>
        <v>HILLIARD &amp; BERRY</v>
      </c>
      <c r="E20" s="55" t="str">
        <f aca="false">IF(Y20="EXPIRED","","HILLIARD &amp; BERRY")</f>
        <v>HILLIARD &amp; BERRY</v>
      </c>
      <c r="F20" s="56" t="n">
        <v>138.5</v>
      </c>
      <c r="G20" s="57" t="n">
        <f aca="false">IF(Y20="EXPIRED","",DATE(2014,1,15))</f>
        <v>41654</v>
      </c>
      <c r="H20" s="57" t="n">
        <f aca="true">IF(Z20="","",IF(Z20&lt;TODAY(),"",Z20))</f>
        <v>46965</v>
      </c>
      <c r="I20" s="58" t="n">
        <f aca="false">IF(Y20="EXPIRED","",14.6)</f>
        <v>14.6</v>
      </c>
      <c r="J20" s="59" t="n">
        <f aca="false">IF(Y20="EXPIRED",0,843.65)</f>
        <v>843.65</v>
      </c>
      <c r="K20" s="59" t="n">
        <f aca="false">IF(Y20="EXPIRED",0,J20*F20)</f>
        <v>116845.525</v>
      </c>
      <c r="L20" s="59" t="n">
        <v>0</v>
      </c>
      <c r="M20" s="59" t="n">
        <v>12240</v>
      </c>
      <c r="N20" s="59" t="n">
        <f aca="false">K20+L20</f>
        <v>116845.525</v>
      </c>
      <c r="O20" s="53" t="n">
        <v>0</v>
      </c>
      <c r="P20" s="53" t="s">
        <v>90</v>
      </c>
      <c r="Q20" s="57" t="n">
        <v>46235</v>
      </c>
      <c r="R20" s="53" t="s">
        <v>91</v>
      </c>
      <c r="S20" s="59" t="n">
        <f aca="false">IFERROR(INDEX('Market Rents 26-27'!E:E,MATCH(C20,'Market Rents 26-27'!$A:$A,0)),0)</f>
        <v>1030</v>
      </c>
      <c r="T20" s="59" t="n">
        <f aca="false">IF(J20&gt;0,J20-S20,"")</f>
        <v>-186.35</v>
      </c>
      <c r="U20" s="60" t="n">
        <f aca="false">IF(AND(J20&gt;0,S20&gt;0),(J20-S20)/S20,"")</f>
        <v>-0.180922330097087</v>
      </c>
      <c r="V20" s="61" t="n">
        <f aca="true">IF(H20="",0,IFERROR(MAX((H20-TODAY())/365.25,0),0))</f>
        <v>2.08898015058179</v>
      </c>
      <c r="W20" s="56" t="n">
        <f aca="false">F20*V20</f>
        <v>289.323750855578</v>
      </c>
      <c r="X20" s="62"/>
      <c r="Y20" s="50" t="str">
        <f aca="true">IF(Z20="","VACANT",IF(Z20&lt;TODAY(),"EXPIRED","ACTIVE"))</f>
        <v>ACTIVE</v>
      </c>
      <c r="Z20" s="26" t="n">
        <v>46965</v>
      </c>
      <c r="AA20" s="51" t="n">
        <v>843.65</v>
      </c>
      <c r="AB20" s="52" t="s">
        <v>156</v>
      </c>
    </row>
    <row r="21" customFormat="false" ht="15.75" hidden="false" customHeight="true" outlineLevel="0" collapsed="false">
      <c r="A21" s="28" t="s">
        <v>157</v>
      </c>
      <c r="B21" s="28" t="s">
        <v>158</v>
      </c>
      <c r="C21" s="28" t="s">
        <v>159</v>
      </c>
      <c r="D21" s="43" t="str">
        <f aca="false">IF(Y21="EXPIRED","VACANT","AITKEN INVESTMENT MANAGEMENT PTY LTD")</f>
        <v>AITKEN INVESTMENT MANAGEMENT PTY LTD</v>
      </c>
      <c r="E21" s="31" t="str">
        <f aca="false">IF(Y21="EXPIRED","","AITKEN INVESTMENT MANAGEMENT")</f>
        <v>AITKEN INVESTMENT MANAGEMENT</v>
      </c>
      <c r="F21" s="44" t="n">
        <v>52.8</v>
      </c>
      <c r="G21" s="45" t="n">
        <f aca="false">IF(Y21="EXPIRED","",DATE(2025,6,15))</f>
        <v>45823</v>
      </c>
      <c r="H21" s="45" t="n">
        <f aca="true">IF(Z21="","",IF(Z21&lt;TODAY(),"",Z21))</f>
        <v>46918</v>
      </c>
      <c r="I21" s="46" t="n">
        <f aca="false">IF(Y21="EXPIRED","",3)</f>
        <v>3</v>
      </c>
      <c r="J21" s="47" t="n">
        <v>1338.88</v>
      </c>
      <c r="K21" s="47" t="n">
        <f aca="false">IF(Y21="EXPIRED",0,J21*F21)</f>
        <v>70692.864</v>
      </c>
      <c r="L21" s="47" t="n">
        <v>-16394.4</v>
      </c>
      <c r="M21" s="47" t="n">
        <v>3780</v>
      </c>
      <c r="N21" s="47" t="n">
        <f aca="false">K21+L21</f>
        <v>54298.464</v>
      </c>
      <c r="O21" s="28" t="n">
        <v>0</v>
      </c>
      <c r="P21" s="28" t="s">
        <v>90</v>
      </c>
      <c r="Q21" s="45" t="n">
        <v>46553</v>
      </c>
      <c r="R21" s="28" t="s">
        <v>91</v>
      </c>
      <c r="S21" s="47" t="n">
        <f aca="false">IFERROR(INDEX('Market Rents 26-27'!E:E,MATCH(C21,'Market Rents 26-27'!$A:$A,0)),0)</f>
        <v>1350</v>
      </c>
      <c r="T21" s="47" t="n">
        <f aca="false">IF(J21&gt;0,J21-S21,"")</f>
        <v>-11.1199999999999</v>
      </c>
      <c r="U21" s="48" t="n">
        <f aca="false">IF(AND(J21&gt;0,S21&gt;0),(J21-S21)/S21,"")</f>
        <v>-0.00823703703703696</v>
      </c>
      <c r="V21" s="49" t="n">
        <f aca="true">IF(H21="",0,IFERROR(MAX((H21-TODAY())/365.25,0),0))</f>
        <v>1.96030116358658</v>
      </c>
      <c r="W21" s="44" t="n">
        <f aca="false">F21*V21</f>
        <v>103.503901437372</v>
      </c>
      <c r="X21" s="27"/>
      <c r="Y21" s="50" t="str">
        <f aca="true">IF(Z21="","VACANT",IF(Z21&lt;TODAY(),"EXPIRED","ACTIVE"))</f>
        <v>ACTIVE</v>
      </c>
      <c r="Z21" s="77" t="n">
        <v>46918</v>
      </c>
      <c r="AA21" s="51" t="n">
        <v>1338.88</v>
      </c>
      <c r="AB21" s="52" t="s">
        <v>160</v>
      </c>
    </row>
    <row r="22" customFormat="false" ht="15.75" hidden="false" customHeight="true" outlineLevel="0" collapsed="false">
      <c r="A22" s="53" t="s">
        <v>161</v>
      </c>
      <c r="B22" s="53" t="s">
        <v>158</v>
      </c>
      <c r="C22" s="53" t="s">
        <v>162</v>
      </c>
      <c r="D22" s="54" t="str">
        <f aca="false">IF(Y22="EXPIRED","VACANT","CAPITAL E MARKETING AND EVENTS PTY LTD")</f>
        <v>CAPITAL E MARKETING AND EVENTS PTY LTD</v>
      </c>
      <c r="E22" s="55" t="str">
        <f aca="false">IF(Y22="EXPIRED","","CAPITAL E MARKETING AND EVENTS")</f>
        <v>CAPITAL E MARKETING AND EVENTS</v>
      </c>
      <c r="F22" s="56" t="n">
        <v>303</v>
      </c>
      <c r="G22" s="57" t="n">
        <f aca="false">IF(Y22="EXPIRED","",DATE(2022,1,1))</f>
        <v>44562</v>
      </c>
      <c r="H22" s="57" t="n">
        <f aca="true">IF(Z22="","",IF(Z22&lt;TODAY(),"",Z22))</f>
        <v>47573</v>
      </c>
      <c r="I22" s="58" t="n">
        <f aca="false">IF(Y22="EXPIRED","",8.2)</f>
        <v>8.2</v>
      </c>
      <c r="J22" s="59" t="n">
        <f aca="false">IF(Y22="EXPIRED",0,1141.25)</f>
        <v>1141.25</v>
      </c>
      <c r="K22" s="59" t="n">
        <f aca="false">IF(Y22="EXPIRED",0,J22*F22)</f>
        <v>345798.75</v>
      </c>
      <c r="L22" s="59" t="n">
        <v>-90475.68</v>
      </c>
      <c r="M22" s="59" t="n">
        <v>9300</v>
      </c>
      <c r="N22" s="59" t="n">
        <f aca="false">K22+L22</f>
        <v>255323.07</v>
      </c>
      <c r="O22" s="53" t="n">
        <v>0</v>
      </c>
      <c r="P22" s="53" t="s">
        <v>121</v>
      </c>
      <c r="Q22" s="57" t="n">
        <v>46478</v>
      </c>
      <c r="R22" s="53" t="s">
        <v>91</v>
      </c>
      <c r="S22" s="59" t="n">
        <f aca="false">IFERROR(INDEX('Market Rents 26-27'!E:E,MATCH(C22,'Market Rents 26-27'!$A:$A,0)),0)</f>
        <v>1125</v>
      </c>
      <c r="T22" s="59" t="n">
        <f aca="false">IF(J22&gt;0,J22-S22,"")</f>
        <v>16.25</v>
      </c>
      <c r="U22" s="60" t="n">
        <f aca="false">IF(AND(J22&gt;0,S22&gt;0),(J22-S22)/S22,"")</f>
        <v>0.0144444444444444</v>
      </c>
      <c r="V22" s="61" t="n">
        <f aca="true">IF(H22="",0,IFERROR(MAX((H22-TODAY())/365.25,0),0))</f>
        <v>3.75359342915811</v>
      </c>
      <c r="W22" s="56" t="n">
        <f aca="false">F22*V22</f>
        <v>1137.33880903491</v>
      </c>
      <c r="X22" s="62"/>
      <c r="Y22" s="50" t="str">
        <f aca="true">IF(Z22="","VACANT",IF(Z22&lt;TODAY(),"EXPIRED","ACTIVE"))</f>
        <v>ACTIVE</v>
      </c>
      <c r="Z22" s="26" t="n">
        <v>47573</v>
      </c>
      <c r="AA22" s="51" t="n">
        <v>1141.25</v>
      </c>
      <c r="AB22" s="52" t="s">
        <v>163</v>
      </c>
    </row>
    <row r="23" customFormat="false" ht="15.75" hidden="false" customHeight="true" outlineLevel="0" collapsed="false">
      <c r="A23" s="28" t="s">
        <v>164</v>
      </c>
      <c r="B23" s="28" t="s">
        <v>165</v>
      </c>
      <c r="C23" s="28" t="s">
        <v>166</v>
      </c>
      <c r="D23" s="43" t="str">
        <f aca="false">IF(Y23="EXPIRED","VACANT","CONNECTUS SERVICES PTY LTD")</f>
        <v>CONNECTUS SERVICES PTY LTD</v>
      </c>
      <c r="E23" s="31" t="str">
        <f aca="false">IF(Y23="EXPIRED","","CONNECTUS")</f>
        <v>CONNECTUS</v>
      </c>
      <c r="F23" s="44" t="n">
        <v>363.2</v>
      </c>
      <c r="G23" s="45" t="n">
        <f aca="false">IF(Y23="EXPIRED","",DATE(2023,12,1))</f>
        <v>45261</v>
      </c>
      <c r="H23" s="45" t="n">
        <f aca="true">IF(Z23="","",IF(Z23&lt;TODAY(),"",Z23))</f>
        <v>47452</v>
      </c>
      <c r="I23" s="46" t="n">
        <f aca="false">IF(Y23="EXPIRED","",6)</f>
        <v>6</v>
      </c>
      <c r="J23" s="47" t="n">
        <f aca="false">IF(Y23="EXPIRED",0,1189.67)</f>
        <v>1189.67</v>
      </c>
      <c r="K23" s="47" t="n">
        <f aca="false">IF(Y23="EXPIRED",0,J23*F23)</f>
        <v>432088.144</v>
      </c>
      <c r="L23" s="47" t="n">
        <v>-114537.96</v>
      </c>
      <c r="M23" s="47" t="n">
        <v>15000</v>
      </c>
      <c r="N23" s="47" t="n">
        <f aca="false">K23+L23</f>
        <v>317550.184</v>
      </c>
      <c r="O23" s="28" t="n">
        <v>48</v>
      </c>
      <c r="P23" s="28" t="s">
        <v>167</v>
      </c>
      <c r="Q23" s="45" t="n">
        <v>46357</v>
      </c>
      <c r="R23" s="28" t="s">
        <v>91</v>
      </c>
      <c r="S23" s="47" t="n">
        <f aca="false">IFERROR(INDEX('Market Rents 26-27'!E:E,MATCH(C23,'Market Rents 26-27'!$A:$A,0)),0)</f>
        <v>1200</v>
      </c>
      <c r="T23" s="47" t="n">
        <f aca="false">IF(J23&gt;0,J23-S23,"")</f>
        <v>-10.3299999999999</v>
      </c>
      <c r="U23" s="48" t="n">
        <f aca="false">IF(AND(J23&gt;0,S23&gt;0),(J23-S23)/S23,"")</f>
        <v>-0.00860833333333327</v>
      </c>
      <c r="V23" s="49" t="n">
        <f aca="true">IF(H23="",0,IFERROR(MAX((H23-TODAY())/365.25,0),0))</f>
        <v>3.42231348391513</v>
      </c>
      <c r="W23" s="44" t="n">
        <f aca="false">F23*V23</f>
        <v>1242.98425735797</v>
      </c>
      <c r="X23" s="27"/>
      <c r="Y23" s="50" t="str">
        <f aca="true">IF(Z23="","VACANT",IF(Z23&lt;TODAY(),"EXPIRED","ACTIVE"))</f>
        <v>ACTIVE</v>
      </c>
      <c r="Z23" s="26" t="n">
        <v>47452</v>
      </c>
      <c r="AA23" s="51" t="n">
        <v>1189.67</v>
      </c>
      <c r="AB23" s="52" t="s">
        <v>168</v>
      </c>
    </row>
    <row r="24" customFormat="false" ht="15.75" hidden="false" customHeight="true" outlineLevel="0" collapsed="false">
      <c r="A24" s="63" t="s">
        <v>169</v>
      </c>
      <c r="B24" s="63" t="s">
        <v>170</v>
      </c>
      <c r="C24" s="63" t="s">
        <v>171</v>
      </c>
      <c r="D24" s="64" t="str">
        <f aca="false">IF(Y24="EXPIRED","VACANT","MICHAEL FLEGG PTY LTD")</f>
        <v>MICHAEL FLEGG PTY LTD</v>
      </c>
      <c r="E24" s="37" t="str">
        <f aca="false">IF(Y24="EXPIRED","","MICHAEL FLEGG PTY LTD")</f>
        <v>MICHAEL FLEGG PTY LTD</v>
      </c>
      <c r="F24" s="65" t="n">
        <v>62.4</v>
      </c>
      <c r="G24" s="26" t="n">
        <f aca="false">IF(Y24="EXPIRED","",DATE(2021,12,1))</f>
        <v>44531</v>
      </c>
      <c r="H24" s="26" t="n">
        <f aca="true">IF(Z24="","",IF(Z24&lt;TODAY(),"",Z24))</f>
        <v>46356</v>
      </c>
      <c r="I24" s="66" t="n">
        <f aca="false">IF(Y24="EXPIRED","",5)</f>
        <v>5</v>
      </c>
      <c r="J24" s="67" t="n">
        <f aca="false">IF(Y24="EXPIRED",0,1368.73)</f>
        <v>1368.73</v>
      </c>
      <c r="K24" s="67" t="n">
        <f aca="false">IF(Y24="EXPIRED",0,J24*F24)</f>
        <v>85408.752</v>
      </c>
      <c r="L24" s="67" t="n">
        <v>0</v>
      </c>
      <c r="M24" s="67" t="n">
        <v>4200</v>
      </c>
      <c r="N24" s="67" t="n">
        <f aca="false">K24+L24</f>
        <v>85408.752</v>
      </c>
      <c r="O24" s="63" t="n">
        <v>0</v>
      </c>
      <c r="P24" s="63" t="s">
        <v>109</v>
      </c>
      <c r="Q24" s="26" t="n">
        <v>46357</v>
      </c>
      <c r="R24" s="63" t="s">
        <v>91</v>
      </c>
      <c r="S24" s="67" t="n">
        <f aca="false">IFERROR(INDEX('Market Rents 26-27'!E:E,MATCH(C24,'Market Rents 26-27'!$A:$A,0)),0)</f>
        <v>1405</v>
      </c>
      <c r="T24" s="67" t="n">
        <f aca="false">IF(J24&gt;0,J24-S24,"")</f>
        <v>-36.27</v>
      </c>
      <c r="U24" s="68" t="n">
        <f aca="false">IF(AND(J24&gt;0,S24&gt;0),(J24-S24)/S24,"")</f>
        <v>-0.0258149466192171</v>
      </c>
      <c r="V24" s="69" t="n">
        <f aca="true">IF(H24="",0,IFERROR(MAX((H24-TODAY())/365.25,0),0))</f>
        <v>0.421629021218344</v>
      </c>
      <c r="W24" s="65" t="n">
        <f aca="false">F24*V24</f>
        <v>26.3096509240246</v>
      </c>
      <c r="X24" s="70"/>
      <c r="Y24" s="50" t="str">
        <f aca="true">IF(Z24="","VACANT",IF(Z24&lt;TODAY(),"EXPIRED","ACTIVE"))</f>
        <v>ACTIVE</v>
      </c>
      <c r="Z24" s="26" t="n">
        <v>46356</v>
      </c>
      <c r="AA24" s="51" t="n">
        <v>1368.73</v>
      </c>
      <c r="AB24" s="52" t="s">
        <v>172</v>
      </c>
    </row>
    <row r="25" customFormat="false" ht="15.75" hidden="false" customHeight="true" outlineLevel="0" collapsed="false">
      <c r="A25" s="63" t="s">
        <v>173</v>
      </c>
      <c r="B25" s="63" t="s">
        <v>170</v>
      </c>
      <c r="C25" s="63" t="s">
        <v>174</v>
      </c>
      <c r="D25" s="64" t="str">
        <f aca="false">IF(Y25="EXPIRED","VACANT","LEWIS WOOLCOTT")</f>
        <v>LEWIS WOOLCOTT</v>
      </c>
      <c r="E25" s="37" t="str">
        <f aca="false">IF(Y25="EXPIRED","","LEWIS WOOLCOTT")</f>
        <v>LEWIS WOOLCOTT</v>
      </c>
      <c r="F25" s="65" t="n">
        <v>133.1</v>
      </c>
      <c r="G25" s="26" t="n">
        <f aca="false">IF(Y25="EXPIRED","",DATE(2026,8,15))</f>
        <v>46249</v>
      </c>
      <c r="H25" s="26" t="n">
        <f aca="true">IF(Z25="","",IF(Z25&lt;TODAY(),"",Z25))</f>
        <v>46979</v>
      </c>
      <c r="I25" s="66" t="n">
        <f aca="false">IF(Y25="EXPIRED","",2)</f>
        <v>2</v>
      </c>
      <c r="J25" s="67" t="n">
        <f aca="false">IF(Y25="EXPIRED",0,1271.1)</f>
        <v>1271.1</v>
      </c>
      <c r="K25" s="67" t="n">
        <f aca="false">IF(Y25="EXPIRED",0,J25*F25)</f>
        <v>169183.41</v>
      </c>
      <c r="L25" s="67" t="n">
        <v>-30453.01</v>
      </c>
      <c r="M25" s="67" t="n">
        <v>5820</v>
      </c>
      <c r="N25" s="67" t="n">
        <f aca="false">K25+L25</f>
        <v>138730.4</v>
      </c>
      <c r="O25" s="63" t="n">
        <v>0</v>
      </c>
      <c r="P25" s="63" t="s">
        <v>101</v>
      </c>
      <c r="Q25" s="26" t="n">
        <v>46614</v>
      </c>
      <c r="R25" s="63" t="s">
        <v>91</v>
      </c>
      <c r="S25" s="67" t="n">
        <f aca="false">IFERROR(INDEX('Market Rents 26-27'!E:E,MATCH(C25,'Market Rents 26-27'!$A:$A,0)),0)</f>
        <v>1250</v>
      </c>
      <c r="T25" s="67" t="n">
        <f aca="false">IF(J25&gt;0,J25-S25,"")</f>
        <v>21.0999999999999</v>
      </c>
      <c r="U25" s="68" t="n">
        <f aca="false">IF(AND(J25&gt;0,S25&gt;0),(J25-S25)/S25,"")</f>
        <v>0.0168799999999999</v>
      </c>
      <c r="V25" s="69" t="n">
        <f aca="true">IF(H25="",0,IFERROR(MAX((H25-TODAY())/365.25,0),0))</f>
        <v>2.12731006160164</v>
      </c>
      <c r="W25" s="65" t="n">
        <f aca="false">F25*V25</f>
        <v>283.144969199179</v>
      </c>
      <c r="X25" s="63" t="s">
        <v>175</v>
      </c>
      <c r="Y25" s="50" t="str">
        <f aca="true">IF(Z25="","VACANT",IF(Z25&lt;TODAY(),"EXPIRED","ACTIVE"))</f>
        <v>ACTIVE</v>
      </c>
      <c r="Z25" s="26" t="n">
        <v>46979</v>
      </c>
      <c r="AA25" s="51" t="n">
        <v>1271.1</v>
      </c>
      <c r="AB25" s="52" t="s">
        <v>176</v>
      </c>
    </row>
    <row r="26" customFormat="false" ht="15.75" hidden="false" customHeight="true" outlineLevel="0" collapsed="false">
      <c r="A26" s="78" t="s">
        <v>177</v>
      </c>
      <c r="B26" s="78" t="s">
        <v>178</v>
      </c>
      <c r="C26" s="78" t="s">
        <v>178</v>
      </c>
      <c r="D26" s="71" t="str">
        <f aca="false">IF(Y26="EXPIRED","VACANT","DAKOTA CORPORATION")</f>
        <v>DAKOTA CORPORATION</v>
      </c>
      <c r="E26" s="79" t="str">
        <f aca="false">IF(Y26="EXPIRED","","OWNER OCCUPIED")</f>
        <v>OWNER OCCUPIED</v>
      </c>
      <c r="F26" s="80" t="n">
        <v>223.7</v>
      </c>
      <c r="G26" s="81" t="n">
        <f aca="false">IF(Y26="EXPIRED","",DATE(2017,1,1))</f>
        <v>42736</v>
      </c>
      <c r="H26" s="81" t="n">
        <f aca="true">IF(Z26="","",IF(Z26&lt;TODAY(),"",Z26))</f>
        <v>47118</v>
      </c>
      <c r="I26" s="82" t="n">
        <f aca="false">IF(Y26="EXPIRED","",7)</f>
        <v>7</v>
      </c>
      <c r="J26" s="83" t="n">
        <v>0</v>
      </c>
      <c r="K26" s="83" t="n">
        <f aca="false">IF(Y26="EXPIRED",0,J26*F26)</f>
        <v>0</v>
      </c>
      <c r="L26" s="83" t="n">
        <v>0</v>
      </c>
      <c r="M26" s="83" t="n">
        <v>0</v>
      </c>
      <c r="N26" s="83" t="n">
        <f aca="false">K26+L26</f>
        <v>0</v>
      </c>
      <c r="O26" s="78" t="n">
        <v>0</v>
      </c>
      <c r="P26" s="78" t="s">
        <v>179</v>
      </c>
      <c r="Q26" s="81" t="n">
        <v>45291</v>
      </c>
      <c r="R26" s="78" t="s">
        <v>180</v>
      </c>
      <c r="S26" s="83" t="n">
        <f aca="false">IFERROR(INDEX('Market Rents 26-27'!E:E,MATCH(C26,'Market Rents 26-27'!$A:$A,0)),0)</f>
        <v>384</v>
      </c>
      <c r="T26" s="83" t="str">
        <f aca="false">IF(J26&gt;0,J26-S26,"")</f>
        <v/>
      </c>
      <c r="U26" s="84" t="str">
        <f aca="false">IF(AND(J26&gt;0,S26&gt;0),(J26-S26)/S26,"")</f>
        <v/>
      </c>
      <c r="V26" s="85" t="n">
        <f aca="true">IF(H26="",0,IFERROR(MAX((H26-TODAY())/365.25,0),0))</f>
        <v>2.50787132101301</v>
      </c>
      <c r="W26" s="80" t="n">
        <f aca="false">F26*V26</f>
        <v>561.010814510609</v>
      </c>
      <c r="X26" s="86"/>
      <c r="Y26" s="50" t="str">
        <f aca="true">IF(Z26="","VACANT",IF(Z26&lt;TODAY(),"EXPIRED","ACTIVE"))</f>
        <v>ACTIVE</v>
      </c>
      <c r="Z26" s="77" t="n">
        <v>47118</v>
      </c>
      <c r="AA26" s="51" t="n">
        <v>0</v>
      </c>
      <c r="AB26" s="52" t="s">
        <v>181</v>
      </c>
    </row>
    <row r="27" customFormat="false" ht="15.75" hidden="false" customHeight="true" outlineLevel="0" collapsed="false">
      <c r="A27" s="87" t="s">
        <v>182</v>
      </c>
      <c r="B27" s="87" t="s">
        <v>170</v>
      </c>
      <c r="C27" s="87" t="s">
        <v>183</v>
      </c>
      <c r="D27" s="71" t="str">
        <f aca="false">IF(Y27="EXPIRED","VACANT","INFERNI SYSTEMS")</f>
        <v>INFERNI SYSTEMS</v>
      </c>
      <c r="E27" s="79" t="str">
        <f aca="false">IF(Y27="EXPIRED","","INFERNI SYSTEMS")</f>
        <v>INFERNI SYSTEMS</v>
      </c>
      <c r="F27" s="88" t="n">
        <v>160.3</v>
      </c>
      <c r="G27" s="89" t="n">
        <f aca="false">IF(Y27="EXPIRED","",DATE(2026,7,15))</f>
        <v>46218</v>
      </c>
      <c r="H27" s="81" t="n">
        <f aca="true">IF(Z27="","",IF(Z27&lt;TODAY(),"",Z27))</f>
        <v>47313</v>
      </c>
      <c r="I27" s="78" t="n">
        <f aca="false">IF(Y27="EXPIRED","",3)</f>
        <v>3</v>
      </c>
      <c r="J27" s="83" t="n">
        <f aca="false">IF(Y27="EXPIRED",0,1150)</f>
        <v>1150</v>
      </c>
      <c r="K27" s="83" t="n">
        <f aca="false">IF(Y27="EXPIRED",0,J27*F27)</f>
        <v>184345</v>
      </c>
      <c r="L27" s="87" t="n">
        <v>-55303.5</v>
      </c>
      <c r="M27" s="90"/>
      <c r="N27" s="83" t="n">
        <f aca="false">K27+L27</f>
        <v>129041.5</v>
      </c>
      <c r="O27" s="90"/>
      <c r="P27" s="87" t="s">
        <v>101</v>
      </c>
      <c r="Q27" s="91" t="n">
        <v>46583</v>
      </c>
      <c r="R27" s="87" t="s">
        <v>91</v>
      </c>
      <c r="S27" s="83" t="n">
        <f aca="false">IFERROR(INDEX('Market Rents 26-27'!E:E,MATCH(C27,'Market Rents 26-27'!$A:$A,0)),0)</f>
        <v>1060</v>
      </c>
      <c r="T27" s="83" t="n">
        <f aca="false">IF(J27&gt;0,J27-S27,"")</f>
        <v>90</v>
      </c>
      <c r="U27" s="84" t="n">
        <f aca="false">IF(AND(J27&gt;0,S27&gt;0),(J27-S27)/S27,"")</f>
        <v>0.0849056603773585</v>
      </c>
      <c r="V27" s="85" t="n">
        <f aca="true">IF(H27="",0,IFERROR(MAX((H27-TODAY())/365.25,0),0))</f>
        <v>3.04175222450376</v>
      </c>
      <c r="W27" s="80" t="n">
        <f aca="false">F27*V27</f>
        <v>487.592881587954</v>
      </c>
      <c r="X27" s="87" t="s">
        <v>184</v>
      </c>
      <c r="Y27" s="87" t="str">
        <f aca="true">IF(Z27="","VACANT",IF(Z27&lt;TODAY(),"EXPIRED","ACTIVE"))</f>
        <v>ACTIVE</v>
      </c>
      <c r="Z27" s="26" t="n">
        <v>47313</v>
      </c>
      <c r="AA27" s="51" t="n">
        <v>1150</v>
      </c>
      <c r="AB27" s="52" t="s">
        <v>185</v>
      </c>
    </row>
    <row r="28" customFormat="false" ht="19.5" hidden="false" customHeight="true" outlineLevel="0" collapsed="false">
      <c r="A28" s="92" t="s">
        <v>186</v>
      </c>
      <c r="B28" s="92"/>
      <c r="C28" s="92"/>
      <c r="D28" s="92"/>
      <c r="E28" s="92"/>
      <c r="F28" s="93" t="n">
        <f aca="false">SUM(F3:F27)</f>
        <v>4704.5</v>
      </c>
      <c r="G28" s="92"/>
      <c r="H28" s="92"/>
      <c r="I28" s="92"/>
      <c r="J28" s="92"/>
      <c r="K28" s="94" t="n">
        <f aca="false">SUM(K3:K27)</f>
        <v>4906203.941</v>
      </c>
      <c r="L28" s="94" t="n">
        <f aca="false">SUM(L3:L27)</f>
        <v>-844077.43</v>
      </c>
      <c r="M28" s="94" t="n">
        <f aca="false">SUM(M3:M27)</f>
        <v>197224.32</v>
      </c>
      <c r="N28" s="94" t="n">
        <f aca="false">SUM(N3:N27)</f>
        <v>4062126.511</v>
      </c>
      <c r="O28" s="92"/>
      <c r="P28" s="92"/>
      <c r="Q28" s="92"/>
      <c r="R28" s="92"/>
      <c r="S28" s="92"/>
      <c r="T28" s="92"/>
      <c r="U28" s="92"/>
      <c r="V28" s="95" t="n">
        <f aca="true">IFERROR(SUMPRODUCT(('Input Data'!K3:K27&gt;0)*'Input Data'!F3:F27*MAX(('Input Data'!H3:H27-TODAY())/365.25,0))/SUMPRODUCT(('Input Data'!K3:K27&gt;0)*'Input Data'!F3:F27),0)</f>
        <v>0</v>
      </c>
      <c r="W28" s="93" t="n">
        <f aca="false">SUM(W3:W27)</f>
        <v>11596.567008898</v>
      </c>
      <c r="X28" s="92"/>
      <c r="Y28" s="10"/>
      <c r="Z28" s="10"/>
      <c r="AA28" s="10"/>
      <c r="AB28" s="10"/>
    </row>
    <row r="29" customFormat="false" ht="14.25" hidden="false" customHeight="true" outlineLevel="0" collapsed="false">
      <c r="A29" s="10"/>
      <c r="B29" s="10"/>
      <c r="C29" s="10"/>
      <c r="D29" s="10"/>
      <c r="E29" s="10"/>
      <c r="F29" s="96"/>
      <c r="G29" s="97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customFormat="false" ht="15" hidden="false" customHeight="true" outlineLevel="0" collapsed="false">
      <c r="A30" s="98" t="s">
        <v>187</v>
      </c>
      <c r="B30" s="99"/>
      <c r="C30" s="100" t="s">
        <v>188</v>
      </c>
      <c r="D30" s="101"/>
      <c r="E30" s="100" t="s">
        <v>189</v>
      </c>
      <c r="F30" s="34"/>
      <c r="G30" s="100" t="s">
        <v>190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customFormat="false" ht="15" hidden="false" customHeight="true" outlineLevel="0" collapsed="false">
      <c r="A31" s="102" t="s">
        <v>191</v>
      </c>
      <c r="B31" s="102"/>
      <c r="C31" s="102"/>
      <c r="D31" s="102"/>
      <c r="E31" s="102"/>
      <c r="F31" s="102"/>
      <c r="G31" s="102"/>
      <c r="H31" s="102"/>
      <c r="I31" s="102"/>
      <c r="J31" s="102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</sheetData>
  <mergeCells count="3">
    <mergeCell ref="A1:X1"/>
    <mergeCell ref="A28:E28"/>
    <mergeCell ref="A31:J31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" width="1.54"/>
    <col collapsed="false" customWidth="true" hidden="false" outlineLevel="0" max="4" min="2" style="7" width="14"/>
    <col collapsed="false" customWidth="true" hidden="false" outlineLevel="0" max="5" min="5" style="7" width="28.09"/>
    <col collapsed="false" customWidth="true" hidden="false" outlineLevel="0" max="13" min="6" style="7" width="14"/>
    <col collapsed="false" customWidth="true" hidden="false" outlineLevel="0" max="14" min="14" style="7" width="1.54"/>
  </cols>
  <sheetData>
    <row r="1" customFormat="false" ht="36" hidden="false" customHeight="true" outlineLevel="0" collapsed="false">
      <c r="A1" s="103" t="s">
        <v>192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customFormat="false" ht="18" hidden="false" customHeight="true" outlineLevel="0" collapsed="false">
      <c r="A2" s="104" t="s">
        <v>193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customFormat="false" ht="19.5" hidden="false" customHeight="true" outlineLevel="0" collapsed="false">
      <c r="A4" s="10"/>
      <c r="B4" s="105" t="s">
        <v>194</v>
      </c>
      <c r="C4" s="105"/>
      <c r="D4" s="106" t="s">
        <v>195</v>
      </c>
      <c r="E4" s="106"/>
      <c r="F4" s="107" t="s">
        <v>196</v>
      </c>
      <c r="G4" s="107"/>
      <c r="H4" s="106" t="s">
        <v>197</v>
      </c>
      <c r="I4" s="106"/>
      <c r="J4" s="108" t="s">
        <v>198</v>
      </c>
      <c r="K4" s="108"/>
      <c r="L4" s="109" t="s">
        <v>199</v>
      </c>
      <c r="M4" s="109"/>
      <c r="N4" s="10"/>
    </row>
    <row r="5" customFormat="false" ht="27.75" hidden="false" customHeight="true" outlineLevel="0" collapsed="false">
      <c r="A5" s="10"/>
      <c r="B5" s="110" t="n">
        <f aca="false">SUM('Input Data'!F3:F27)</f>
        <v>4704.5</v>
      </c>
      <c r="C5" s="110"/>
      <c r="D5" s="111" t="n">
        <f aca="false">SUM('Input Data'!F3:F27)-'Input Data'!F27</f>
        <v>4544.2</v>
      </c>
      <c r="E5" s="111"/>
      <c r="F5" s="112" t="n">
        <f aca="false">'Input Data'!F27</f>
        <v>160.3</v>
      </c>
      <c r="G5" s="112"/>
      <c r="H5" s="113" t="n">
        <f aca="false">(SUM('Input Data'!F3:F27)-'Input Data'!F27)/SUM('Input Data'!F3:F27)</f>
        <v>0.965926240833245</v>
      </c>
      <c r="I5" s="113"/>
      <c r="J5" s="114" t="n">
        <f aca="false">'Input Data'!F27/SUM('Input Data'!F3:F27)</f>
        <v>0.0340737591667552</v>
      </c>
      <c r="K5" s="114"/>
      <c r="L5" s="115" t="s">
        <v>200</v>
      </c>
      <c r="M5" s="115"/>
      <c r="N5" s="10"/>
    </row>
    <row r="6" customFormat="false" ht="18" hidden="false" customHeight="true" outlineLevel="0" collapsed="false">
      <c r="A6" s="10"/>
      <c r="B6" s="34"/>
      <c r="C6" s="34"/>
      <c r="D6" s="116"/>
      <c r="E6" s="116"/>
      <c r="F6" s="99"/>
      <c r="G6" s="99"/>
      <c r="H6" s="116"/>
      <c r="I6" s="116"/>
      <c r="J6" s="101"/>
      <c r="K6" s="101"/>
      <c r="L6" s="117"/>
      <c r="M6" s="117"/>
      <c r="N6" s="10"/>
    </row>
    <row r="7" customFormat="false" ht="7.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customFormat="false" ht="19.5" hidden="false" customHeight="true" outlineLevel="0" collapsed="false">
      <c r="A8" s="10"/>
      <c r="B8" s="105" t="s">
        <v>201</v>
      </c>
      <c r="C8" s="105"/>
      <c r="D8" s="109" t="s">
        <v>202</v>
      </c>
      <c r="E8" s="109"/>
      <c r="F8" s="107" t="s">
        <v>203</v>
      </c>
      <c r="G8" s="107"/>
      <c r="H8" s="105" t="s">
        <v>204</v>
      </c>
      <c r="I8" s="105"/>
      <c r="J8" s="105" t="s">
        <v>205</v>
      </c>
      <c r="K8" s="105"/>
      <c r="L8" s="105" t="s">
        <v>206</v>
      </c>
      <c r="M8" s="105"/>
      <c r="N8" s="10"/>
    </row>
    <row r="9" customFormat="false" ht="27.75" hidden="false" customHeight="true" outlineLevel="0" collapsed="false">
      <c r="A9" s="10"/>
      <c r="B9" s="118" t="n">
        <f aca="false">SUMPRODUCT(('Input Data'!AA3:AA27&gt;0)*'Input Data'!AA3:AA27*'Input Data'!F3:F27)</f>
        <v>5021246.297</v>
      </c>
      <c r="C9" s="118"/>
      <c r="D9" s="119" t="n">
        <f aca="false">SUM('Input Data'!N3:N27)</f>
        <v>4062126.511</v>
      </c>
      <c r="E9" s="119"/>
      <c r="F9" s="120" t="n">
        <f aca="false">SUM('Input Data'!L3:L27)</f>
        <v>-844077.43</v>
      </c>
      <c r="G9" s="120"/>
      <c r="H9" s="121" t="n">
        <f aca="true">IFERROR(SUMPRODUCT(('Input Data'!Z3:Z27&gt;TODAY())*('Input Data'!AA3:AA27&gt;0)*'Input Data'!F3:F27*('Input Data'!Z3:Z27-TODAY())/365.25)/SUMPRODUCT(('Input Data'!Z3:Z27&gt;TODAY())*('Input Data'!AA3:AA27&gt;0)*'Input Data'!F3:F27),0)</f>
        <v>2.54939270321053</v>
      </c>
      <c r="I9" s="121"/>
      <c r="J9" s="121" t="n">
        <f aca="true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2.54846741140424</v>
      </c>
      <c r="K9" s="121"/>
      <c r="L9" s="122" t="s">
        <v>207</v>
      </c>
      <c r="M9" s="122"/>
      <c r="N9" s="10"/>
    </row>
    <row r="10" customFormat="false" ht="18" hidden="false" customHeight="true" outlineLevel="0" collapsed="false">
      <c r="A10" s="10"/>
      <c r="B10" s="34"/>
      <c r="C10" s="34"/>
      <c r="D10" s="117"/>
      <c r="E10" s="117"/>
      <c r="F10" s="99"/>
      <c r="G10" s="99"/>
      <c r="H10" s="34"/>
      <c r="I10" s="34"/>
      <c r="J10" s="34"/>
      <c r="K10" s="34"/>
      <c r="L10" s="34"/>
      <c r="M10" s="34"/>
      <c r="N10" s="10"/>
    </row>
    <row r="11" customFormat="false" ht="7.5" hidden="false" customHeight="tru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customFormat="false" ht="19.5" hidden="false" customHeight="true" outlineLevel="0" collapsed="false">
      <c r="A12" s="10"/>
      <c r="B12" s="123" t="s">
        <v>208</v>
      </c>
      <c r="C12" s="123"/>
      <c r="D12" s="123"/>
      <c r="E12" s="123"/>
      <c r="F12" s="123"/>
      <c r="G12" s="123"/>
      <c r="H12" s="10"/>
      <c r="I12" s="10"/>
      <c r="J12" s="10"/>
      <c r="K12" s="10"/>
      <c r="L12" s="10"/>
      <c r="M12" s="10"/>
      <c r="N12" s="10"/>
    </row>
    <row r="13" customFormat="false" ht="15" hidden="false" customHeight="true" outlineLevel="0" collapsed="false">
      <c r="A13" s="10"/>
      <c r="B13" s="124" t="s">
        <v>209</v>
      </c>
      <c r="C13" s="10"/>
      <c r="D13" s="124" t="s">
        <v>210</v>
      </c>
      <c r="E13" s="124" t="s">
        <v>211</v>
      </c>
      <c r="F13" s="124"/>
      <c r="G13" s="124"/>
      <c r="H13" s="10"/>
      <c r="I13" s="10"/>
      <c r="J13" s="10"/>
      <c r="K13" s="10"/>
      <c r="L13" s="10"/>
      <c r="M13" s="10"/>
      <c r="N13" s="10"/>
    </row>
    <row r="14" customFormat="false" ht="18" hidden="false" customHeight="true" outlineLevel="0" collapsed="false">
      <c r="A14" s="10"/>
      <c r="B14" s="12" t="s">
        <v>212</v>
      </c>
      <c r="C14" s="12"/>
      <c r="D14" s="125" t="n">
        <f aca="true">IFERROR(SUMPRODUCT(('Input Data'!Z3:Z27&gt;TODAY())*('Input Data'!AA3:AA27&gt;0)*'Input Data'!F3:F27*('Input Data'!Z3:Z27-TODAY())/365.25)/SUMPRODUCT(('Input Data'!Z3:Z27&gt;TODAY())*('Input Data'!AA3:AA27&gt;0)*'Input Data'!F3:F27),0)</f>
        <v>2.54939270321053</v>
      </c>
      <c r="E14" s="31" t="s">
        <v>213</v>
      </c>
      <c r="F14" s="31"/>
      <c r="G14" s="31"/>
      <c r="H14" s="10"/>
      <c r="I14" s="10"/>
      <c r="J14" s="10"/>
      <c r="K14" s="10"/>
      <c r="L14" s="10"/>
      <c r="M14" s="10"/>
      <c r="N14" s="10"/>
    </row>
    <row r="15" customFormat="false" ht="18" hidden="false" customHeight="true" outlineLevel="0" collapsed="false">
      <c r="A15" s="10"/>
      <c r="B15" s="126" t="s">
        <v>214</v>
      </c>
      <c r="C15" s="126"/>
      <c r="D15" s="127" t="n">
        <f aca="true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2.54846741140424</v>
      </c>
      <c r="E15" s="128" t="s">
        <v>215</v>
      </c>
      <c r="F15" s="128"/>
      <c r="G15" s="128"/>
      <c r="H15" s="10"/>
      <c r="I15" s="10"/>
      <c r="J15" s="10"/>
      <c r="K15" s="10"/>
      <c r="L15" s="10"/>
      <c r="M15" s="10"/>
      <c r="N15" s="10"/>
    </row>
    <row r="16" customFormat="false" ht="14.2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Format="false" ht="19.5" hidden="false" customHeight="true" outlineLevel="0" collapsed="false">
      <c r="A17" s="10"/>
      <c r="B17" s="123" t="s">
        <v>216</v>
      </c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</row>
    <row r="18" customFormat="false" ht="19.5" hidden="false" customHeight="true" outlineLevel="0" collapsed="false">
      <c r="A18" s="10"/>
      <c r="B18" s="92" t="s">
        <v>217</v>
      </c>
      <c r="C18" s="92" t="s">
        <v>218</v>
      </c>
      <c r="D18" s="92" t="s">
        <v>219</v>
      </c>
      <c r="E18" s="92" t="s">
        <v>64</v>
      </c>
      <c r="F18" s="92" t="s">
        <v>220</v>
      </c>
      <c r="G18" s="92" t="s">
        <v>221</v>
      </c>
      <c r="H18" s="92" t="s">
        <v>222</v>
      </c>
      <c r="I18" s="92"/>
      <c r="J18" s="92"/>
      <c r="K18" s="92"/>
      <c r="L18" s="92"/>
      <c r="M18" s="92"/>
      <c r="N18" s="92"/>
    </row>
    <row r="19" customFormat="false" ht="18" hidden="false" customHeight="true" outlineLevel="0" collapsed="false">
      <c r="A19" s="10"/>
      <c r="B19" s="129" t="s">
        <v>223</v>
      </c>
      <c r="C19" s="130" t="n">
        <f aca="false">SUMPRODUCT(('Input Data'!Z3:Z27&lt;&gt;"")*('Input Data'!Z3:Z27&lt;=DATE(2026,12,31))*('Input Data'!AA3:AA27&gt;0)*'Input Data'!AA3:AA27*'Input Data'!F3:F27)</f>
        <v>180903.216</v>
      </c>
      <c r="D19" s="131" t="n">
        <f aca="true">IFERROR(C19/(SUMPRODUCT(('Input Data'!Z3:Z27&gt;TODAY())*('Input Data'!AA3:AA27&gt;0)*'Input Data'!AA3:AA27*'Input Data'!F3:F27)),0)</f>
        <v>0.0368723392210083</v>
      </c>
      <c r="E19" s="132" t="n">
        <f aca="false">SUMPRODUCT(('Input Data'!Z3:Z27&lt;&gt;"")*('Input Data'!Z3:Z27&lt;=DATE(2026,12,31))*('Input Data'!AA3:AA27&gt;0)*'Input Data'!F3:F27)</f>
        <v>160.5</v>
      </c>
      <c r="F19" s="131" t="n">
        <f aca="true">IFERROR(E19/(SUMPRODUCT(('Input Data'!Z3:Z27&gt;TODAY())*('Input Data'!AA3:AA27&gt;0)*'Input Data'!F3:F27)),0)</f>
        <v>0.0370781065908933</v>
      </c>
      <c r="G19" s="133" t="n">
        <f aca="false">SUMPRODUCT(('Input Data'!Z3:Z27&lt;&gt;"")*('Input Data'!Z3:Z27&lt;=DATE(2026,12,31))*('Input Data'!AA3:AA27&gt;0)*1)</f>
        <v>2</v>
      </c>
      <c r="H19" s="134" t="str">
        <f aca="false"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TJC#1 (104), Michael Flegg (1101)</v>
      </c>
      <c r="I19" s="134"/>
      <c r="J19" s="134"/>
      <c r="K19" s="134"/>
      <c r="L19" s="134"/>
      <c r="M19" s="134"/>
      <c r="N19" s="134"/>
    </row>
    <row r="20" customFormat="false" ht="18" hidden="false" customHeight="true" outlineLevel="0" collapsed="false">
      <c r="A20" s="10"/>
      <c r="B20" s="135" t="s">
        <v>224</v>
      </c>
      <c r="C20" s="136" t="n">
        <f aca="true">SUMPRODUCT(('Input Data'!Z3:Z27&gt;TODAY())*(YEAR('Input Data'!Z3:Z27)=2027)*('Input Data'!AA3:AA27&gt;0)*'Input Data'!AA3:AA27*'Input Data'!F3:F27)</f>
        <v>1187255.176</v>
      </c>
      <c r="D20" s="137" t="n">
        <f aca="true">IFERROR(C20/(SUMPRODUCT(('Input Data'!Z3:Z27&gt;TODAY())*('Input Data'!AA3:AA27&gt;0)*'Input Data'!AA3:AA27*'Input Data'!F3:F27)),0)</f>
        <v>0.24199058789187</v>
      </c>
      <c r="E20" s="138" t="n">
        <f aca="true">SUMPRODUCT(('Input Data'!Z3:Z27&gt;TODAY())*(YEAR('Input Data'!Z3:Z27)=2027)*('Input Data'!AA3:AA27&gt;0)*'Input Data'!F3:F27)</f>
        <v>976.9</v>
      </c>
      <c r="F20" s="137" t="n">
        <f aca="true">IFERROR(E20/(SUMPRODUCT(('Input Data'!Z3:Z27&gt;TODAY())*('Input Data'!AA3:AA27&gt;0)*'Input Data'!F3:F27)),0)</f>
        <v>0.2256797652875</v>
      </c>
      <c r="G20" s="139" t="n">
        <f aca="true">SUMPRODUCT(('Input Data'!Z3:Z27&gt;TODAY())*(YEAR('Input Data'!Z3:Z27)=2027)*('Input Data'!AA3:AA27&gt;0)*1)</f>
        <v>5</v>
      </c>
      <c r="H20" s="140" t="str">
        <f aca="true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140"/>
      <c r="J20" s="140"/>
      <c r="K20" s="140"/>
      <c r="L20" s="140"/>
      <c r="M20" s="140"/>
      <c r="N20" s="140"/>
    </row>
    <row r="21" customFormat="false" ht="29.25" hidden="false" customHeight="true" outlineLevel="0" collapsed="false">
      <c r="A21" s="10"/>
      <c r="B21" s="92" t="s">
        <v>225</v>
      </c>
      <c r="C21" s="130" t="n">
        <f aca="true">SUMPRODUCT(('Input Data'!Z3:Z27&gt;TODAY())*(YEAR('Input Data'!Z3:Z27)=2028)*('Input Data'!AA3:AA27&gt;0)*'Input Data'!AA3:AA27*'Input Data'!F3:F27)</f>
        <v>1233906.638</v>
      </c>
      <c r="D21" s="131" t="n">
        <f aca="true">IFERROR(C21/(SUMPRODUCT(('Input Data'!Z3:Z27&gt;TODAY())*('Input Data'!AA3:AA27&gt;0)*'Input Data'!AA3:AA27*'Input Data'!F3:F27)),0)</f>
        <v>0.251499255399583</v>
      </c>
      <c r="E21" s="132" t="n">
        <f aca="true">SUMPRODUCT(('Input Data'!Z3:Z27&gt;TODAY())*(YEAR('Input Data'!Z3:Z27)=2028)*('Input Data'!AA3:AA27&gt;0)*'Input Data'!F3:F27)</f>
        <v>1171.2</v>
      </c>
      <c r="F21" s="131" t="n">
        <f aca="true">IFERROR(E21/(SUMPRODUCT(('Input Data'!Z3:Z27&gt;TODAY())*('Input Data'!AA3:AA27&gt;0)*'Input Data'!F3:F27)),0)</f>
        <v>0.270566220805323</v>
      </c>
      <c r="G21" s="133" t="n">
        <f aca="true">SUMPRODUCT(('Input Data'!Z3:Z27&gt;TODAY())*(YEAR('Input Data'!Z3:Z27)=2028)*('Input Data'!AA3:AA27&gt;0)*1)</f>
        <v>7</v>
      </c>
      <c r="H21" s="134" t="str">
        <f aca="true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(802), Aitken Investment Mgmt (901), Lewis Woolcott (1102)</v>
      </c>
      <c r="I21" s="134"/>
      <c r="J21" s="134"/>
      <c r="K21" s="134"/>
      <c r="L21" s="134"/>
      <c r="M21" s="134"/>
      <c r="N21" s="134"/>
    </row>
    <row r="22" customFormat="false" ht="24" hidden="false" customHeight="true" outlineLevel="0" collapsed="false">
      <c r="A22" s="10"/>
      <c r="B22" s="135" t="s">
        <v>226</v>
      </c>
      <c r="C22" s="136" t="n">
        <f aca="true">SUMPRODUCT(('Input Data'!Z3:Z27&gt;TODAY())*(YEAR('Input Data'!Z3:Z27)=2029)*('Input Data'!AA3:AA27&gt;0)*'Input Data'!AA3:AA27*'Input Data'!F3:F27)</f>
        <v>1326540.045</v>
      </c>
      <c r="D22" s="137" t="n">
        <f aca="true">IFERROR(C22/(SUMPRODUCT(('Input Data'!Z3:Z27&gt;TODAY())*('Input Data'!AA3:AA27&gt;0)*'Input Data'!AA3:AA27*'Input Data'!F3:F27)),0)</f>
        <v>0.270380127070221</v>
      </c>
      <c r="E22" s="138" t="n">
        <f aca="true">SUMPRODUCT(('Input Data'!Z3:Z27&gt;TODAY())*(YEAR('Input Data'!Z3:Z27)=2029)*('Input Data'!AA3:AA27&gt;0)*'Input Data'!F3:F27)</f>
        <v>1196.8</v>
      </c>
      <c r="F22" s="137" t="n">
        <f aca="true">IFERROR(E22/(SUMPRODUCT(('Input Data'!Z3:Z27&gt;TODAY())*('Input Data'!AA3:AA27&gt;0)*'Input Data'!F3:F27)),0)</f>
        <v>0.27648023656063</v>
      </c>
      <c r="G22" s="139" t="n">
        <f aca="true">SUMPRODUCT(('Input Data'!Z3:Z27&gt;TODAY())*(YEAR('Input Data'!Z3:Z27)=2029)*('Input Data'!AA3:AA27&gt;0)*1)</f>
        <v>6</v>
      </c>
      <c r="H22" s="140" t="str">
        <f aca="true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Blitzem (TJC) (101&amp;2), B-W International (401), Gray Dawes Travel (402), Connectus Services (1001&amp;2), Inferni Systems (1103)</v>
      </c>
      <c r="I22" s="140"/>
      <c r="J22" s="140"/>
      <c r="K22" s="140"/>
      <c r="L22" s="140"/>
      <c r="M22" s="140"/>
      <c r="N22" s="140"/>
    </row>
    <row r="23" customFormat="false" ht="18" hidden="false" customHeight="true" outlineLevel="0" collapsed="false">
      <c r="A23" s="10"/>
      <c r="B23" s="141" t="s">
        <v>227</v>
      </c>
      <c r="C23" s="130" t="n">
        <f aca="true">SUMPRODUCT(('Input Data'!Z3:Z27&gt;TODAY())*(YEAR('Input Data'!Z3:Z27)=2030)*('Input Data'!AA3:AA27&gt;0)*'Input Data'!AA3:AA27*'Input Data'!F3:F27)</f>
        <v>634398.75</v>
      </c>
      <c r="D23" s="131" t="n">
        <f aca="true">IFERROR(C23/(SUMPRODUCT(('Input Data'!Z3:Z27&gt;TODAY())*('Input Data'!AA3:AA27&gt;0)*'Input Data'!AA3:AA27*'Input Data'!F3:F27)),0)</f>
        <v>0.129305417717857</v>
      </c>
      <c r="E23" s="132" t="n">
        <f aca="true">SUMPRODUCT(('Input Data'!Z3:Z27&gt;TODAY())*(YEAR('Input Data'!Z3:Z27)=2030)*('Input Data'!AA3:AA27&gt;0)*'Input Data'!F3:F27)</f>
        <v>525</v>
      </c>
      <c r="F23" s="131" t="n">
        <f aca="true">IFERROR(E23/(SUMPRODUCT(('Input Data'!Z3:Z27&gt;TODAY())*('Input Data'!AA3:AA27&gt;0)*'Input Data'!F3:F27)),0)</f>
        <v>0.121283526231894</v>
      </c>
      <c r="G23" s="133" t="n">
        <f aca="true">SUMPRODUCT(('Input Data'!Z3:Z27&gt;TODAY())*(YEAR('Input Data'!Z3:Z27)=2030)*('Input Data'!AA3:AA27&gt;0)*1)</f>
        <v>2</v>
      </c>
      <c r="H23" s="134" t="str">
        <f aca="true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Capital E Marketing (902&amp;3)</v>
      </c>
      <c r="I23" s="134"/>
      <c r="J23" s="134"/>
      <c r="K23" s="134"/>
      <c r="L23" s="134"/>
      <c r="M23" s="134"/>
      <c r="N23" s="134"/>
    </row>
    <row r="24" customFormat="false" ht="18" hidden="false" customHeight="true" outlineLevel="0" collapsed="false">
      <c r="A24" s="10"/>
      <c r="B24" s="135" t="s">
        <v>228</v>
      </c>
      <c r="C24" s="136" t="n">
        <f aca="true">SUMPRODUCT(('Input Data'!Z3:Z27&gt;TODAY())*(YEAR('Input Data'!Z3:Z27)&gt;=2031)*('Input Data'!AA3:AA27&gt;0)*'Input Data'!AA3:AA27*'Input Data'!F3:F27)</f>
        <v>343200.116</v>
      </c>
      <c r="D24" s="137" t="n">
        <f aca="true">IFERROR(C24/(SUMPRODUCT(('Input Data'!Z3:Z27&gt;TODAY())*('Input Data'!AA3:AA27&gt;0)*'Input Data'!AA3:AA27*'Input Data'!F3:F27)),0)</f>
        <v>0.0699522726994605</v>
      </c>
      <c r="E24" s="138" t="n">
        <f aca="true">SUMPRODUCT(('Input Data'!Z3:Z27&gt;TODAY())*(YEAR('Input Data'!Z3:Z27)&gt;=2031)*('Input Data'!AA3:AA27&gt;0)*'Input Data'!F3:F27)</f>
        <v>298.3</v>
      </c>
      <c r="F24" s="137" t="n">
        <f aca="true">IFERROR(E24/(SUMPRODUCT(('Input Data'!Z3:Z27&gt;TODAY())*('Input Data'!AA3:AA27&gt;0)*'Input Data'!F3:F27)),0)</f>
        <v>0.06891214452376</v>
      </c>
      <c r="G24" s="139" t="n">
        <f aca="true">SUMPRODUCT(('Input Data'!Z3:Z27&gt;TODAY())*(YEAR('Input Data'!Z3:Z27)&gt;=2031)*('Input Data'!AA3:AA27&gt;0)*1)</f>
        <v>1</v>
      </c>
      <c r="H24" s="140" t="str">
        <f aca="true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140"/>
      <c r="J24" s="140"/>
      <c r="K24" s="140"/>
      <c r="L24" s="140"/>
      <c r="M24" s="140"/>
      <c r="N24" s="140"/>
    </row>
    <row r="25" customFormat="false" ht="19.5" hidden="false" customHeight="true" outlineLevel="0" collapsed="false">
      <c r="A25" s="10"/>
      <c r="B25" s="92" t="s">
        <v>229</v>
      </c>
      <c r="C25" s="94" t="n">
        <f aca="true">SUMPRODUCT(('Input Data'!Z3:Z27&gt;TODAY())*('Input Data'!AA3:AA27&gt;0)*'Input Data'!AA3:AA27*'Input Data'!F3:F27)</f>
        <v>4906203.941</v>
      </c>
      <c r="D25" s="94" t="n">
        <f aca="false">SUM(C19:C24)</f>
        <v>4906203.941</v>
      </c>
      <c r="E25" s="93" t="n">
        <f aca="true">SUMPRODUCT(('Input Data'!Z3:Z27&gt;TODAY())*('Input Data'!AA3:AA27&gt;0)*'Input Data'!F3:F27)</f>
        <v>4328.7</v>
      </c>
      <c r="F25" s="93" t="n">
        <f aca="false">SUM(E19:E24)</f>
        <v>4328.7</v>
      </c>
      <c r="G25" s="142" t="n">
        <f aca="false">100%</f>
        <v>1</v>
      </c>
      <c r="H25" s="92" t="n">
        <v>23</v>
      </c>
      <c r="I25" s="143" t="n">
        <f aca="false">SUM(G19:G24)</f>
        <v>23</v>
      </c>
      <c r="J25" s="143"/>
      <c r="K25" s="143"/>
      <c r="L25" s="143"/>
      <c r="M25" s="143"/>
      <c r="N25" s="143"/>
    </row>
    <row r="26" customFormat="false" ht="14.2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customFormat="false" ht="19.5" hidden="false" customHeight="true" outlineLevel="0" collapsed="false">
      <c r="A27" s="10"/>
      <c r="B27" s="123" t="s">
        <v>230</v>
      </c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</row>
    <row r="28" customFormat="false" ht="19.5" hidden="false" customHeight="true" outlineLevel="0" collapsed="false">
      <c r="A28" s="10"/>
      <c r="B28" s="124" t="s">
        <v>231</v>
      </c>
      <c r="C28" s="124" t="s">
        <v>232</v>
      </c>
      <c r="D28" s="124"/>
      <c r="E28" s="124" t="s">
        <v>233</v>
      </c>
      <c r="F28" s="124" t="s">
        <v>234</v>
      </c>
      <c r="G28" s="124" t="s">
        <v>235</v>
      </c>
      <c r="H28" s="124" t="s">
        <v>236</v>
      </c>
      <c r="I28" s="124" t="s">
        <v>237</v>
      </c>
      <c r="J28" s="124" t="s">
        <v>238</v>
      </c>
      <c r="K28" s="124"/>
      <c r="L28" s="124"/>
      <c r="M28" s="124"/>
      <c r="N28" s="124"/>
    </row>
    <row r="29" customFormat="false" ht="15" hidden="false" customHeight="true" outlineLevel="0" collapsed="false">
      <c r="A29" s="10"/>
      <c r="B29" s="28" t="str">
        <f aca="false">'Input Data'!C3</f>
        <v>LWR GROUND</v>
      </c>
      <c r="C29" s="31" t="str">
        <f aca="false">'Input Data'!D3</f>
        <v>OPULENT TWO ENTERPRISES</v>
      </c>
      <c r="D29" s="31"/>
      <c r="E29" s="44" t="n">
        <f aca="false">'Input Data'!F3</f>
        <v>151.2</v>
      </c>
      <c r="F29" s="47" t="n">
        <f aca="false">'Input Data'!J3</f>
        <v>1002.01</v>
      </c>
      <c r="G29" s="47" t="n">
        <f aca="false">'Input Data'!S3</f>
        <v>930</v>
      </c>
      <c r="H29" s="47" t="n">
        <f aca="false">F29-G29</f>
        <v>72.01</v>
      </c>
      <c r="I29" s="48" t="n">
        <f aca="false">IFERROR((F29-G29)/G29,0)</f>
        <v>0.0774301075268817</v>
      </c>
      <c r="J29" s="31" t="str">
        <f aca="false">IF(I29&gt;0.05,"▲ Above Market",IF(I29&lt;-0.05,"▼ Below Market","≈ At Market"))</f>
        <v>▲ Above Market</v>
      </c>
      <c r="K29" s="31"/>
      <c r="L29" s="31"/>
      <c r="M29" s="31"/>
      <c r="N29" s="31"/>
    </row>
    <row r="30" customFormat="false" ht="15" hidden="false" customHeight="true" outlineLevel="0" collapsed="false">
      <c r="A30" s="10"/>
      <c r="B30" s="28" t="str">
        <f aca="false">'Input Data'!C4</f>
        <v>GROUND</v>
      </c>
      <c r="C30" s="31" t="str">
        <f aca="false">'Input Data'!D4</f>
        <v>RCVRI MARTIN PLACE PTY LTD</v>
      </c>
      <c r="D30" s="31"/>
      <c r="E30" s="44" t="n">
        <f aca="false">'Input Data'!F4</f>
        <v>298.3</v>
      </c>
      <c r="F30" s="47" t="n">
        <f aca="false">'Input Data'!J4</f>
        <v>1150.52</v>
      </c>
      <c r="G30" s="47" t="n">
        <f aca="false">'Input Data'!S4</f>
        <v>1100</v>
      </c>
      <c r="H30" s="47" t="n">
        <f aca="false">F30-G30</f>
        <v>50.52</v>
      </c>
      <c r="I30" s="48" t="n">
        <f aca="false">IFERROR((F30-G30)/G30,0)</f>
        <v>0.0459272727272727</v>
      </c>
      <c r="J30" s="31" t="str">
        <f aca="false">IF(I30&gt;0.05,"▲ Above Market",IF(I30&lt;-0.05,"▼ Below Market","≈ At Market"))</f>
        <v>≈ At Market</v>
      </c>
      <c r="K30" s="31"/>
      <c r="L30" s="31"/>
      <c r="M30" s="31"/>
      <c r="N30" s="31"/>
    </row>
    <row r="31" customFormat="false" ht="15" hidden="false" customHeight="true" outlineLevel="0" collapsed="false">
      <c r="A31" s="10"/>
      <c r="B31" s="78" t="str">
        <f aca="false">'Input Data'!C5</f>
        <v>101&amp;2</v>
      </c>
      <c r="C31" s="79" t="str">
        <f aca="false">'Input Data'!D5</f>
        <v>BLITZEM PTY LTD</v>
      </c>
      <c r="D31" s="79"/>
      <c r="E31" s="80" t="n">
        <f aca="false">'Input Data'!F5</f>
        <v>162.4</v>
      </c>
      <c r="F31" s="83" t="n">
        <f aca="false">'Input Data'!J5</f>
        <v>1012.37</v>
      </c>
      <c r="G31" s="83" t="n">
        <f aca="false">'Input Data'!S5</f>
        <v>1115</v>
      </c>
      <c r="H31" s="83" t="n">
        <f aca="false">F31-G31</f>
        <v>-102.63</v>
      </c>
      <c r="I31" s="84" t="n">
        <f aca="false">IFERROR((F31-G31)/G31,0)</f>
        <v>-0.0920448430493274</v>
      </c>
      <c r="J31" s="79" t="str">
        <f aca="false">IF(I31&gt;0.05,"▲ Above Market",IF(I31&lt;-0.05,"▼ Below Market","≈ At Market"))</f>
        <v>▼ Below Market</v>
      </c>
      <c r="K31" s="79"/>
      <c r="L31" s="79"/>
      <c r="M31" s="79"/>
      <c r="N31" s="79"/>
    </row>
    <row r="32" customFormat="false" ht="15" hidden="false" customHeight="true" outlineLevel="0" collapsed="false">
      <c r="A32" s="10"/>
      <c r="B32" s="144" t="str">
        <f aca="false">'Input Data'!C6</f>
        <v>103</v>
      </c>
      <c r="C32" s="145" t="str">
        <f aca="false">'Input Data'!D6</f>
        <v>PU PRIME TRADING PTY LTD</v>
      </c>
      <c r="D32" s="145"/>
      <c r="E32" s="146" t="n">
        <f aca="false">'Input Data'!F6</f>
        <v>96.3</v>
      </c>
      <c r="F32" s="147" t="n">
        <f aca="false">'Input Data'!J6</f>
        <v>1021.99</v>
      </c>
      <c r="G32" s="147" t="n">
        <f aca="false">'Input Data'!S6</f>
        <v>960</v>
      </c>
      <c r="H32" s="147" t="n">
        <f aca="false">F32-G32</f>
        <v>61.99</v>
      </c>
      <c r="I32" s="148" t="n">
        <f aca="false">IFERROR((F32-G32)/G32,0)</f>
        <v>0.0645729166666667</v>
      </c>
      <c r="J32" s="145" t="str">
        <f aca="false">IF(I32&gt;0.05,"▲ Above Market",IF(I32&lt;-0.05,"▼ Below Market","≈ At Market"))</f>
        <v>▲ Above Market</v>
      </c>
      <c r="K32" s="145"/>
      <c r="L32" s="145"/>
      <c r="M32" s="145"/>
      <c r="N32" s="145"/>
    </row>
    <row r="33" customFormat="false" ht="15" hidden="false" customHeight="true" outlineLevel="0" collapsed="false">
      <c r="A33" s="10"/>
      <c r="B33" s="78" t="str">
        <f aca="false">'Input Data'!C7</f>
        <v>104</v>
      </c>
      <c r="C33" s="79" t="str">
        <f aca="false">'Input Data'!D7</f>
        <v>TJC#1 PTY LTD</v>
      </c>
      <c r="D33" s="79"/>
      <c r="E33" s="80" t="n">
        <f aca="false">'Input Data'!F7</f>
        <v>98.1</v>
      </c>
      <c r="F33" s="83" t="n">
        <f aca="false">'Input Data'!J7</f>
        <v>973.44</v>
      </c>
      <c r="G33" s="83" t="n">
        <f aca="false">'Input Data'!S7</f>
        <v>960</v>
      </c>
      <c r="H33" s="83" t="n">
        <f aca="false">F33-G33</f>
        <v>13.4400000000001</v>
      </c>
      <c r="I33" s="84" t="n">
        <f aca="false">IFERROR((F33-G33)/G33,0)</f>
        <v>0.0140000000000001</v>
      </c>
      <c r="J33" s="79" t="str">
        <f aca="false">IF(I33&gt;0.05,"▲ Above Market",IF(I33&lt;-0.05,"▼ Below Market","≈ At Market"))</f>
        <v>≈ At Market</v>
      </c>
      <c r="K33" s="79"/>
      <c r="L33" s="79"/>
      <c r="M33" s="79"/>
      <c r="N33" s="79"/>
    </row>
    <row r="34" customFormat="false" ht="15" hidden="false" customHeight="true" outlineLevel="0" collapsed="false">
      <c r="A34" s="10"/>
      <c r="B34" s="144" t="str">
        <f aca="false">'Input Data'!C8</f>
        <v>WHOLE</v>
      </c>
      <c r="C34" s="145" t="str">
        <f aca="false">'Input Data'!D8</f>
        <v>PRINCETON FINANCIAL SERVICES</v>
      </c>
      <c r="D34" s="145"/>
      <c r="E34" s="146" t="n">
        <f aca="false">'Input Data'!F8</f>
        <v>393.2</v>
      </c>
      <c r="F34" s="147" t="n">
        <f aca="false">'Input Data'!J8</f>
        <v>1081.6</v>
      </c>
      <c r="G34" s="147" t="n">
        <f aca="false">'Input Data'!S8</f>
        <v>1095</v>
      </c>
      <c r="H34" s="147" t="n">
        <f aca="false">F34-G34</f>
        <v>-13.4000000000001</v>
      </c>
      <c r="I34" s="148" t="n">
        <f aca="false">IFERROR((F34-G34)/G34,0)</f>
        <v>-0.0122374429223745</v>
      </c>
      <c r="J34" s="145" t="str">
        <f aca="false">IF(I34&gt;0.05,"▲ Above Market",IF(I34&lt;-0.05,"▼ Below Market","≈ At Market"))</f>
        <v>≈ At Market</v>
      </c>
      <c r="K34" s="145"/>
      <c r="L34" s="145"/>
      <c r="M34" s="145"/>
      <c r="N34" s="145"/>
    </row>
    <row r="35" customFormat="false" ht="15" hidden="false" customHeight="true" outlineLevel="0" collapsed="false">
      <c r="A35" s="10"/>
      <c r="B35" s="63" t="str">
        <f aca="false">'Input Data'!C9</f>
        <v>301&amp;2</v>
      </c>
      <c r="C35" s="37" t="str">
        <f aca="false">'Input Data'!D9</f>
        <v>IPM RESIDENTIAL PTY LTD</v>
      </c>
      <c r="D35" s="37"/>
      <c r="E35" s="65" t="n">
        <f aca="false">'Input Data'!F9</f>
        <v>164.2</v>
      </c>
      <c r="F35" s="67" t="n">
        <f aca="false">'Input Data'!J9</f>
        <v>1216.58</v>
      </c>
      <c r="G35" s="67" t="n">
        <f aca="false">'Input Data'!S9</f>
        <v>1135</v>
      </c>
      <c r="H35" s="67" t="n">
        <f aca="false">F35-G35</f>
        <v>81.5799999999999</v>
      </c>
      <c r="I35" s="68" t="n">
        <f aca="false">IFERROR((F35-G35)/G35,0)</f>
        <v>0.0718766519823788</v>
      </c>
      <c r="J35" s="37" t="str">
        <f aca="false">IF(I35&gt;0.05,"▲ Above Market",IF(I35&lt;-0.05,"▼ Below Market","≈ At Market"))</f>
        <v>▲ Above Market</v>
      </c>
      <c r="K35" s="37"/>
      <c r="L35" s="37"/>
      <c r="M35" s="37"/>
      <c r="N35" s="37"/>
    </row>
    <row r="36" customFormat="false" ht="15" hidden="false" customHeight="true" outlineLevel="0" collapsed="false">
      <c r="A36" s="10"/>
      <c r="B36" s="144" t="str">
        <f aca="false">'Input Data'!C10</f>
        <v>303&amp;4</v>
      </c>
      <c r="C36" s="145" t="str">
        <f aca="false">'Input Data'!D10</f>
        <v>BROADRIDGE (AUSTRALIA) PTY LTD</v>
      </c>
      <c r="D36" s="145"/>
      <c r="E36" s="146" t="n">
        <f aca="false">'Input Data'!F10</f>
        <v>193.4</v>
      </c>
      <c r="F36" s="147" t="n">
        <f aca="false">'Input Data'!J10</f>
        <v>933.75</v>
      </c>
      <c r="G36" s="147" t="n">
        <f aca="false">'Input Data'!S10</f>
        <v>920</v>
      </c>
      <c r="H36" s="147" t="n">
        <f aca="false">F36-G36</f>
        <v>13.75</v>
      </c>
      <c r="I36" s="148" t="n">
        <f aca="false">IFERROR((F36-G36)/G36,0)</f>
        <v>0.014945652173913</v>
      </c>
      <c r="J36" s="145" t="str">
        <f aca="false">IF(I36&gt;0.05,"▲ Above Market",IF(I36&lt;-0.05,"▼ Below Market","≈ At Market"))</f>
        <v>≈ At Market</v>
      </c>
      <c r="K36" s="145"/>
      <c r="L36" s="145"/>
      <c r="M36" s="145"/>
      <c r="N36" s="145"/>
    </row>
    <row r="37" customFormat="false" ht="15" hidden="false" customHeight="true" outlineLevel="0" collapsed="false">
      <c r="A37" s="10"/>
      <c r="B37" s="28" t="str">
        <f aca="false">'Input Data'!C11</f>
        <v>401</v>
      </c>
      <c r="C37" s="31" t="str">
        <f aca="false">'Input Data'!D11</f>
        <v>B-W INTERNATIONAL AUSTRALIA PTY LTD</v>
      </c>
      <c r="D37" s="31"/>
      <c r="E37" s="44" t="n">
        <f aca="false">'Input Data'!F11</f>
        <v>214.1</v>
      </c>
      <c r="F37" s="47" t="n">
        <f aca="false">'Input Data'!J11</f>
        <v>1135.61</v>
      </c>
      <c r="G37" s="47" t="n">
        <f aca="false">'Input Data'!S11</f>
        <v>1145</v>
      </c>
      <c r="H37" s="47" t="n">
        <f aca="false">F37-G37</f>
        <v>-9.3900000000001</v>
      </c>
      <c r="I37" s="48" t="n">
        <f aca="false">IFERROR((F37-G37)/G37,0)</f>
        <v>-0.0082008733624455</v>
      </c>
      <c r="J37" s="31" t="str">
        <f aca="false">IF(I37&gt;0.05,"▲ Above Market",IF(I37&lt;-0.05,"▼ Below Market","≈ At Market"))</f>
        <v>≈ At Market</v>
      </c>
      <c r="K37" s="31"/>
      <c r="L37" s="31"/>
      <c r="M37" s="31"/>
      <c r="N37" s="31"/>
    </row>
    <row r="38" customFormat="false" ht="15" hidden="false" customHeight="true" outlineLevel="0" collapsed="false">
      <c r="A38" s="10"/>
      <c r="B38" s="28" t="str">
        <f aca="false">'Input Data'!C12</f>
        <v>402</v>
      </c>
      <c r="C38" s="31" t="str">
        <f aca="false">'Input Data'!D12</f>
        <v>MP TRAVEL PTY LTD</v>
      </c>
      <c r="D38" s="31"/>
      <c r="E38" s="44" t="n">
        <f aca="false">'Input Data'!F12</f>
        <v>145.6</v>
      </c>
      <c r="F38" s="47" t="n">
        <f aca="false">'Input Data'!J12</f>
        <v>1037.5</v>
      </c>
      <c r="G38" s="47" t="n">
        <f aca="false">'Input Data'!S12</f>
        <v>1000</v>
      </c>
      <c r="H38" s="47" t="n">
        <f aca="false">F38-G38</f>
        <v>37.5</v>
      </c>
      <c r="I38" s="48" t="n">
        <f aca="false">IFERROR((F38-G38)/G38,0)</f>
        <v>0.0375</v>
      </c>
      <c r="J38" s="31" t="str">
        <f aca="false">IF(I38&gt;0.05,"▲ Above Market",IF(I38&lt;-0.05,"▼ Below Market","≈ At Market"))</f>
        <v>≈ At Market</v>
      </c>
      <c r="K38" s="31"/>
      <c r="L38" s="31"/>
      <c r="M38" s="31"/>
      <c r="N38" s="31"/>
    </row>
    <row r="39" customFormat="false" ht="15" hidden="false" customHeight="true" outlineLevel="0" collapsed="false">
      <c r="A39" s="10"/>
      <c r="B39" s="63" t="str">
        <f aca="false">'Input Data'!C13</f>
        <v>501</v>
      </c>
      <c r="C39" s="37" t="str">
        <f aca="false">'Input Data'!D13</f>
        <v>MONTGOMERY INVESTMENT</v>
      </c>
      <c r="D39" s="37"/>
      <c r="E39" s="65" t="n">
        <f aca="false">'Input Data'!F13</f>
        <v>212.3</v>
      </c>
      <c r="F39" s="67" t="n">
        <f aca="false">'Input Data'!J13</f>
        <v>1341.24</v>
      </c>
      <c r="G39" s="67" t="n">
        <f aca="false">'Input Data'!S13</f>
        <v>1155</v>
      </c>
      <c r="H39" s="67" t="n">
        <f aca="false">F39-G39</f>
        <v>186.24</v>
      </c>
      <c r="I39" s="68" t="n">
        <f aca="false">IFERROR((F39-G39)/G39,0)</f>
        <v>0.161246753246753</v>
      </c>
      <c r="J39" s="37" t="str">
        <f aca="false">IF(I39&gt;0.05,"▲ Above Market",IF(I39&lt;-0.05,"▼ Below Market","≈ At Market"))</f>
        <v>▲ Above Market</v>
      </c>
      <c r="K39" s="37"/>
      <c r="L39" s="37"/>
      <c r="M39" s="37"/>
      <c r="N39" s="37"/>
    </row>
    <row r="40" customFormat="false" ht="15" hidden="false" customHeight="true" outlineLevel="0" collapsed="false">
      <c r="A40" s="10"/>
      <c r="B40" s="63" t="str">
        <f aca="false">'Input Data'!C14</f>
        <v>502</v>
      </c>
      <c r="C40" s="37" t="str">
        <f aca="false">'Input Data'!D14</f>
        <v>THREAT DEFENCE</v>
      </c>
      <c r="D40" s="37"/>
      <c r="E40" s="65" t="n">
        <f aca="false">'Input Data'!F14</f>
        <v>163.8</v>
      </c>
      <c r="F40" s="67" t="n">
        <f aca="false">'Input Data'!J14</f>
        <v>1054.88</v>
      </c>
      <c r="G40" s="67" t="n">
        <f aca="false">'Input Data'!S14</f>
        <v>1020</v>
      </c>
      <c r="H40" s="67" t="n">
        <f aca="false">F40-G40</f>
        <v>34.8800000000001</v>
      </c>
      <c r="I40" s="68" t="n">
        <f aca="false">IFERROR((F40-G40)/G40,0)</f>
        <v>0.0341960784313727</v>
      </c>
      <c r="J40" s="37" t="str">
        <f aca="false">IF(I40&gt;0.05,"▲ Above Market",IF(I40&lt;-0.05,"▼ Below Market","≈ At Market"))</f>
        <v>≈ At Market</v>
      </c>
      <c r="K40" s="37"/>
      <c r="L40" s="37"/>
      <c r="M40" s="37"/>
      <c r="N40" s="37"/>
    </row>
    <row r="41" customFormat="false" ht="15" hidden="false" customHeight="true" outlineLevel="0" collapsed="false">
      <c r="A41" s="10"/>
      <c r="B41" s="63" t="str">
        <f aca="false">'Input Data'!C15</f>
        <v>601</v>
      </c>
      <c r="C41" s="37" t="str">
        <f aca="false">'Input Data'!D15</f>
        <v>FULLCRM PTY LTD</v>
      </c>
      <c r="D41" s="37"/>
      <c r="E41" s="65" t="n">
        <f aca="false">'Input Data'!F15</f>
        <v>226.1</v>
      </c>
      <c r="F41" s="67" t="n">
        <f aca="false">'Input Data'!J15</f>
        <v>1251.34</v>
      </c>
      <c r="G41" s="67" t="n">
        <f aca="false">'Input Data'!S15</f>
        <v>1165</v>
      </c>
      <c r="H41" s="67" t="n">
        <f aca="false">F41-G41</f>
        <v>86.3399999999999</v>
      </c>
      <c r="I41" s="68" t="n">
        <f aca="false">IFERROR((F41-G41)/G41,0)</f>
        <v>0.0741115879828325</v>
      </c>
      <c r="J41" s="37" t="str">
        <f aca="false">IF(I41&gt;0.05,"▲ Above Market",IF(I41&lt;-0.05,"▼ Below Market","≈ At Market"))</f>
        <v>▲ Above Market</v>
      </c>
      <c r="K41" s="37"/>
      <c r="L41" s="37"/>
      <c r="M41" s="37"/>
      <c r="N41" s="37"/>
    </row>
    <row r="42" customFormat="false" ht="15" hidden="false" customHeight="true" outlineLevel="0" collapsed="false">
      <c r="A42" s="10"/>
      <c r="B42" s="78" t="str">
        <f aca="false">'Input Data'!C16</f>
        <v>602</v>
      </c>
      <c r="C42" s="79" t="str">
        <f aca="false">'Input Data'!D16</f>
        <v>VACANT</v>
      </c>
      <c r="D42" s="79"/>
      <c r="E42" s="80" t="n">
        <f aca="false">'Input Data'!F16</f>
        <v>152.1</v>
      </c>
      <c r="F42" s="83" t="n">
        <f aca="false">'Input Data'!J16</f>
        <v>0</v>
      </c>
      <c r="G42" s="83" t="n">
        <f aca="false">'Input Data'!S16</f>
        <v>1030</v>
      </c>
      <c r="H42" s="83" t="n">
        <f aca="false">F42-G42</f>
        <v>-1030</v>
      </c>
      <c r="I42" s="84" t="n">
        <f aca="false">IFERROR((F42-G42)/G42,0)</f>
        <v>-1</v>
      </c>
      <c r="J42" s="79" t="str">
        <f aca="false">IF(I42&gt;0.05,"▲ Above Market",IF(I42&lt;-0.05,"▼ Below Market","≈ At Market"))</f>
        <v>▼ Below Market</v>
      </c>
      <c r="K42" s="79"/>
      <c r="L42" s="79"/>
      <c r="M42" s="79"/>
      <c r="N42" s="79"/>
    </row>
    <row r="43" customFormat="false" ht="15" hidden="false" customHeight="true" outlineLevel="0" collapsed="false">
      <c r="A43" s="10"/>
      <c r="B43" s="63" t="str">
        <f aca="false">'Input Data'!C17</f>
        <v>701</v>
      </c>
      <c r="C43" s="37" t="str">
        <f aca="false">'Input Data'!D17</f>
        <v>PINPOINT TALENT PTY LTD</v>
      </c>
      <c r="D43" s="37"/>
      <c r="E43" s="65" t="n">
        <f aca="false">'Input Data'!F17</f>
        <v>210.5</v>
      </c>
      <c r="F43" s="67" t="n">
        <f aca="false">'Input Data'!J17</f>
        <v>1173.54</v>
      </c>
      <c r="G43" s="67" t="n">
        <f aca="false">'Input Data'!S17</f>
        <v>1175</v>
      </c>
      <c r="H43" s="67" t="n">
        <f aca="false">F43-G43</f>
        <v>-1.46000000000004</v>
      </c>
      <c r="I43" s="68" t="n">
        <f aca="false">IFERROR((F43-G43)/G43,0)</f>
        <v>-0.00124255319148939</v>
      </c>
      <c r="J43" s="37" t="str">
        <f aca="false">IF(I43&gt;0.05,"▲ Above Market",IF(I43&lt;-0.05,"▼ Below Market","≈ At Market"))</f>
        <v>≈ At Market</v>
      </c>
      <c r="K43" s="37"/>
      <c r="L43" s="37"/>
      <c r="M43" s="37"/>
      <c r="N43" s="37"/>
    </row>
    <row r="44" customFormat="false" ht="15" hidden="false" customHeight="true" outlineLevel="0" collapsed="false">
      <c r="A44" s="10"/>
      <c r="B44" s="144" t="str">
        <f aca="false">'Input Data'!C18</f>
        <v>702</v>
      </c>
      <c r="C44" s="145" t="str">
        <f aca="false">'Input Data'!D18</f>
        <v>SATELLITE OFFICE PTY LTD</v>
      </c>
      <c r="D44" s="145"/>
      <c r="E44" s="146" t="n">
        <f aca="false">'Input Data'!F18</f>
        <v>163.9</v>
      </c>
      <c r="F44" s="147" t="n">
        <f aca="false">'Input Data'!J18</f>
        <v>1054.88</v>
      </c>
      <c r="G44" s="147" t="n">
        <f aca="false">'Input Data'!S18</f>
        <v>1040</v>
      </c>
      <c r="H44" s="147" t="n">
        <f aca="false">F44-G44</f>
        <v>14.8800000000001</v>
      </c>
      <c r="I44" s="148" t="n">
        <f aca="false">IFERROR((F44-G44)/G44,0)</f>
        <v>0.0143076923076924</v>
      </c>
      <c r="J44" s="145" t="str">
        <f aca="false">IF(I44&gt;0.05,"▲ Above Market",IF(I44&lt;-0.05,"▼ Below Market","≈ At Market"))</f>
        <v>≈ At Market</v>
      </c>
      <c r="K44" s="145"/>
      <c r="L44" s="145"/>
      <c r="M44" s="145"/>
      <c r="N44" s="145"/>
    </row>
    <row r="45" customFormat="false" ht="15" hidden="false" customHeight="true" outlineLevel="0" collapsed="false">
      <c r="A45" s="10"/>
      <c r="B45" s="28" t="str">
        <f aca="false">'Input Data'!C19</f>
        <v>801</v>
      </c>
      <c r="C45" s="31" t="str">
        <f aca="false">'Input Data'!D19</f>
        <v>ARKANCE AUSTRALIA PTY LTD</v>
      </c>
      <c r="D45" s="31"/>
      <c r="E45" s="44" t="n">
        <f aca="false">'Input Data'!F19</f>
        <v>222</v>
      </c>
      <c r="F45" s="47" t="n">
        <f aca="false">'Input Data'!J19</f>
        <v>1300</v>
      </c>
      <c r="G45" s="47" t="n">
        <f aca="false">'Input Data'!S19</f>
        <v>1300</v>
      </c>
      <c r="H45" s="47" t="n">
        <f aca="false">F45-G45</f>
        <v>0</v>
      </c>
      <c r="I45" s="48" t="n">
        <f aca="false">IFERROR((F45-G45)/G45,0)</f>
        <v>0</v>
      </c>
      <c r="J45" s="31" t="str">
        <f aca="false">IF(I45&gt;0.05,"▲ Above Market",IF(I45&lt;-0.05,"▼ Below Market","≈ At Market"))</f>
        <v>≈ At Market</v>
      </c>
      <c r="K45" s="31"/>
      <c r="L45" s="31"/>
      <c r="M45" s="31"/>
      <c r="N45" s="31"/>
    </row>
    <row r="46" customFormat="false" ht="15" hidden="false" customHeight="true" outlineLevel="0" collapsed="false">
      <c r="A46" s="10"/>
      <c r="B46" s="144" t="str">
        <f aca="false">'Input Data'!C20</f>
        <v>802</v>
      </c>
      <c r="C46" s="145" t="str">
        <f aca="false">'Input Data'!D20</f>
        <v>HILLIARD &amp; BERRY</v>
      </c>
      <c r="D46" s="145"/>
      <c r="E46" s="146" t="n">
        <f aca="false">'Input Data'!F20</f>
        <v>138.5</v>
      </c>
      <c r="F46" s="147" t="n">
        <f aca="false">'Input Data'!J20</f>
        <v>843.65</v>
      </c>
      <c r="G46" s="147" t="n">
        <f aca="false">'Input Data'!S20</f>
        <v>1030</v>
      </c>
      <c r="H46" s="147" t="n">
        <f aca="false">F46-G46</f>
        <v>-186.35</v>
      </c>
      <c r="I46" s="148" t="n">
        <f aca="false">IFERROR((F46-G46)/G46,0)</f>
        <v>-0.180922330097087</v>
      </c>
      <c r="J46" s="145" t="str">
        <f aca="false">IF(I46&gt;0.05,"▲ Above Market",IF(I46&lt;-0.05,"▼ Below Market","≈ At Market"))</f>
        <v>▼ Below Market</v>
      </c>
      <c r="K46" s="145"/>
      <c r="L46" s="145"/>
      <c r="M46" s="145"/>
      <c r="N46" s="145"/>
    </row>
    <row r="47" customFormat="false" ht="15" hidden="false" customHeight="true" outlineLevel="0" collapsed="false">
      <c r="A47" s="10"/>
      <c r="B47" s="78" t="str">
        <f aca="false">'Input Data'!C21</f>
        <v>901</v>
      </c>
      <c r="C47" s="79" t="str">
        <f aca="false">'Input Data'!D21</f>
        <v>AITKEN INVESTMENT MANAGEMENT PTY LTD</v>
      </c>
      <c r="D47" s="79"/>
      <c r="E47" s="80" t="n">
        <f aca="false">'Input Data'!F21</f>
        <v>52.8</v>
      </c>
      <c r="F47" s="83" t="n">
        <f aca="false">'Input Data'!J21</f>
        <v>1338.88</v>
      </c>
      <c r="G47" s="83" t="n">
        <f aca="false">'Input Data'!S21</f>
        <v>1350</v>
      </c>
      <c r="H47" s="83" t="n">
        <f aca="false">F47-G47</f>
        <v>-11.1199999999999</v>
      </c>
      <c r="I47" s="84" t="n">
        <f aca="false">IFERROR((F47-G47)/G47,0)</f>
        <v>-0.00823703703703696</v>
      </c>
      <c r="J47" s="79" t="str">
        <f aca="false">IF(I47&gt;0.05,"▲ Above Market",IF(I47&lt;-0.05,"▼ Below Market","≈ At Market"))</f>
        <v>≈ At Market</v>
      </c>
      <c r="K47" s="79"/>
      <c r="L47" s="79"/>
      <c r="M47" s="79"/>
      <c r="N47" s="79"/>
    </row>
    <row r="48" customFormat="false" ht="15" hidden="false" customHeight="true" outlineLevel="0" collapsed="false">
      <c r="A48" s="10"/>
      <c r="B48" s="28" t="str">
        <f aca="false">'Input Data'!C22</f>
        <v>902&amp;3</v>
      </c>
      <c r="C48" s="31" t="str">
        <f aca="false">'Input Data'!D22</f>
        <v>CAPITAL E MARKETING AND EVENTS PTY LTD</v>
      </c>
      <c r="D48" s="31"/>
      <c r="E48" s="44" t="n">
        <f aca="false">'Input Data'!F22</f>
        <v>303</v>
      </c>
      <c r="F48" s="47" t="n">
        <f aca="false">'Input Data'!J22</f>
        <v>1141.25</v>
      </c>
      <c r="G48" s="47" t="n">
        <f aca="false">'Input Data'!S22</f>
        <v>1125</v>
      </c>
      <c r="H48" s="47" t="n">
        <f aca="false">F48-G48</f>
        <v>16.25</v>
      </c>
      <c r="I48" s="48" t="n">
        <f aca="false">IFERROR((F48-G48)/G48,0)</f>
        <v>0.0144444444444444</v>
      </c>
      <c r="J48" s="31" t="str">
        <f aca="false">IF(I48&gt;0.05,"▲ Above Market",IF(I48&lt;-0.05,"▼ Below Market","≈ At Market"))</f>
        <v>≈ At Market</v>
      </c>
      <c r="K48" s="31"/>
      <c r="L48" s="31"/>
      <c r="M48" s="31"/>
      <c r="N48" s="31"/>
    </row>
    <row r="49" customFormat="false" ht="15" hidden="false" customHeight="true" outlineLevel="0" collapsed="false">
      <c r="A49" s="10"/>
      <c r="B49" s="28" t="str">
        <f aca="false">'Input Data'!C23</f>
        <v>1001&amp;2</v>
      </c>
      <c r="C49" s="31" t="str">
        <f aca="false">'Input Data'!D23</f>
        <v>CONNECTUS SERVICES PTY LTD</v>
      </c>
      <c r="D49" s="31"/>
      <c r="E49" s="44" t="n">
        <f aca="false">'Input Data'!F23</f>
        <v>363.2</v>
      </c>
      <c r="F49" s="47" t="n">
        <f aca="false">'Input Data'!J23</f>
        <v>1189.67</v>
      </c>
      <c r="G49" s="47" t="n">
        <f aca="false">'Input Data'!S23</f>
        <v>1200</v>
      </c>
      <c r="H49" s="47" t="n">
        <f aca="false">F49-G49</f>
        <v>-10.3299999999999</v>
      </c>
      <c r="I49" s="48" t="n">
        <f aca="false">IFERROR((F49-G49)/G49,0)</f>
        <v>-0.00860833333333327</v>
      </c>
      <c r="J49" s="31" t="str">
        <f aca="false">IF(I49&gt;0.05,"▲ Above Market",IF(I49&lt;-0.05,"▼ Below Market","≈ At Market"))</f>
        <v>≈ At Market</v>
      </c>
      <c r="K49" s="31"/>
      <c r="L49" s="31"/>
      <c r="M49" s="31"/>
      <c r="N49" s="31"/>
    </row>
    <row r="50" customFormat="false" ht="15" hidden="false" customHeight="true" outlineLevel="0" collapsed="false">
      <c r="A50" s="10"/>
      <c r="B50" s="78" t="str">
        <f aca="false">'Input Data'!C24</f>
        <v>1101</v>
      </c>
      <c r="C50" s="79" t="str">
        <f aca="false">'Input Data'!D24</f>
        <v>MICHAEL FLEGG PTY LTD</v>
      </c>
      <c r="D50" s="79"/>
      <c r="E50" s="80" t="n">
        <f aca="false">'Input Data'!F24</f>
        <v>62.4</v>
      </c>
      <c r="F50" s="83" t="n">
        <f aca="false">'Input Data'!J24</f>
        <v>1368.73</v>
      </c>
      <c r="G50" s="83" t="n">
        <f aca="false">'Input Data'!S24</f>
        <v>1405</v>
      </c>
      <c r="H50" s="83" t="n">
        <f aca="false">F50-G50</f>
        <v>-36.27</v>
      </c>
      <c r="I50" s="84" t="n">
        <f aca="false">IFERROR((F50-G50)/G50,0)</f>
        <v>-0.0258149466192171</v>
      </c>
      <c r="J50" s="79" t="str">
        <f aca="false">IF(I50&gt;0.05,"▲ Above Market",IF(I50&lt;-0.05,"▼ Below Market","≈ At Market"))</f>
        <v>≈ At Market</v>
      </c>
      <c r="K50" s="79"/>
      <c r="L50" s="79"/>
      <c r="M50" s="79"/>
      <c r="N50" s="79"/>
    </row>
    <row r="51" customFormat="false" ht="15" hidden="false" customHeight="true" outlineLevel="0" collapsed="false">
      <c r="A51" s="10"/>
      <c r="B51" s="78" t="str">
        <f aca="false">'Input Data'!C25</f>
        <v>1102</v>
      </c>
      <c r="C51" s="79" t="str">
        <f aca="false">'Input Data'!D25</f>
        <v>LEWIS WOOLCOTT</v>
      </c>
      <c r="D51" s="79"/>
      <c r="E51" s="80" t="n">
        <f aca="false">'Input Data'!F25</f>
        <v>133.1</v>
      </c>
      <c r="F51" s="83" t="n">
        <f aca="false">'Input Data'!J25</f>
        <v>1271.1</v>
      </c>
      <c r="G51" s="83" t="n">
        <f aca="false">'Input Data'!S25</f>
        <v>1250</v>
      </c>
      <c r="H51" s="83" t="n">
        <f aca="false">F51-G51</f>
        <v>21.0999999999999</v>
      </c>
      <c r="I51" s="84" t="n">
        <f aca="false">IFERROR((F51-G51)/G51,0)</f>
        <v>0.0168799999999999</v>
      </c>
      <c r="J51" s="79" t="str">
        <f aca="false">IF(I51&gt;0.05,"▲ Above Market",IF(I51&lt;-0.05,"▼ Below Market","≈ At Market"))</f>
        <v>≈ At Market</v>
      </c>
      <c r="K51" s="79"/>
      <c r="L51" s="79"/>
      <c r="M51" s="79"/>
      <c r="N51" s="79"/>
    </row>
    <row r="52" customFormat="false" ht="15" hidden="false" customHeight="true" outlineLevel="0" collapsed="false">
      <c r="A52" s="10"/>
      <c r="B52" s="124" t="s">
        <v>239</v>
      </c>
      <c r="C52" s="124"/>
      <c r="D52" s="124"/>
      <c r="E52" s="124"/>
      <c r="F52" s="94" t="n">
        <f aca="false">IFERROR(SUMPRODUCT(('Input Data'!K3:K27&gt;0)*'Input Data'!J3:J27)/SUMPRODUCT(('Input Data'!K3:K27&gt;0)*1),0)</f>
        <v>1132.37086956522</v>
      </c>
      <c r="G52" s="94" t="n">
        <f aca="false">IFERROR(SUMPRODUCT(('Input Data'!K3:K27&gt;0)*'Input Data'!S3:S27)/SUMPRODUCT(('Input Data'!K3:K27&gt;0)*1),0)</f>
        <v>1114.5652173913</v>
      </c>
      <c r="H52" s="94" t="n">
        <f aca="false">F52-G52</f>
        <v>17.8056521739131</v>
      </c>
      <c r="I52" s="142" t="n">
        <f aca="false">IFERROR(H52/G52,0)</f>
        <v>0.0159754242246929</v>
      </c>
      <c r="J52" s="10"/>
      <c r="K52" s="10"/>
      <c r="L52" s="10"/>
      <c r="M52" s="10"/>
      <c r="N52" s="10"/>
    </row>
    <row r="53" customFormat="false" ht="7.5" hidden="false" customHeight="tru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customFormat="false" ht="3.75" hidden="false" customHeight="true" outlineLevel="0" collapsed="false">
      <c r="A54" s="149"/>
      <c r="B54" s="150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</row>
    <row r="55" customFormat="false" ht="3.75" hidden="false" customHeight="true" outlineLevel="0" collapsed="false">
      <c r="A55" s="151"/>
      <c r="B55" s="152"/>
      <c r="C55" s="152"/>
      <c r="D55" s="151"/>
      <c r="E55" s="151"/>
      <c r="F55" s="152"/>
      <c r="G55" s="152"/>
      <c r="H55" s="152"/>
      <c r="I55" s="152"/>
      <c r="J55" s="151"/>
      <c r="K55" s="152"/>
      <c r="L55" s="152"/>
      <c r="M55" s="152"/>
      <c r="N55" s="151"/>
    </row>
    <row r="56" customFormat="false" ht="3.75" hidden="false" customHeight="true" outlineLevel="0" collapsed="false">
      <c r="A56" s="149"/>
      <c r="B56" s="62"/>
      <c r="C56" s="153"/>
      <c r="D56" s="149"/>
      <c r="E56" s="149"/>
      <c r="F56" s="62"/>
      <c r="G56" s="62"/>
      <c r="H56" s="154"/>
      <c r="I56" s="155"/>
      <c r="J56" s="149"/>
      <c r="K56" s="156"/>
      <c r="L56" s="157"/>
      <c r="M56" s="62"/>
      <c r="N56" s="149"/>
    </row>
    <row r="57" customFormat="false" ht="3.75" hidden="false" customHeight="true" outlineLevel="0" collapsed="false">
      <c r="A57" s="151"/>
      <c r="B57" s="158"/>
      <c r="C57" s="159"/>
      <c r="D57" s="151"/>
      <c r="E57" s="151"/>
      <c r="F57" s="158"/>
      <c r="G57" s="158"/>
      <c r="H57" s="160"/>
      <c r="I57" s="161"/>
      <c r="J57" s="151"/>
      <c r="K57" s="162"/>
      <c r="L57" s="163"/>
      <c r="M57" s="158"/>
      <c r="N57" s="151"/>
    </row>
    <row r="58" customFormat="false" ht="3.75" hidden="false" customHeight="true" outlineLevel="0" collapsed="false">
      <c r="A58" s="149"/>
      <c r="B58" s="62"/>
      <c r="C58" s="153"/>
      <c r="D58" s="149"/>
      <c r="E58" s="149"/>
      <c r="F58" s="62"/>
      <c r="G58" s="62"/>
      <c r="H58" s="154"/>
      <c r="I58" s="155"/>
      <c r="J58" s="149"/>
      <c r="K58" s="156"/>
      <c r="L58" s="157"/>
      <c r="M58" s="62"/>
      <c r="N58" s="149"/>
    </row>
    <row r="59" customFormat="false" ht="3.75" hidden="false" customHeight="true" outlineLevel="0" collapsed="false">
      <c r="A59" s="151"/>
      <c r="B59" s="159"/>
      <c r="C59" s="151"/>
      <c r="D59" s="151"/>
      <c r="E59" s="151"/>
      <c r="F59" s="151"/>
      <c r="G59" s="151"/>
      <c r="H59" s="151"/>
      <c r="I59" s="161"/>
      <c r="J59" s="151"/>
      <c r="K59" s="162"/>
      <c r="L59" s="151"/>
      <c r="M59" s="151"/>
      <c r="N59" s="151"/>
    </row>
    <row r="60" customFormat="false" ht="7.5" hidden="false" customHeight="true" outlineLevel="0" collapsed="false">
      <c r="A60" s="149"/>
      <c r="B60" s="153"/>
      <c r="C60" s="149"/>
      <c r="D60" s="149"/>
      <c r="E60" s="153"/>
      <c r="F60" s="149"/>
      <c r="G60" s="149"/>
      <c r="H60" s="149"/>
      <c r="I60" s="149"/>
      <c r="J60" s="149"/>
      <c r="K60" s="149"/>
      <c r="L60" s="149"/>
      <c r="M60" s="149"/>
      <c r="N60" s="149"/>
    </row>
    <row r="61" customFormat="false" ht="7.5" hidden="false" customHeight="true" outlineLevel="0" collapsed="false">
      <c r="A61" s="151"/>
      <c r="B61" s="159"/>
      <c r="C61" s="151"/>
      <c r="D61" s="151"/>
      <c r="E61" s="159"/>
      <c r="F61" s="151"/>
      <c r="G61" s="151"/>
      <c r="H61" s="151"/>
      <c r="I61" s="151"/>
      <c r="J61" s="151"/>
      <c r="K61" s="151"/>
      <c r="L61" s="151"/>
      <c r="M61" s="151"/>
      <c r="N61" s="151"/>
    </row>
    <row r="62" customFormat="false" ht="7.5" hidden="false" customHeight="true" outlineLevel="0" collapsed="false">
      <c r="A62" s="149"/>
      <c r="B62" s="153"/>
      <c r="C62" s="149"/>
      <c r="D62" s="149"/>
      <c r="E62" s="153"/>
      <c r="F62" s="149"/>
      <c r="G62" s="149"/>
      <c r="H62" s="149"/>
      <c r="I62" s="149"/>
      <c r="J62" s="149"/>
      <c r="K62" s="149"/>
      <c r="L62" s="149"/>
      <c r="M62" s="149"/>
      <c r="N62" s="149"/>
    </row>
    <row r="63" customFormat="false" ht="7.5" hidden="false" customHeight="true" outlineLevel="0" collapsed="false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</row>
    <row r="64" customFormat="false" ht="14.2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customFormat="false" ht="19.5" hidden="false" customHeight="true" outlineLevel="0" collapsed="false">
      <c r="A65" s="10"/>
      <c r="B65" s="11" t="s">
        <v>240</v>
      </c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0"/>
    </row>
    <row r="66" customFormat="false" ht="24" hidden="false" customHeight="true" outlineLevel="0" collapsed="false">
      <c r="A66" s="10"/>
      <c r="B66" s="41" t="s">
        <v>231</v>
      </c>
      <c r="C66" s="41" t="s">
        <v>232</v>
      </c>
      <c r="D66" s="41"/>
      <c r="E66" s="41" t="s">
        <v>241</v>
      </c>
      <c r="F66" s="41" t="s">
        <v>242</v>
      </c>
      <c r="G66" s="41" t="s">
        <v>243</v>
      </c>
      <c r="H66" s="41" t="s">
        <v>244</v>
      </c>
      <c r="I66" s="41"/>
      <c r="J66" s="41"/>
      <c r="K66" s="41"/>
      <c r="L66" s="41"/>
      <c r="M66" s="41"/>
      <c r="N66" s="41"/>
    </row>
    <row r="67" customFormat="false" ht="18" hidden="false" customHeight="true" outlineLevel="0" collapsed="false">
      <c r="A67" s="10"/>
      <c r="B67" s="63" t="s">
        <v>245</v>
      </c>
      <c r="C67" s="63"/>
      <c r="D67" s="63" t="s">
        <v>246</v>
      </c>
      <c r="E67" s="164" t="n">
        <v>46142</v>
      </c>
      <c r="F67" s="165" t="n">
        <f aca="true">IFERROR(INT(E67-TODAY()),"")</f>
        <v>-60</v>
      </c>
      <c r="G67" s="166" t="n">
        <f aca="true">IFERROR(INT(E67-TODAY()),"")</f>
        <v>-60</v>
      </c>
      <c r="H67" s="37" t="s">
        <v>247</v>
      </c>
      <c r="I67" s="37"/>
      <c r="J67" s="37"/>
      <c r="K67" s="37"/>
      <c r="L67" s="37"/>
      <c r="M67" s="37"/>
      <c r="N67" s="37"/>
    </row>
    <row r="68" customFormat="false" ht="18" hidden="false" customHeight="true" outlineLevel="0" collapsed="false">
      <c r="A68" s="10"/>
      <c r="B68" s="63" t="s">
        <v>248</v>
      </c>
      <c r="C68" s="63"/>
      <c r="D68" s="63" t="s">
        <v>66</v>
      </c>
      <c r="E68" s="164" t="n">
        <v>46203</v>
      </c>
      <c r="F68" s="165" t="n">
        <f aca="true">IFERROR(INT(E68-TODAY()),"")</f>
        <v>1</v>
      </c>
      <c r="G68" s="167" t="n">
        <f aca="true">IFERROR(INT(E68-TODAY()),"")</f>
        <v>1</v>
      </c>
      <c r="H68" s="37" t="s">
        <v>249</v>
      </c>
      <c r="I68" s="37"/>
      <c r="J68" s="37"/>
      <c r="K68" s="37"/>
      <c r="L68" s="37"/>
      <c r="M68" s="37"/>
      <c r="N68" s="37"/>
    </row>
    <row r="69" customFormat="false" ht="18" hidden="false" customHeight="true" outlineLevel="0" collapsed="false">
      <c r="A69" s="10"/>
      <c r="B69" s="28" t="s">
        <v>250</v>
      </c>
      <c r="C69" s="28"/>
      <c r="D69" s="28" t="s">
        <v>66</v>
      </c>
      <c r="E69" s="168" t="n">
        <v>46234</v>
      </c>
      <c r="F69" s="169" t="n">
        <f aca="true">IFERROR(INT(E69-TODAY()),"")</f>
        <v>32</v>
      </c>
      <c r="G69" s="166" t="n">
        <f aca="true">IFERROR(INT(E69-TODAY()),"")</f>
        <v>32</v>
      </c>
      <c r="H69" s="31" t="s">
        <v>251</v>
      </c>
      <c r="I69" s="31"/>
      <c r="J69" s="31"/>
      <c r="K69" s="31"/>
      <c r="L69" s="31"/>
      <c r="M69" s="31"/>
      <c r="N69" s="31"/>
    </row>
    <row r="70" customFormat="false" ht="18" hidden="false" customHeight="true" outlineLevel="0" collapsed="false">
      <c r="A70" s="10"/>
      <c r="B70" s="53" t="s">
        <v>252</v>
      </c>
      <c r="C70" s="53"/>
      <c r="D70" s="53" t="s">
        <v>66</v>
      </c>
      <c r="E70" s="170" t="n">
        <v>46248</v>
      </c>
      <c r="F70" s="171" t="n">
        <f aca="true">IFERROR(INT(E70-TODAY()),"")</f>
        <v>46</v>
      </c>
      <c r="G70" s="167" t="n">
        <f aca="true">IFERROR(INT(E70-TODAY()),"")</f>
        <v>46</v>
      </c>
      <c r="H70" s="55" t="s">
        <v>253</v>
      </c>
      <c r="I70" s="55"/>
      <c r="J70" s="55"/>
      <c r="K70" s="55"/>
      <c r="L70" s="55"/>
      <c r="M70" s="55"/>
      <c r="N70" s="55"/>
    </row>
    <row r="71" customFormat="false" ht="18" hidden="false" customHeight="true" outlineLevel="0" collapsed="false">
      <c r="A71" s="10"/>
      <c r="B71" s="28" t="s">
        <v>254</v>
      </c>
      <c r="C71" s="28"/>
      <c r="D71" s="28" t="s">
        <v>66</v>
      </c>
      <c r="E71" s="168" t="n">
        <v>46356</v>
      </c>
      <c r="F71" s="169" t="n">
        <f aca="true">IFERROR(INT(E71-TODAY()),"")</f>
        <v>154</v>
      </c>
      <c r="G71" s="166" t="n">
        <f aca="true">IFERROR(INT(E71-TODAY()),"")</f>
        <v>154</v>
      </c>
      <c r="H71" s="31" t="s">
        <v>255</v>
      </c>
      <c r="I71" s="31"/>
      <c r="J71" s="31"/>
      <c r="K71" s="31"/>
      <c r="L71" s="31"/>
      <c r="M71" s="31"/>
      <c r="N71" s="31"/>
    </row>
    <row r="72" customFormat="false" ht="18" hidden="false" customHeight="true" outlineLevel="0" collapsed="false">
      <c r="A72" s="10"/>
      <c r="B72" s="53" t="s">
        <v>256</v>
      </c>
      <c r="C72" s="53"/>
      <c r="D72" s="53" t="s">
        <v>257</v>
      </c>
      <c r="E72" s="172" t="n">
        <v>46327</v>
      </c>
      <c r="F72" s="171" t="n">
        <f aca="true">IFERROR(INT(E72-TODAY()),"")</f>
        <v>125</v>
      </c>
      <c r="G72" s="167" t="n">
        <f aca="true">IFERROR(INT(E72-TODAY()),"")</f>
        <v>125</v>
      </c>
      <c r="H72" s="55" t="s">
        <v>258</v>
      </c>
      <c r="I72" s="55"/>
      <c r="J72" s="55"/>
      <c r="K72" s="55"/>
      <c r="L72" s="55"/>
      <c r="M72" s="55"/>
      <c r="N72" s="55"/>
    </row>
    <row r="73" customFormat="false" ht="18" hidden="false" customHeight="true" outlineLevel="0" collapsed="false">
      <c r="A73" s="10"/>
      <c r="B73" s="28" t="s">
        <v>259</v>
      </c>
      <c r="C73" s="28"/>
      <c r="D73" s="28" t="s">
        <v>257</v>
      </c>
      <c r="E73" s="168" t="n">
        <v>46241</v>
      </c>
      <c r="F73" s="169" t="n">
        <f aca="true">IFERROR(INT(E73-TODAY()),"")</f>
        <v>39</v>
      </c>
      <c r="G73" s="166" t="n">
        <f aca="true">IFERROR(INT(E73-TODAY()),"")</f>
        <v>39</v>
      </c>
      <c r="H73" s="31" t="s">
        <v>260</v>
      </c>
      <c r="I73" s="31"/>
      <c r="J73" s="31"/>
      <c r="K73" s="31"/>
      <c r="L73" s="31"/>
      <c r="M73" s="31"/>
      <c r="N73" s="31"/>
    </row>
    <row r="74" customFormat="false" ht="18" hidden="false" customHeight="true" outlineLevel="0" collapsed="false">
      <c r="A74" s="10"/>
      <c r="B74" s="63" t="s">
        <v>261</v>
      </c>
      <c r="C74" s="63"/>
      <c r="D74" s="63" t="s">
        <v>257</v>
      </c>
      <c r="E74" s="164" t="n">
        <v>46174</v>
      </c>
      <c r="F74" s="165" t="n">
        <f aca="true">IFERROR(INT(E74-TODAY()),"")</f>
        <v>-28</v>
      </c>
      <c r="G74" s="167" t="n">
        <f aca="true">IFERROR(INT(E74-TODAY()),"")</f>
        <v>-28</v>
      </c>
      <c r="H74" s="37" t="s">
        <v>262</v>
      </c>
      <c r="I74" s="37"/>
      <c r="J74" s="37"/>
      <c r="K74" s="37"/>
      <c r="L74" s="37"/>
      <c r="M74" s="37"/>
      <c r="N74" s="37"/>
    </row>
    <row r="75" customFormat="false" ht="18" hidden="false" customHeight="true" outlineLevel="0" collapsed="false">
      <c r="A75" s="10"/>
      <c r="B75" s="63" t="s">
        <v>263</v>
      </c>
      <c r="C75" s="63"/>
      <c r="D75" s="63" t="s">
        <v>257</v>
      </c>
      <c r="E75" s="164" t="n">
        <v>46174</v>
      </c>
      <c r="F75" s="165" t="n">
        <f aca="true">IFERROR(INT(E75-TODAY()),"")</f>
        <v>-28</v>
      </c>
      <c r="G75" s="166" t="n">
        <f aca="true">IFERROR(INT(E75-TODAY()),"")</f>
        <v>-28</v>
      </c>
      <c r="H75" s="37" t="s">
        <v>262</v>
      </c>
      <c r="I75" s="37"/>
      <c r="J75" s="37"/>
      <c r="K75" s="37"/>
      <c r="L75" s="37"/>
      <c r="M75" s="37"/>
      <c r="N75" s="37"/>
    </row>
    <row r="76" customFormat="false" ht="18" hidden="false" customHeight="true" outlineLevel="0" collapsed="false">
      <c r="A76" s="10"/>
      <c r="B76" s="63" t="s">
        <v>264</v>
      </c>
      <c r="C76" s="63"/>
      <c r="D76" s="63" t="s">
        <v>257</v>
      </c>
      <c r="E76" s="164" t="n">
        <v>46188</v>
      </c>
      <c r="F76" s="165" t="n">
        <f aca="true">IFERROR(INT(E76-TODAY()),"")</f>
        <v>-14</v>
      </c>
      <c r="G76" s="167" t="n">
        <f aca="true">IFERROR(INT(E76-TODAY()),"")</f>
        <v>-14</v>
      </c>
      <c r="H76" s="37" t="s">
        <v>265</v>
      </c>
      <c r="I76" s="37"/>
      <c r="J76" s="37"/>
      <c r="K76" s="37"/>
      <c r="L76" s="37"/>
      <c r="M76" s="37"/>
      <c r="N76" s="37"/>
    </row>
    <row r="77" customFormat="false" ht="18" hidden="false" customHeight="true" outlineLevel="0" collapsed="false">
      <c r="A77" s="10"/>
      <c r="B77" s="28" t="s">
        <v>266</v>
      </c>
      <c r="C77" s="28"/>
      <c r="D77" s="28" t="s">
        <v>257</v>
      </c>
      <c r="E77" s="168" t="n">
        <v>46408</v>
      </c>
      <c r="F77" s="169" t="n">
        <f aca="true">IFERROR(INT(E77-TODAY()),"")</f>
        <v>206</v>
      </c>
      <c r="G77" s="166" t="n">
        <f aca="true">IFERROR(INT(E77-TODAY()),"")</f>
        <v>206</v>
      </c>
      <c r="H77" s="31" t="s">
        <v>267</v>
      </c>
      <c r="I77" s="31"/>
      <c r="J77" s="31"/>
      <c r="K77" s="31"/>
      <c r="L77" s="31"/>
      <c r="M77" s="31"/>
      <c r="N77" s="31"/>
    </row>
    <row r="78" customFormat="false" ht="18" hidden="false" customHeight="true" outlineLevel="0" collapsed="false">
      <c r="A78" s="10"/>
      <c r="B78" s="63" t="s">
        <v>245</v>
      </c>
      <c r="C78" s="63"/>
      <c r="D78" s="63" t="s">
        <v>268</v>
      </c>
      <c r="E78" s="164" t="n">
        <v>46143</v>
      </c>
      <c r="F78" s="165" t="n">
        <f aca="true">IFERROR(INT(E78-TODAY()),"")</f>
        <v>-59</v>
      </c>
      <c r="G78" s="167" t="n">
        <f aca="true">IFERROR(INT(E78-TODAY()),"")</f>
        <v>-59</v>
      </c>
      <c r="H78" s="37" t="s">
        <v>269</v>
      </c>
      <c r="I78" s="37"/>
      <c r="J78" s="37"/>
      <c r="K78" s="37"/>
      <c r="L78" s="37"/>
      <c r="M78" s="37"/>
      <c r="N78" s="37"/>
    </row>
    <row r="79" customFormat="false" ht="14.2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customFormat="false" ht="14.2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customFormat="false" ht="19.5" hidden="false" customHeight="true" outlineLevel="0" collapsed="false">
      <c r="A81" s="10"/>
      <c r="B81" s="11" t="s">
        <v>270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0"/>
    </row>
    <row r="82" customFormat="false" ht="24" hidden="false" customHeight="true" outlineLevel="0" collapsed="false">
      <c r="A82" s="10"/>
      <c r="B82" s="41" t="s">
        <v>60</v>
      </c>
      <c r="C82" s="41" t="s">
        <v>271</v>
      </c>
      <c r="D82" s="41"/>
      <c r="E82" s="41" t="s">
        <v>64</v>
      </c>
      <c r="F82" s="41" t="s">
        <v>272</v>
      </c>
      <c r="G82" s="41" t="s">
        <v>72</v>
      </c>
      <c r="H82" s="41" t="s">
        <v>273</v>
      </c>
      <c r="I82" s="41" t="s">
        <v>217</v>
      </c>
      <c r="J82" s="10"/>
      <c r="K82" s="10"/>
      <c r="L82" s="10"/>
      <c r="M82" s="10"/>
      <c r="N82" s="10"/>
    </row>
    <row r="83" customFormat="false" ht="16.5" hidden="false" customHeight="true" outlineLevel="0" collapsed="false">
      <c r="A83" s="10"/>
      <c r="B83" s="173" t="s">
        <v>178</v>
      </c>
      <c r="C83" s="134" t="str">
        <f aca="true">IFERROR(MID(IF(('Input Data'!Z26&gt;TODAY())*('Input Data'!AA26&gt;0),", "&amp;'Input Data'!AB26&amp;" ("&amp;'Input Data'!C26&amp;")",""),3,999),"—")</f>
        <v/>
      </c>
      <c r="D83" s="134"/>
      <c r="E83" s="44" t="n">
        <f aca="false">SUMIF('Input Data'!B3:B27,"L12",'Input Data'!F3:F27)</f>
        <v>223.7</v>
      </c>
      <c r="F83" s="47" t="n">
        <f aca="false">IFERROR(SUMIF('Input Data'!B3:B27,"L12",'Input Data'!N3:N27)/SUMIF('Input Data'!B3:B27,"L12",'Input Data'!F3:F27),0)</f>
        <v>0</v>
      </c>
      <c r="G83" s="47" t="n">
        <f aca="false">SUMIF('Input Data'!B3:B27,"L12",'Input Data'!N3:N27)</f>
        <v>0</v>
      </c>
      <c r="H83" s="48" t="n">
        <f aca="false">IFERROR(SUMIF('Input Data'!B3:B27,"L12",'Input Data'!N3:N27)/(SUMIF('Input Data'!N3:N27,"&gt;0",'Input Data'!N3:N27)),0)</f>
        <v>0</v>
      </c>
      <c r="I83" s="28" t="str">
        <f aca="false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10"/>
      <c r="K83" s="10"/>
      <c r="L83" s="10"/>
      <c r="M83" s="10"/>
      <c r="N83" s="10"/>
    </row>
    <row r="84" customFormat="false" ht="27.75" hidden="false" customHeight="true" outlineLevel="0" collapsed="false">
      <c r="A84" s="10"/>
      <c r="B84" s="174" t="s">
        <v>170</v>
      </c>
      <c r="C84" s="140" t="str">
        <f aca="true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Lewis Woolcott (1102), Inferni Systems (1103)</v>
      </c>
      <c r="D84" s="140"/>
      <c r="E84" s="56" t="n">
        <f aca="false">SUMIF('Input Data'!B3:B27,"L11",'Input Data'!F3:F27)</f>
        <v>355.8</v>
      </c>
      <c r="F84" s="59" t="n">
        <f aca="false">IFERROR(SUMIF('Input Data'!B3:B27,"L11",'Input Data'!N3:N27)/SUMIF('Input Data'!B3:B27,"L11",'Input Data'!F3:F27),0)</f>
        <v>992.638145025295</v>
      </c>
      <c r="G84" s="59" t="n">
        <f aca="false">SUMIF('Input Data'!B3:B27,"L11",'Input Data'!N3:N27)</f>
        <v>353180.652</v>
      </c>
      <c r="H84" s="60" t="n">
        <f aca="false">IFERROR(SUMIF('Input Data'!B3:B27,"L11",'Input Data'!N3:N27)/(SUMIF('Input Data'!N3:N27,"&gt;0",'Input Data'!N3:N27)),0)</f>
        <v>0.0869447692098233</v>
      </c>
      <c r="I84" s="53" t="str">
        <f aca="false" t="array" ref="I84:I84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—</v>
      </c>
      <c r="J84" s="10"/>
      <c r="K84" s="10"/>
      <c r="L84" s="10"/>
      <c r="M84" s="10"/>
      <c r="N84" s="10"/>
    </row>
    <row r="85" customFormat="false" ht="27.75" hidden="false" customHeight="true" outlineLevel="0" collapsed="false">
      <c r="A85" s="10"/>
      <c r="B85" s="173" t="s">
        <v>165</v>
      </c>
      <c r="C85" s="134" t="str">
        <f aca="true">IFERROR(MID(IF(('Input Data'!Z23&gt;TODAY())*('Input Data'!AA23&gt;0),", "&amp;'Input Data'!AB23&amp;" ("&amp;'Input Data'!C23&amp;")",""),3,999),"—")</f>
        <v>Connectus Services (1001&amp;2)</v>
      </c>
      <c r="D85" s="134"/>
      <c r="E85" s="44" t="n">
        <f aca="false">SUMIF('Input Data'!B3:B27,"L10",'Input Data'!F3:F27)</f>
        <v>363.2</v>
      </c>
      <c r="F85" s="47" t="n">
        <f aca="false">IFERROR(SUMIF('Input Data'!B3:B27,"L10",'Input Data'!N3:N27)/SUMIF('Input Data'!B3:B27,"L10",'Input Data'!F3:F27),0)</f>
        <v>874.31218061674</v>
      </c>
      <c r="G85" s="47" t="n">
        <f aca="false">SUMIF('Input Data'!B3:B27,"L10",'Input Data'!N3:N27)</f>
        <v>317550.184</v>
      </c>
      <c r="H85" s="48" t="n">
        <f aca="false">IFERROR(SUMIF('Input Data'!B3:B27,"L10",'Input Data'!N3:N27)/(SUMIF('Input Data'!N3:N27,"&gt;0",'Input Data'!N3:N27)),0)</f>
        <v>0.0781733860676404</v>
      </c>
      <c r="I85" s="28" t="str">
        <f aca="true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10"/>
      <c r="K85" s="10"/>
      <c r="L85" s="10"/>
      <c r="M85" s="10"/>
      <c r="N85" s="10"/>
    </row>
    <row r="86" customFormat="false" ht="27.75" hidden="false" customHeight="true" outlineLevel="0" collapsed="false">
      <c r="A86" s="10"/>
      <c r="B86" s="174" t="s">
        <v>158</v>
      </c>
      <c r="C86" s="140" t="str">
        <f aca="true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140"/>
      <c r="E86" s="56" t="n">
        <f aca="false">SUMIF('Input Data'!B3:B27,"L09",'Input Data'!F3:F27)</f>
        <v>355.8</v>
      </c>
      <c r="F86" s="59" t="n">
        <f aca="false">IFERROR(SUMIF('Input Data'!B3:B27,"L09",'Input Data'!N3:N27)/SUMIF('Input Data'!B3:B27,"L09",'Input Data'!F3:F27),0)</f>
        <v>870.212293423271</v>
      </c>
      <c r="G86" s="59" t="n">
        <f aca="false">SUMIF('Input Data'!B3:B27,"L09",'Input Data'!N3:N27)</f>
        <v>309621.534</v>
      </c>
      <c r="H86" s="60" t="n">
        <f aca="false">IFERROR(SUMIF('Input Data'!B3:B27,"L09",'Input Data'!N3:N27)/(SUMIF('Input Data'!N3:N27,"&gt;0",'Input Data'!N3:N27)),0)</f>
        <v>0.0762215389307948</v>
      </c>
      <c r="I86" s="53" t="str">
        <f aca="true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2028</v>
      </c>
      <c r="J86" s="10"/>
      <c r="K86" s="10"/>
      <c r="L86" s="10"/>
      <c r="M86" s="10"/>
      <c r="N86" s="10"/>
    </row>
    <row r="87" customFormat="false" ht="27.75" hidden="false" customHeight="true" outlineLevel="0" collapsed="false">
      <c r="A87" s="10"/>
      <c r="B87" s="173" t="s">
        <v>151</v>
      </c>
      <c r="C87" s="134" t="str">
        <f aca="true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134"/>
      <c r="E87" s="44" t="n">
        <f aca="false">SUMIF('Input Data'!B3:B27,"L08",'Input Data'!F3:F27)</f>
        <v>360.5</v>
      </c>
      <c r="F87" s="47" t="n">
        <f aca="false">IFERROR(SUMIF('Input Data'!B3:B27,"L08",'Input Data'!N3:N27)/SUMIF('Input Data'!B3:B27,"L08",'Input Data'!F3:F27),0)</f>
        <v>996.586754507628</v>
      </c>
      <c r="G87" s="47" t="n">
        <f aca="false">SUMIF('Input Data'!B3:B27,"L08",'Input Data'!N3:N27)</f>
        <v>359269.525</v>
      </c>
      <c r="H87" s="48" t="n">
        <f aca="false">IFERROR(SUMIF('Input Data'!B3:B27,"L08",'Input Data'!N3:N27)/(SUMIF('Input Data'!N3:N27,"&gt;0",'Input Data'!N3:N27)),0)</f>
        <v>0.0884437065234476</v>
      </c>
      <c r="I87" s="28" t="str">
        <f aca="false" t="array" ref="I87:I87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—</v>
      </c>
      <c r="J87" s="10"/>
      <c r="K87" s="10"/>
      <c r="L87" s="10"/>
      <c r="M87" s="10"/>
      <c r="N87" s="10"/>
    </row>
    <row r="88" customFormat="false" ht="27.75" hidden="false" customHeight="true" outlineLevel="0" collapsed="false">
      <c r="A88" s="10"/>
      <c r="B88" s="174" t="s">
        <v>144</v>
      </c>
      <c r="C88" s="140" t="str">
        <f aca="true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140"/>
      <c r="E88" s="56" t="n">
        <f aca="false">SUMIF('Input Data'!B3:B27,"L07",'Input Data'!F3:F27)</f>
        <v>374.4</v>
      </c>
      <c r="F88" s="59" t="n">
        <f aca="false">IFERROR(SUMIF('Input Data'!B3:B27,"L07",'Input Data'!N3:N27)/SUMIF('Input Data'!B3:B27,"L07",'Input Data'!F3:F27),0)</f>
        <v>831.051607905983</v>
      </c>
      <c r="G88" s="59" t="n">
        <f aca="false">SUMIF('Input Data'!B3:B27,"L07",'Input Data'!N3:N27)</f>
        <v>311145.722</v>
      </c>
      <c r="H88" s="60" t="n">
        <f aca="false">IFERROR(SUMIF('Input Data'!B3:B27,"L07",'Input Data'!N3:N27)/(SUMIF('Input Data'!N3:N27,"&gt;0",'Input Data'!N3:N27)),0)</f>
        <v>0.0765967581653195</v>
      </c>
      <c r="I88" s="53" t="str">
        <f aca="false" t="array" ref="I88:I88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—</v>
      </c>
      <c r="J88" s="10"/>
      <c r="K88" s="10"/>
      <c r="L88" s="10"/>
      <c r="M88" s="10"/>
      <c r="N88" s="10"/>
    </row>
    <row r="89" customFormat="false" ht="27.75" hidden="false" customHeight="true" outlineLevel="0" collapsed="false">
      <c r="A89" s="10"/>
      <c r="B89" s="173" t="s">
        <v>138</v>
      </c>
      <c r="C89" s="134" t="str">
        <f aca="true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134"/>
      <c r="E89" s="44" t="n">
        <f aca="false">SUMIF('Input Data'!B3:B27,"L06",'Input Data'!F3:F27)</f>
        <v>378.2</v>
      </c>
      <c r="F89" s="47" t="n">
        <f aca="false">IFERROR(SUMIF('Input Data'!B3:B27,"L06",'Input Data'!N3:N27)/SUMIF('Input Data'!B3:B27,"L06",'Input Data'!F3:F27),0)</f>
        <v>664.155298783712</v>
      </c>
      <c r="G89" s="47" t="n">
        <f aca="false">SUMIF('Input Data'!B3:B27,"L06",'Input Data'!N3:N27)</f>
        <v>251183.534</v>
      </c>
      <c r="H89" s="48" t="n">
        <f aca="false">IFERROR(SUMIF('Input Data'!B3:B27,"L06",'Input Data'!N3:N27)/(SUMIF('Input Data'!N3:N27,"&gt;0",'Input Data'!N3:N27)),0)</f>
        <v>0.0618354778758883</v>
      </c>
      <c r="I89" s="28" t="str">
        <f aca="false" t="array" ref="I89:I89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—</v>
      </c>
      <c r="J89" s="10"/>
      <c r="K89" s="10"/>
      <c r="L89" s="10"/>
      <c r="M89" s="10"/>
      <c r="N89" s="10"/>
    </row>
    <row r="90" customFormat="false" ht="27.75" hidden="false" customHeight="true" outlineLevel="0" collapsed="false">
      <c r="A90" s="10"/>
      <c r="B90" s="174" t="s">
        <v>131</v>
      </c>
      <c r="C90" s="140" t="str">
        <f aca="true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140"/>
      <c r="E90" s="56" t="n">
        <f aca="false">SUMIF('Input Data'!B3:B27,"L05",'Input Data'!F3:F27)</f>
        <v>376.1</v>
      </c>
      <c r="F90" s="59" t="n">
        <f aca="false">IFERROR(SUMIF('Input Data'!B3:B27,"L05",'Input Data'!N3:N27)/SUMIF('Input Data'!B3:B27,"L05",'Input Data'!F3:F27),0)</f>
        <v>974.306290880085</v>
      </c>
      <c r="G90" s="59" t="n">
        <f aca="false">SUMIF('Input Data'!B3:B27,"L05",'Input Data'!N3:N27)</f>
        <v>366436.596</v>
      </c>
      <c r="H90" s="60" t="n">
        <f aca="false">IFERROR(SUMIF('Input Data'!B3:B27,"L05",'Input Data'!N3:N27)/(SUMIF('Input Data'!N3:N27,"&gt;0",'Input Data'!N3:N27)),0)</f>
        <v>0.0902080708239173</v>
      </c>
      <c r="I90" s="53" t="str">
        <f aca="false" t="array" ref="I90:I90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—</v>
      </c>
      <c r="J90" s="10"/>
      <c r="K90" s="10"/>
      <c r="L90" s="10"/>
      <c r="M90" s="10"/>
      <c r="N90" s="10"/>
    </row>
    <row r="91" customFormat="false" ht="27.75" hidden="false" customHeight="true" outlineLevel="0" collapsed="false">
      <c r="A91" s="10"/>
      <c r="B91" s="173" t="s">
        <v>124</v>
      </c>
      <c r="C91" s="134" t="str">
        <f aca="true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134"/>
      <c r="E91" s="44" t="n">
        <f aca="false">SUMIF('Input Data'!B3:B27,"L04",'Input Data'!F3:F27)</f>
        <v>359.7</v>
      </c>
      <c r="F91" s="47" t="n">
        <f aca="false">IFERROR(SUMIF('Input Data'!B3:B27,"L04",'Input Data'!N3:N27)/SUMIF('Input Data'!B3:B27,"L04",'Input Data'!F3:F27),0)</f>
        <v>896.064667778704</v>
      </c>
      <c r="G91" s="47" t="n">
        <f aca="false">SUMIF('Input Data'!B3:B27,"L04",'Input Data'!N3:N27)</f>
        <v>322314.461</v>
      </c>
      <c r="H91" s="48" t="n">
        <f aca="false">IFERROR(SUMIF('Input Data'!B3:B27,"L04",'Input Data'!N3:N27)/(SUMIF('Input Data'!N3:N27,"&gt;0",'Input Data'!N3:N27)),0)</f>
        <v>0.0793462390024514</v>
      </c>
      <c r="I91" s="28" t="str">
        <f aca="false" t="array" ref="I91:I9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—</v>
      </c>
      <c r="J91" s="10"/>
      <c r="K91" s="10"/>
      <c r="L91" s="10"/>
      <c r="M91" s="10"/>
      <c r="N91" s="10"/>
    </row>
    <row r="92" customFormat="false" ht="27.75" hidden="false" customHeight="true" outlineLevel="0" collapsed="false">
      <c r="A92" s="10"/>
      <c r="B92" s="174" t="s">
        <v>116</v>
      </c>
      <c r="C92" s="140" t="str">
        <f aca="true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140"/>
      <c r="E92" s="56" t="n">
        <f aca="false">SUMIF('Input Data'!B3:B27,"L03",'Input Data'!F3:F27)</f>
        <v>357.6</v>
      </c>
      <c r="F92" s="59" t="n">
        <f aca="false">IFERROR(SUMIF('Input Data'!B3:B27,"L03",'Input Data'!N3:N27)/SUMIF('Input Data'!B3:B27,"L03",'Input Data'!F3:F27),0)</f>
        <v>961.606616331096</v>
      </c>
      <c r="G92" s="59" t="n">
        <f aca="false">SUMIF('Input Data'!B3:B27,"L03",'Input Data'!N3:N27)</f>
        <v>343870.526</v>
      </c>
      <c r="H92" s="60" t="n">
        <f aca="false">IFERROR(SUMIF('Input Data'!B3:B27,"L03",'Input Data'!N3:N27)/(SUMIF('Input Data'!N3:N27,"&gt;0",'Input Data'!N3:N27)),0)</f>
        <v>0.0846528351760633</v>
      </c>
      <c r="I92" s="53" t="str">
        <f aca="false" t="array" ref="I92:I92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—</v>
      </c>
      <c r="J92" s="10"/>
      <c r="K92" s="10"/>
      <c r="L92" s="10"/>
      <c r="M92" s="10"/>
      <c r="N92" s="10"/>
    </row>
    <row r="93" customFormat="false" ht="27.75" hidden="false" customHeight="true" outlineLevel="0" collapsed="false">
      <c r="A93" s="10"/>
      <c r="B93" s="173" t="s">
        <v>112</v>
      </c>
      <c r="C93" s="134" t="str">
        <f aca="true">IFERROR(MID(IF(('Input Data'!Z8&gt;TODAY())*('Input Data'!AA8&gt;0),", "&amp;'Input Data'!AB8&amp;" ("&amp;'Input Data'!C8&amp;")",""),3,999),"—")</f>
        <v>Princeton Financial Services (WHOLE)</v>
      </c>
      <c r="D93" s="134"/>
      <c r="E93" s="44" t="n">
        <f aca="false">SUMIF('Input Data'!B3:B27,"L02",'Input Data'!F3:F27)</f>
        <v>393.2</v>
      </c>
      <c r="F93" s="47" t="n">
        <f aca="false">IFERROR(SUMIF('Input Data'!B3:B27,"L02",'Input Data'!N3:N27)/SUMIF('Input Data'!B3:B27,"L02",'Input Data'!F3:F27),0)</f>
        <v>1021.62594099695</v>
      </c>
      <c r="G93" s="47" t="n">
        <f aca="false">SUMIF('Input Data'!B3:B27,"L02",'Input Data'!N3:N27)</f>
        <v>401703.32</v>
      </c>
      <c r="H93" s="48" t="n">
        <f aca="false">IFERROR(SUMIF('Input Data'!B3:B27,"L02",'Input Data'!N3:N27)/(SUMIF('Input Data'!N3:N27,"&gt;0",'Input Data'!N3:N27)),0)</f>
        <v>0.0988899087490778</v>
      </c>
      <c r="I93" s="28" t="str">
        <f aca="false" t="array" ref="I93:I93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—</v>
      </c>
      <c r="J93" s="10"/>
      <c r="K93" s="10"/>
      <c r="L93" s="10"/>
      <c r="M93" s="10"/>
      <c r="N93" s="10"/>
    </row>
    <row r="94" customFormat="false" ht="27.75" hidden="false" customHeight="true" outlineLevel="0" collapsed="false">
      <c r="A94" s="10"/>
      <c r="B94" s="174" t="s">
        <v>99</v>
      </c>
      <c r="C94" s="140" t="str">
        <f aca="true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Blitzem (TJC) (101&amp;2), PU Prime Trading (103), TJC#1 (104)</v>
      </c>
      <c r="D94" s="140"/>
      <c r="E94" s="56" t="n">
        <f aca="false">SUMIF('Input Data'!B3:B27,"L01",'Input Data'!F3:F27)</f>
        <v>356.8</v>
      </c>
      <c r="F94" s="59" t="n">
        <f aca="false">IFERROR(SUMIF('Input Data'!B3:B27,"L01",'Input Data'!N3:N27)/SUMIF('Input Data'!B3:B27,"L01",'Input Data'!F3:F27),0)</f>
        <v>924.539206838565</v>
      </c>
      <c r="G94" s="59" t="n">
        <f aca="false">SUMIF('Input Data'!B3:B27,"L01",'Input Data'!N3:N27)</f>
        <v>329875.589</v>
      </c>
      <c r="H94" s="60" t="n">
        <f aca="false">IFERROR(SUMIF('Input Data'!B3:B27,"L01",'Input Data'!N3:N27)/(SUMIF('Input Data'!N3:N27,"&gt;0",'Input Data'!N3:N27)),0)</f>
        <v>0.0812076108675385</v>
      </c>
      <c r="I94" s="53" t="str">
        <f aca="false" t="array" ref="I94:I94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—</v>
      </c>
      <c r="J94" s="10"/>
      <c r="K94" s="10"/>
      <c r="L94" s="10"/>
      <c r="M94" s="10"/>
      <c r="N94" s="10"/>
    </row>
    <row r="95" customFormat="false" ht="27.75" hidden="false" customHeight="true" outlineLevel="0" collapsed="false">
      <c r="A95" s="10"/>
      <c r="B95" s="173" t="s">
        <v>94</v>
      </c>
      <c r="C95" s="134" t="str">
        <f aca="true">IFERROR(MID(IF(('Input Data'!Z4&gt;TODAY())*('Input Data'!AA4&gt;0),", "&amp;'Input Data'!AB4&amp;" ("&amp;'Input Data'!C4&amp;")",""),3,999),"—")</f>
        <v>Recoverie (GROUND)</v>
      </c>
      <c r="D95" s="134"/>
      <c r="E95" s="44" t="n">
        <f aca="false">SUMIF('Input Data'!B3:B27,"GF",'Input Data'!F3:F27)</f>
        <v>298.3</v>
      </c>
      <c r="F95" s="47" t="n">
        <f aca="false">IFERROR(SUMIF('Input Data'!B3:B27,"GF",'Input Data'!N3:N27)/SUMIF('Input Data'!B3:B27,"GF",'Input Data'!F3:F27),0)</f>
        <v>913.462272879651</v>
      </c>
      <c r="G95" s="47" t="n">
        <f aca="false">SUMIF('Input Data'!B3:B27,"GF",'Input Data'!N3:N27)</f>
        <v>272485.796</v>
      </c>
      <c r="H95" s="48" t="n">
        <f aca="false">IFERROR(SUMIF('Input Data'!B3:B27,"GF",'Input Data'!N3:N27)/(SUMIF('Input Data'!N3:N27,"&gt;0",'Input Data'!N3:N27)),0)</f>
        <v>0.0670795937207087</v>
      </c>
      <c r="I95" s="28" t="str">
        <f aca="false" t="array" ref="I95:I95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—</v>
      </c>
      <c r="J95" s="10"/>
      <c r="K95" s="10"/>
      <c r="L95" s="10"/>
      <c r="M95" s="10"/>
      <c r="N95" s="10"/>
    </row>
    <row r="96" customFormat="false" ht="27.75" hidden="false" customHeight="true" outlineLevel="0" collapsed="false">
      <c r="A96" s="10"/>
      <c r="B96" s="174" t="s">
        <v>274</v>
      </c>
      <c r="C96" s="140" t="str">
        <f aca="true">IFERROR(MID(IF(('Input Data'!Z3&gt;TODAY())*('Input Data'!AA3&gt;0),", "&amp;'Input Data'!AB3&amp;" ("&amp;'Input Data'!C3&amp;")",""),3,999),"—")</f>
        <v>Opulent Two Enterprises (LWR GROUND)</v>
      </c>
      <c r="D96" s="140"/>
      <c r="E96" s="56" t="n">
        <f aca="false">SUMIF('Input Data'!B3:B27,"LWR GND",'Input Data'!F3:F27)</f>
        <v>0</v>
      </c>
      <c r="F96" s="59" t="n">
        <f aca="false">IFERROR(SUMIF('Input Data'!B3:B27,"LWR GND",'Input Data'!N3:N27)/SUMIF('Input Data'!B3:B27,"LWR GND",'Input Data'!F3:F27),0)</f>
        <v>0</v>
      </c>
      <c r="G96" s="59" t="n">
        <f aca="false">SUMIF('Input Data'!B3:B27,"LWR GND",'Input Data'!N3:N27)</f>
        <v>0</v>
      </c>
      <c r="H96" s="60" t="n">
        <f aca="false">IFERROR(SUMIF('Input Data'!B3:B27,"LWR GND",'Input Data'!N3:N27)/(SUMIF('Input Data'!N3:N27,"&gt;0",'Input Data'!N3:N27)),0)</f>
        <v>0</v>
      </c>
      <c r="I96" s="53" t="n">
        <v>2029</v>
      </c>
      <c r="J96" s="10"/>
      <c r="K96" s="10"/>
      <c r="L96" s="10"/>
      <c r="M96" s="10"/>
      <c r="N96" s="10"/>
    </row>
    <row r="97" customFormat="false" ht="19.5" hidden="false" customHeight="true" outlineLevel="0" collapsed="false">
      <c r="A97" s="10"/>
      <c r="B97" s="92" t="s">
        <v>275</v>
      </c>
      <c r="C97" s="92"/>
      <c r="D97" s="92"/>
      <c r="E97" s="93" t="n">
        <f aca="false">SUM('Input Data'!F3:F27)</f>
        <v>4704.5</v>
      </c>
      <c r="F97" s="117"/>
      <c r="G97" s="94" t="n">
        <f aca="false">SUMPRODUCT(('Input Data'!K3:K27&gt;0)*('Input Data'!Y3:Y27&lt;&gt;"EXPIRED")*'Input Data'!N3:N27)</f>
        <v>4062126.511</v>
      </c>
      <c r="H97" s="142" t="n">
        <v>1</v>
      </c>
      <c r="I97" s="117"/>
      <c r="J97" s="117"/>
      <c r="K97" s="117"/>
      <c r="L97" s="117"/>
      <c r="M97" s="117"/>
      <c r="N97" s="117"/>
    </row>
    <row r="98" customFormat="false" ht="14.2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customFormat="false" ht="9.75" hidden="false" customHeight="true" outlineLevel="0" collapsed="false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</row>
    <row r="100" customFormat="false" ht="21.75" hidden="false" customHeight="true" outlineLevel="0" collapsed="false">
      <c r="A100" s="149"/>
      <c r="B100" s="175" t="s">
        <v>276</v>
      </c>
      <c r="C100" s="175"/>
      <c r="D100" s="175"/>
      <c r="E100" s="175"/>
      <c r="F100" s="175"/>
      <c r="G100" s="175"/>
      <c r="H100" s="175"/>
      <c r="I100" s="175"/>
      <c r="J100" s="175"/>
      <c r="K100" s="175"/>
      <c r="L100" s="175"/>
      <c r="M100" s="175"/>
      <c r="N100" s="149"/>
    </row>
    <row r="101" customFormat="false" ht="31.5" hidden="false" customHeight="true" outlineLevel="0" collapsed="false">
      <c r="A101" s="151"/>
      <c r="B101" s="41"/>
      <c r="C101" s="41"/>
      <c r="D101" s="41"/>
      <c r="E101" s="41" t="s">
        <v>277</v>
      </c>
      <c r="F101" s="41" t="s">
        <v>278</v>
      </c>
      <c r="G101" s="41"/>
      <c r="H101" s="41" t="s">
        <v>279</v>
      </c>
      <c r="I101" s="41"/>
      <c r="J101" s="41" t="s">
        <v>280</v>
      </c>
      <c r="K101" s="41"/>
      <c r="L101" s="41"/>
      <c r="M101" s="41"/>
      <c r="N101" s="151"/>
    </row>
    <row r="102" customFormat="false" ht="19.5" hidden="false" customHeight="true" outlineLevel="0" collapsed="false">
      <c r="A102" s="149"/>
      <c r="B102" s="43" t="s">
        <v>281</v>
      </c>
      <c r="C102" s="43"/>
      <c r="D102" s="43"/>
      <c r="E102" s="176" t="n">
        <f aca="false">Valuations!C6</f>
        <v>76500000</v>
      </c>
      <c r="F102" s="130" t="n">
        <f aca="false">Valuations!D6</f>
        <v>85000000</v>
      </c>
      <c r="G102" s="130"/>
      <c r="H102" s="130" t="n">
        <f aca="false">Valuations!E6</f>
        <v>79000000</v>
      </c>
      <c r="I102" s="130"/>
      <c r="J102" s="177" t="n">
        <f aca="false">IFERROR(E102-F102,"")</f>
        <v>-8500000</v>
      </c>
      <c r="K102" s="177"/>
      <c r="L102" s="178" t="n">
        <f aca="false">IFERROR((E102-F102)/F102,"")</f>
        <v>-0.1</v>
      </c>
      <c r="M102" s="178"/>
      <c r="N102" s="149"/>
    </row>
    <row r="103" customFormat="false" ht="19.5" hidden="false" customHeight="true" outlineLevel="0" collapsed="false">
      <c r="A103" s="151"/>
      <c r="B103" s="43" t="s">
        <v>282</v>
      </c>
      <c r="C103" s="43"/>
      <c r="D103" s="43"/>
      <c r="E103" s="179" t="n">
        <f aca="false">Valuations!C7</f>
        <v>45455</v>
      </c>
      <c r="F103" s="180" t="n">
        <f aca="false">Valuations!D7</f>
        <v>44327</v>
      </c>
      <c r="G103" s="180"/>
      <c r="H103" s="180" t="n">
        <f aca="false">Valuations!E7</f>
        <v>43194</v>
      </c>
      <c r="I103" s="180"/>
      <c r="J103" s="28" t="s">
        <v>4</v>
      </c>
      <c r="K103" s="28"/>
      <c r="L103" s="28"/>
      <c r="M103" s="28"/>
      <c r="N103" s="151"/>
    </row>
    <row r="104" customFormat="false" ht="19.5" hidden="false" customHeight="true" outlineLevel="0" collapsed="false">
      <c r="A104" s="149"/>
      <c r="B104" s="43" t="s">
        <v>283</v>
      </c>
      <c r="C104" s="43"/>
      <c r="D104" s="43"/>
      <c r="E104" s="181" t="str">
        <f aca="false">Valuations!C8</f>
        <v>Knight Frank</v>
      </c>
      <c r="F104" s="133" t="str">
        <f aca="false">Valuations!D8</f>
        <v>Knight Frank</v>
      </c>
      <c r="G104" s="133"/>
      <c r="H104" s="133" t="str">
        <f aca="false">Valuations!E8</f>
        <v>JLL</v>
      </c>
      <c r="I104" s="133"/>
      <c r="J104" s="28" t="s">
        <v>4</v>
      </c>
      <c r="K104" s="28"/>
      <c r="L104" s="28"/>
      <c r="M104" s="28"/>
      <c r="N104" s="149"/>
    </row>
    <row r="105" customFormat="false" ht="19.5" hidden="false" customHeight="true" outlineLevel="0" collapsed="false">
      <c r="A105" s="151"/>
      <c r="B105" s="43" t="s">
        <v>284</v>
      </c>
      <c r="C105" s="43"/>
      <c r="D105" s="43"/>
      <c r="E105" s="182" t="n">
        <f aca="false">Valuations!C10</f>
        <v>0.0525</v>
      </c>
      <c r="F105" s="183" t="n">
        <f aca="false">Valuations!D10</f>
        <v>0.0475</v>
      </c>
      <c r="G105" s="183"/>
      <c r="H105" s="183" t="n">
        <f aca="false">Valuations!E10</f>
        <v>0.0475</v>
      </c>
      <c r="I105" s="183"/>
      <c r="J105" s="184" t="n">
        <f aca="false">IFERROR(E105-F105,"")</f>
        <v>0.005</v>
      </c>
      <c r="K105" s="184"/>
      <c r="L105" s="184"/>
      <c r="M105" s="184"/>
      <c r="N105" s="151"/>
    </row>
    <row r="106" customFormat="false" ht="19.5" hidden="false" customHeight="true" outlineLevel="0" collapsed="false">
      <c r="A106" s="149"/>
      <c r="B106" s="43" t="s">
        <v>285</v>
      </c>
      <c r="C106" s="43"/>
      <c r="D106" s="43"/>
      <c r="E106" s="182" t="n">
        <f aca="false">Valuations!C11</f>
        <v>0.0367</v>
      </c>
      <c r="F106" s="183" t="n">
        <f aca="false">Valuations!D11</f>
        <v>0.0373</v>
      </c>
      <c r="G106" s="183"/>
      <c r="H106" s="183" t="n">
        <f aca="false">Valuations!E11</f>
        <v>0.0323</v>
      </c>
      <c r="I106" s="183"/>
      <c r="J106" s="184" t="n">
        <f aca="false">IFERROR(E106-F106,"")</f>
        <v>-0.000599999999999996</v>
      </c>
      <c r="K106" s="184"/>
      <c r="L106" s="184"/>
      <c r="M106" s="184"/>
      <c r="N106" s="149"/>
    </row>
    <row r="107" customFormat="false" ht="19.5" hidden="false" customHeight="true" outlineLevel="0" collapsed="false">
      <c r="A107" s="151"/>
      <c r="B107" s="43" t="s">
        <v>286</v>
      </c>
      <c r="C107" s="43"/>
      <c r="D107" s="43"/>
      <c r="E107" s="185" t="n">
        <f aca="false">Valuations!C12</f>
        <v>14900000</v>
      </c>
      <c r="F107" s="130" t="n">
        <f aca="false">Valuations!D12</f>
        <v>11000000</v>
      </c>
      <c r="G107" s="130"/>
      <c r="H107" s="130" t="n">
        <f aca="false">Valuations!E12</f>
        <v>9480000</v>
      </c>
      <c r="I107" s="130"/>
      <c r="J107" s="186" t="n">
        <f aca="false">IFERROR(E107-F107,"")</f>
        <v>3900000</v>
      </c>
      <c r="K107" s="186"/>
      <c r="L107" s="186"/>
      <c r="M107" s="186"/>
      <c r="N107" s="151"/>
    </row>
    <row r="108" customFormat="false" ht="19.5" hidden="false" customHeight="true" outlineLevel="0" collapsed="false">
      <c r="A108" s="149"/>
      <c r="B108" s="43" t="s">
        <v>287</v>
      </c>
      <c r="C108" s="43"/>
      <c r="D108" s="43"/>
      <c r="E108" s="181" t="str">
        <f aca="false">Valuations!F9</f>
        <v>First Mortgage Security Purposes</v>
      </c>
      <c r="F108" s="133" t="str">
        <f aca="false">Valuations!D9</f>
        <v>Market Value 'As Is'</v>
      </c>
      <c r="G108" s="133"/>
      <c r="H108" s="133" t="str">
        <f aca="false">Valuations!E9</f>
        <v>Market Value 'As Is'</v>
      </c>
      <c r="I108" s="133"/>
      <c r="J108" s="28" t="s">
        <v>4</v>
      </c>
      <c r="K108" s="28"/>
      <c r="L108" s="28"/>
      <c r="M108" s="28"/>
      <c r="N108" s="149"/>
    </row>
    <row r="109" customFormat="false" ht="9.75" hidden="false" customHeight="true" outlineLevel="0" collapsed="false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</row>
    <row r="110" customFormat="false" ht="19.5" hidden="false" customHeight="true" outlineLevel="0" collapsed="false">
      <c r="A110" s="149"/>
      <c r="B110" s="187" t="s">
        <v>288</v>
      </c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49"/>
    </row>
    <row r="111" customFormat="false" ht="27.75" hidden="false" customHeight="true" outlineLevel="0" collapsed="false">
      <c r="A111" s="151"/>
      <c r="B111" s="41"/>
      <c r="C111" s="41"/>
      <c r="D111" s="41"/>
      <c r="E111" s="41" t="s">
        <v>289</v>
      </c>
      <c r="F111" s="41" t="s">
        <v>290</v>
      </c>
      <c r="G111" s="41"/>
      <c r="H111" s="41" t="s">
        <v>291</v>
      </c>
      <c r="I111" s="41"/>
      <c r="J111" s="41" t="s">
        <v>292</v>
      </c>
      <c r="K111" s="41"/>
      <c r="L111" s="41"/>
      <c r="M111" s="41"/>
      <c r="N111" s="151"/>
    </row>
    <row r="112" customFormat="false" ht="19.5" hidden="false" customHeight="true" outlineLevel="0" collapsed="false">
      <c r="A112" s="149"/>
      <c r="B112" s="43" t="s">
        <v>293</v>
      </c>
      <c r="C112" s="43"/>
      <c r="D112" s="43"/>
      <c r="E112" s="181" t="str">
        <f aca="false">Valuations!C20</f>
        <v>FY26</v>
      </c>
      <c r="F112" s="133" t="str">
        <f aca="false">Valuations!D20</f>
        <v>FY25</v>
      </c>
      <c r="G112" s="133"/>
      <c r="H112" s="133" t="str">
        <f aca="false">Valuations!E20</f>
        <v>FY24</v>
      </c>
      <c r="I112" s="133"/>
      <c r="J112" s="28" t="s">
        <v>4</v>
      </c>
      <c r="K112" s="28"/>
      <c r="L112" s="28"/>
      <c r="M112" s="28"/>
      <c r="N112" s="149"/>
    </row>
    <row r="113" customFormat="false" ht="19.5" hidden="false" customHeight="true" outlineLevel="0" collapsed="false">
      <c r="A113" s="151"/>
      <c r="B113" s="43" t="s">
        <v>294</v>
      </c>
      <c r="C113" s="43"/>
      <c r="D113" s="43"/>
      <c r="E113" s="176" t="n">
        <f aca="false">Valuations!C21</f>
        <v>16500000</v>
      </c>
      <c r="F113" s="130" t="n">
        <f aca="false">Valuations!D21</f>
        <v>16500000</v>
      </c>
      <c r="G113" s="130"/>
      <c r="H113" s="130" t="n">
        <f aca="false">Valuations!E21</f>
        <v>14900000</v>
      </c>
      <c r="I113" s="130"/>
      <c r="J113" s="177" t="n">
        <f aca="false">IFERROR(E113-G113,"")</f>
        <v>16500000</v>
      </c>
      <c r="K113" s="177"/>
      <c r="L113" s="178" t="n">
        <f aca="false">IFERROR((E113-F113)/F113,"")</f>
        <v>0</v>
      </c>
      <c r="M113" s="178"/>
      <c r="N113" s="151"/>
    </row>
    <row r="114" customFormat="false" ht="19.5" hidden="false" customHeight="true" outlineLevel="0" collapsed="false">
      <c r="A114" s="149"/>
      <c r="B114" s="43" t="s">
        <v>295</v>
      </c>
      <c r="C114" s="43"/>
      <c r="D114" s="43"/>
      <c r="E114" s="185" t="n">
        <f aca="false">Valuations!C22</f>
        <v>293049.3</v>
      </c>
      <c r="F114" s="130" t="n">
        <f aca="false">Valuations!D22</f>
        <v>273049.3</v>
      </c>
      <c r="G114" s="130"/>
      <c r="H114" s="130" t="n">
        <f aca="false">Valuations!E22</f>
        <v>236382.65</v>
      </c>
      <c r="I114" s="130"/>
      <c r="J114" s="177" t="n">
        <f aca="false">IFERROR(E114-G114,"")</f>
        <v>293049.3</v>
      </c>
      <c r="K114" s="177"/>
      <c r="L114" s="178" t="n">
        <f aca="false">IFERROR((E114-F114)/F114,"")</f>
        <v>0.073246845899257</v>
      </c>
      <c r="M114" s="178"/>
      <c r="N114" s="149"/>
    </row>
    <row r="115" customFormat="false" ht="19.5" hidden="false" customHeight="true" outlineLevel="0" collapsed="false">
      <c r="A115" s="10"/>
      <c r="B115" s="43" t="s">
        <v>296</v>
      </c>
      <c r="C115" s="43"/>
      <c r="D115" s="43"/>
      <c r="E115" s="179" t="n">
        <f aca="false">Valuations!C23</f>
        <v>45839</v>
      </c>
      <c r="F115" s="180" t="n">
        <f aca="false">Valuations!D23</f>
        <v>45474</v>
      </c>
      <c r="G115" s="180"/>
      <c r="H115" s="180" t="n">
        <f aca="false">Valuations!E23</f>
        <v>45108</v>
      </c>
      <c r="I115" s="180"/>
      <c r="J115" s="28" t="s">
        <v>4</v>
      </c>
      <c r="K115" s="28"/>
      <c r="L115" s="28"/>
      <c r="M115" s="28"/>
      <c r="N115" s="10"/>
    </row>
    <row r="116" customFormat="false" ht="9.75" hidden="false" customHeight="tru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</row>
    <row r="117" customFormat="false" ht="15.75" hidden="false" customHeight="true" outlineLevel="0" collapsed="false">
      <c r="A117" s="10"/>
      <c r="B117" s="188" t="s">
        <v>297</v>
      </c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0"/>
    </row>
  </sheetData>
  <mergeCells count="221"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G12"/>
    <mergeCell ref="E13:G13"/>
    <mergeCell ref="B14:C14"/>
    <mergeCell ref="E14:G14"/>
    <mergeCell ref="B15:C15"/>
    <mergeCell ref="E15:G15"/>
    <mergeCell ref="B17:N17"/>
    <mergeCell ref="H18:N18"/>
    <mergeCell ref="H19:N19"/>
    <mergeCell ref="H20:N20"/>
    <mergeCell ref="H21:N21"/>
    <mergeCell ref="H22:N22"/>
    <mergeCell ref="H23:N23"/>
    <mergeCell ref="H24:N24"/>
    <mergeCell ref="I25:N25"/>
    <mergeCell ref="B27:N27"/>
    <mergeCell ref="C28:D28"/>
    <mergeCell ref="J28:N28"/>
    <mergeCell ref="C29:D29"/>
    <mergeCell ref="J29:N29"/>
    <mergeCell ref="C30:D30"/>
    <mergeCell ref="J30:N30"/>
    <mergeCell ref="C31:D31"/>
    <mergeCell ref="J31:N31"/>
    <mergeCell ref="C32:D32"/>
    <mergeCell ref="J32:N32"/>
    <mergeCell ref="C33:D33"/>
    <mergeCell ref="J33:N33"/>
    <mergeCell ref="C34:D34"/>
    <mergeCell ref="J34:N34"/>
    <mergeCell ref="C35:D35"/>
    <mergeCell ref="J35:N35"/>
    <mergeCell ref="C36:D36"/>
    <mergeCell ref="J36:N36"/>
    <mergeCell ref="C37:D37"/>
    <mergeCell ref="J37:N37"/>
    <mergeCell ref="C38:D38"/>
    <mergeCell ref="J38:N38"/>
    <mergeCell ref="C39:D39"/>
    <mergeCell ref="J39:N39"/>
    <mergeCell ref="C40:D40"/>
    <mergeCell ref="J40:N40"/>
    <mergeCell ref="C41:D41"/>
    <mergeCell ref="J41:N41"/>
    <mergeCell ref="C42:D42"/>
    <mergeCell ref="J42:N42"/>
    <mergeCell ref="C43:D43"/>
    <mergeCell ref="J43:N43"/>
    <mergeCell ref="C44:D44"/>
    <mergeCell ref="J44:N44"/>
    <mergeCell ref="C45:D45"/>
    <mergeCell ref="J45:N45"/>
    <mergeCell ref="C46:D46"/>
    <mergeCell ref="J46:N46"/>
    <mergeCell ref="C47:D47"/>
    <mergeCell ref="J47:N47"/>
    <mergeCell ref="C48:D48"/>
    <mergeCell ref="J48:N48"/>
    <mergeCell ref="C49:D49"/>
    <mergeCell ref="J49:N49"/>
    <mergeCell ref="C50:D50"/>
    <mergeCell ref="J50:N50"/>
    <mergeCell ref="C51:D51"/>
    <mergeCell ref="J51:N51"/>
    <mergeCell ref="B52:E52"/>
    <mergeCell ref="J52:N52"/>
    <mergeCell ref="B65:M65"/>
    <mergeCell ref="C66:D66"/>
    <mergeCell ref="H66:N66"/>
    <mergeCell ref="B67:C67"/>
    <mergeCell ref="H67:N67"/>
    <mergeCell ref="B68:C68"/>
    <mergeCell ref="H68:N68"/>
    <mergeCell ref="B69:C69"/>
    <mergeCell ref="H69:N69"/>
    <mergeCell ref="B70:C70"/>
    <mergeCell ref="H70:N70"/>
    <mergeCell ref="B71:C71"/>
    <mergeCell ref="H71:N71"/>
    <mergeCell ref="B72:C72"/>
    <mergeCell ref="H72:N72"/>
    <mergeCell ref="B73:C73"/>
    <mergeCell ref="H73:N73"/>
    <mergeCell ref="B74:C74"/>
    <mergeCell ref="H74:N74"/>
    <mergeCell ref="B75:C75"/>
    <mergeCell ref="H75:N75"/>
    <mergeCell ref="B76:C76"/>
    <mergeCell ref="H76:N76"/>
    <mergeCell ref="B77:C77"/>
    <mergeCell ref="H77:N77"/>
    <mergeCell ref="B78:C78"/>
    <mergeCell ref="H78:N78"/>
    <mergeCell ref="B81:M81"/>
    <mergeCell ref="C82:D82"/>
    <mergeCell ref="J82:N82"/>
    <mergeCell ref="C83:D83"/>
    <mergeCell ref="J83:N83"/>
    <mergeCell ref="C84:D84"/>
    <mergeCell ref="J84:N84"/>
    <mergeCell ref="C85:D85"/>
    <mergeCell ref="J85:N85"/>
    <mergeCell ref="C86:D86"/>
    <mergeCell ref="J86:N86"/>
    <mergeCell ref="C87:D87"/>
    <mergeCell ref="J87:N87"/>
    <mergeCell ref="C88:D88"/>
    <mergeCell ref="J88:N88"/>
    <mergeCell ref="C89:D89"/>
    <mergeCell ref="J89:N89"/>
    <mergeCell ref="C90:D90"/>
    <mergeCell ref="J90:N90"/>
    <mergeCell ref="C91:D91"/>
    <mergeCell ref="J91:N91"/>
    <mergeCell ref="C92:D92"/>
    <mergeCell ref="J92:N92"/>
    <mergeCell ref="C93:D93"/>
    <mergeCell ref="J93:N93"/>
    <mergeCell ref="C94:D94"/>
    <mergeCell ref="J94:N94"/>
    <mergeCell ref="C95:D95"/>
    <mergeCell ref="J95:N95"/>
    <mergeCell ref="C96:D96"/>
    <mergeCell ref="J96:N96"/>
    <mergeCell ref="B97:D97"/>
    <mergeCell ref="B100:M100"/>
    <mergeCell ref="B101:D101"/>
    <mergeCell ref="F101:G101"/>
    <mergeCell ref="H101:I101"/>
    <mergeCell ref="J101:M101"/>
    <mergeCell ref="B102:D102"/>
    <mergeCell ref="F102:G102"/>
    <mergeCell ref="H102:I102"/>
    <mergeCell ref="J102:K102"/>
    <mergeCell ref="L102:M102"/>
    <mergeCell ref="B103:D103"/>
    <mergeCell ref="F103:G103"/>
    <mergeCell ref="H103:I103"/>
    <mergeCell ref="J103:M103"/>
    <mergeCell ref="B104:D104"/>
    <mergeCell ref="F104:G104"/>
    <mergeCell ref="H104:I104"/>
    <mergeCell ref="J104:M104"/>
    <mergeCell ref="B105:D105"/>
    <mergeCell ref="F105:G105"/>
    <mergeCell ref="H105:I105"/>
    <mergeCell ref="J105:M105"/>
    <mergeCell ref="B106:D106"/>
    <mergeCell ref="F106:G106"/>
    <mergeCell ref="H106:I106"/>
    <mergeCell ref="J106:M106"/>
    <mergeCell ref="B107:D107"/>
    <mergeCell ref="F107:G107"/>
    <mergeCell ref="H107:I107"/>
    <mergeCell ref="J107:M107"/>
    <mergeCell ref="B108:D108"/>
    <mergeCell ref="F108:G108"/>
    <mergeCell ref="H108:I108"/>
    <mergeCell ref="J108:M108"/>
    <mergeCell ref="B110:M110"/>
    <mergeCell ref="B111:D111"/>
    <mergeCell ref="F111:G111"/>
    <mergeCell ref="H111:I111"/>
    <mergeCell ref="J111:M111"/>
    <mergeCell ref="B112:D112"/>
    <mergeCell ref="F112:G112"/>
    <mergeCell ref="H112:I112"/>
    <mergeCell ref="J112:M112"/>
    <mergeCell ref="B113:D113"/>
    <mergeCell ref="F113:G113"/>
    <mergeCell ref="H113:I113"/>
    <mergeCell ref="J113:K113"/>
    <mergeCell ref="L113:M113"/>
    <mergeCell ref="B114:D114"/>
    <mergeCell ref="F114:G114"/>
    <mergeCell ref="H114:I114"/>
    <mergeCell ref="J114:K114"/>
    <mergeCell ref="L114:M114"/>
    <mergeCell ref="B115:D115"/>
    <mergeCell ref="F115:G115"/>
    <mergeCell ref="H115:I115"/>
    <mergeCell ref="J115:M115"/>
    <mergeCell ref="B117:M117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8" activeCellId="0" sqref="D3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7" width="1.45"/>
    <col collapsed="false" customWidth="true" hidden="false" outlineLevel="0" max="2" min="2" style="7" width="33.09"/>
    <col collapsed="false" customWidth="true" hidden="false" outlineLevel="0" max="3" min="3" style="7" width="17"/>
    <col collapsed="false" customWidth="true" hidden="false" outlineLevel="0" max="6" min="4" style="7" width="16"/>
    <col collapsed="false" customWidth="true" hidden="false" outlineLevel="0" max="7" min="7" style="7" width="22"/>
    <col collapsed="false" customWidth="true" hidden="false" outlineLevel="0" max="8" min="8" style="7" width="1.45"/>
  </cols>
  <sheetData>
    <row r="1" customFormat="false" ht="31.5" hidden="false" customHeight="true" outlineLevel="0" collapsed="false">
      <c r="A1" s="8" t="s">
        <v>298</v>
      </c>
      <c r="B1" s="8"/>
      <c r="C1" s="8"/>
      <c r="D1" s="8"/>
      <c r="E1" s="8"/>
      <c r="F1" s="8"/>
      <c r="G1" s="8"/>
      <c r="H1" s="8"/>
    </row>
    <row r="2" customFormat="false" ht="18" hidden="false" customHeight="true" outlineLevel="0" collapsed="false">
      <c r="A2" s="189" t="s">
        <v>299</v>
      </c>
      <c r="B2" s="189"/>
      <c r="C2" s="189"/>
      <c r="D2" s="189"/>
      <c r="E2" s="189"/>
      <c r="F2" s="189"/>
      <c r="G2" s="189"/>
      <c r="H2" s="189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</row>
    <row r="4" customFormat="false" ht="21.75" hidden="false" customHeight="true" outlineLevel="0" collapsed="false">
      <c r="A4" s="10"/>
      <c r="B4" s="123" t="s">
        <v>300</v>
      </c>
      <c r="C4" s="123"/>
      <c r="D4" s="123"/>
      <c r="E4" s="123"/>
      <c r="F4" s="123"/>
      <c r="G4" s="123"/>
      <c r="H4" s="10"/>
    </row>
    <row r="5" customFormat="false" ht="27.75" hidden="false" customHeight="true" outlineLevel="0" collapsed="false">
      <c r="A5" s="10"/>
      <c r="B5" s="41"/>
      <c r="C5" s="41" t="s">
        <v>301</v>
      </c>
      <c r="D5" s="41" t="s">
        <v>302</v>
      </c>
      <c r="E5" s="41" t="s">
        <v>303</v>
      </c>
      <c r="F5" s="41" t="s">
        <v>82</v>
      </c>
      <c r="G5" s="41"/>
      <c r="H5" s="10"/>
    </row>
    <row r="6" customFormat="false" ht="19.5" hidden="false" customHeight="true" outlineLevel="0" collapsed="false">
      <c r="A6" s="10"/>
      <c r="B6" s="43" t="s">
        <v>304</v>
      </c>
      <c r="C6" s="190" t="n">
        <v>76500000</v>
      </c>
      <c r="D6" s="190" t="n">
        <v>85000000</v>
      </c>
      <c r="E6" s="190" t="n">
        <v>79000000</v>
      </c>
      <c r="F6" s="191"/>
      <c r="G6" s="191"/>
      <c r="H6" s="10"/>
    </row>
    <row r="7" customFormat="false" ht="19.5" hidden="false" customHeight="true" outlineLevel="0" collapsed="false">
      <c r="A7" s="10"/>
      <c r="B7" s="43" t="s">
        <v>282</v>
      </c>
      <c r="C7" s="192" t="n">
        <v>45455</v>
      </c>
      <c r="D7" s="192" t="n">
        <v>44327</v>
      </c>
      <c r="E7" s="192" t="n">
        <v>43194</v>
      </c>
      <c r="F7" s="191"/>
      <c r="G7" s="191"/>
      <c r="H7" s="10"/>
    </row>
    <row r="8" customFormat="false" ht="19.5" hidden="false" customHeight="true" outlineLevel="0" collapsed="false">
      <c r="A8" s="10"/>
      <c r="B8" s="43" t="s">
        <v>283</v>
      </c>
      <c r="C8" s="193" t="s">
        <v>305</v>
      </c>
      <c r="D8" s="193" t="s">
        <v>305</v>
      </c>
      <c r="E8" s="193" t="s">
        <v>306</v>
      </c>
      <c r="F8" s="191"/>
      <c r="G8" s="191"/>
      <c r="H8" s="10"/>
    </row>
    <row r="9" customFormat="false" ht="19.5" hidden="false" customHeight="true" outlineLevel="0" collapsed="false">
      <c r="A9" s="10"/>
      <c r="B9" s="43" t="s">
        <v>287</v>
      </c>
      <c r="C9" s="194" t="s">
        <v>307</v>
      </c>
      <c r="D9" s="194" t="s">
        <v>307</v>
      </c>
      <c r="E9" s="194" t="s">
        <v>307</v>
      </c>
      <c r="F9" s="193" t="s">
        <v>308</v>
      </c>
      <c r="G9" s="193"/>
      <c r="H9" s="10"/>
    </row>
    <row r="10" customFormat="false" ht="19.5" hidden="false" customHeight="true" outlineLevel="0" collapsed="false">
      <c r="A10" s="10"/>
      <c r="B10" s="43" t="s">
        <v>309</v>
      </c>
      <c r="C10" s="194" t="n">
        <v>0.0525</v>
      </c>
      <c r="D10" s="194" t="n">
        <v>0.0475</v>
      </c>
      <c r="E10" s="194" t="n">
        <v>0.0475</v>
      </c>
      <c r="F10" s="191"/>
      <c r="G10" s="191"/>
      <c r="H10" s="10"/>
    </row>
    <row r="11" customFormat="false" ht="19.5" hidden="false" customHeight="true" outlineLevel="0" collapsed="false">
      <c r="A11" s="10"/>
      <c r="B11" s="43" t="s">
        <v>310</v>
      </c>
      <c r="C11" s="194" t="n">
        <v>0.0367</v>
      </c>
      <c r="D11" s="194" t="n">
        <v>0.0373</v>
      </c>
      <c r="E11" s="194" t="n">
        <v>0.0323</v>
      </c>
      <c r="F11" s="191"/>
      <c r="G11" s="191"/>
      <c r="H11" s="10"/>
    </row>
    <row r="12" customFormat="false" ht="19.5" hidden="false" customHeight="true" outlineLevel="0" collapsed="false">
      <c r="A12" s="10"/>
      <c r="B12" s="43" t="s">
        <v>311</v>
      </c>
      <c r="C12" s="190" t="n">
        <v>14900000</v>
      </c>
      <c r="D12" s="190" t="n">
        <v>11000000</v>
      </c>
      <c r="E12" s="190" t="n">
        <v>9480000</v>
      </c>
      <c r="F12" s="191"/>
      <c r="G12" s="191"/>
      <c r="H12" s="10"/>
    </row>
    <row r="13" customFormat="false" ht="19.5" hidden="false" customHeight="true" outlineLevel="0" collapsed="false">
      <c r="A13" s="10"/>
      <c r="B13" s="43" t="s">
        <v>312</v>
      </c>
      <c r="C13" s="190" t="n">
        <v>55600000</v>
      </c>
      <c r="D13" s="190" t="n">
        <v>38700000</v>
      </c>
      <c r="E13" s="195"/>
      <c r="F13" s="191"/>
      <c r="G13" s="191"/>
      <c r="H13" s="10"/>
    </row>
    <row r="14" customFormat="false" ht="18" hidden="false" customHeight="true" outlineLevel="0" collapsed="false">
      <c r="A14" s="10"/>
      <c r="B14" s="196" t="s">
        <v>313</v>
      </c>
      <c r="C14" s="196"/>
      <c r="D14" s="196"/>
      <c r="E14" s="196"/>
      <c r="F14" s="196"/>
      <c r="G14" s="196"/>
      <c r="H14" s="10"/>
    </row>
    <row r="15" customFormat="false" ht="19.5" hidden="false" customHeight="true" outlineLevel="0" collapsed="false">
      <c r="A15" s="10"/>
      <c r="B15" s="43" t="s">
        <v>314</v>
      </c>
      <c r="C15" s="177" t="n">
        <f aca="false">IFERROR(C6-D6,"")</f>
        <v>-8500000</v>
      </c>
      <c r="D15" s="177"/>
      <c r="E15" s="178" t="n">
        <f aca="false">IFERROR((C6-D6)/D6,"")</f>
        <v>-0.1</v>
      </c>
      <c r="F15" s="31" t="s">
        <v>315</v>
      </c>
      <c r="G15" s="31"/>
      <c r="H15" s="10"/>
    </row>
    <row r="16" customFormat="false" ht="19.5" hidden="false" customHeight="true" outlineLevel="0" collapsed="false">
      <c r="A16" s="10"/>
      <c r="B16" s="54" t="s">
        <v>316</v>
      </c>
      <c r="C16" s="177" t="n">
        <f aca="false">IFERROR(D6-E6,"")</f>
        <v>6000000</v>
      </c>
      <c r="D16" s="177"/>
      <c r="E16" s="178" t="n">
        <f aca="false">IFERROR((D6-E6)/E6,"")</f>
        <v>0.0759493670886076</v>
      </c>
      <c r="F16" s="197"/>
      <c r="G16" s="197"/>
      <c r="H16" s="10"/>
    </row>
    <row r="17" customFormat="false" ht="9.75" hidden="false" customHeight="true" outlineLevel="0" collapsed="false">
      <c r="A17" s="10"/>
      <c r="B17" s="10"/>
      <c r="C17" s="10"/>
      <c r="D17" s="10"/>
      <c r="E17" s="10"/>
      <c r="F17" s="10"/>
      <c r="G17" s="10"/>
      <c r="H17" s="10"/>
    </row>
    <row r="18" customFormat="false" ht="21.75" hidden="false" customHeight="true" outlineLevel="0" collapsed="false">
      <c r="A18" s="10"/>
      <c r="B18" s="123" t="s">
        <v>317</v>
      </c>
      <c r="C18" s="123"/>
      <c r="D18" s="123"/>
      <c r="E18" s="123"/>
      <c r="F18" s="123"/>
      <c r="G18" s="123"/>
      <c r="H18" s="10"/>
    </row>
    <row r="19" customFormat="false" ht="27.75" hidden="false" customHeight="true" outlineLevel="0" collapsed="false">
      <c r="A19" s="10"/>
      <c r="B19" s="41"/>
      <c r="C19" s="41" t="s">
        <v>318</v>
      </c>
      <c r="D19" s="41" t="s">
        <v>290</v>
      </c>
      <c r="E19" s="41" t="s">
        <v>291</v>
      </c>
      <c r="F19" s="41" t="s">
        <v>82</v>
      </c>
      <c r="G19" s="41"/>
      <c r="H19" s="10"/>
    </row>
    <row r="20" customFormat="false" ht="19.5" hidden="false" customHeight="true" outlineLevel="0" collapsed="false">
      <c r="A20" s="10"/>
      <c r="B20" s="43" t="s">
        <v>293</v>
      </c>
      <c r="C20" s="193" t="s">
        <v>319</v>
      </c>
      <c r="D20" s="193" t="s">
        <v>320</v>
      </c>
      <c r="E20" s="193" t="s">
        <v>321</v>
      </c>
      <c r="F20" s="23"/>
      <c r="G20" s="23"/>
      <c r="H20" s="10"/>
    </row>
    <row r="21" customFormat="false" ht="19.5" hidden="false" customHeight="true" outlineLevel="0" collapsed="false">
      <c r="A21" s="10"/>
      <c r="B21" s="43" t="s">
        <v>294</v>
      </c>
      <c r="C21" s="190" t="n">
        <v>16500000</v>
      </c>
      <c r="D21" s="190" t="n">
        <v>16500000</v>
      </c>
      <c r="E21" s="190" t="n">
        <v>14900000</v>
      </c>
      <c r="F21" s="23"/>
      <c r="G21" s="23"/>
      <c r="H21" s="10"/>
    </row>
    <row r="22" customFormat="false" ht="19.5" hidden="false" customHeight="true" outlineLevel="0" collapsed="false">
      <c r="A22" s="10"/>
      <c r="B22" s="43" t="s">
        <v>295</v>
      </c>
      <c r="C22" s="190" t="n">
        <v>293049.3</v>
      </c>
      <c r="D22" s="190" t="n">
        <v>273049.3</v>
      </c>
      <c r="E22" s="190" t="n">
        <v>236382.65</v>
      </c>
      <c r="F22" s="23"/>
      <c r="G22" s="23"/>
      <c r="H22" s="10"/>
    </row>
    <row r="23" customFormat="false" ht="19.5" hidden="false" customHeight="true" outlineLevel="0" collapsed="false">
      <c r="A23" s="10"/>
      <c r="B23" s="43" t="s">
        <v>296</v>
      </c>
      <c r="C23" s="192" t="n">
        <v>45839</v>
      </c>
      <c r="D23" s="192" t="n">
        <v>45474</v>
      </c>
      <c r="E23" s="192" t="n">
        <v>45108</v>
      </c>
      <c r="F23" s="23"/>
      <c r="G23" s="23"/>
      <c r="H23" s="10"/>
    </row>
    <row r="24" customFormat="false" ht="19.5" hidden="false" customHeight="true" outlineLevel="0" collapsed="false">
      <c r="A24" s="10"/>
      <c r="B24" s="43" t="s">
        <v>322</v>
      </c>
      <c r="C24" s="195"/>
      <c r="D24" s="195"/>
      <c r="E24" s="195"/>
      <c r="F24" s="23"/>
      <c r="G24" s="23"/>
      <c r="H24" s="10"/>
    </row>
    <row r="25" customFormat="false" ht="19.5" hidden="false" customHeight="true" outlineLevel="0" collapsed="false">
      <c r="A25" s="10"/>
      <c r="B25" s="43" t="s">
        <v>323</v>
      </c>
      <c r="C25" s="198"/>
      <c r="D25" s="198"/>
      <c r="E25" s="198"/>
      <c r="F25" s="23"/>
      <c r="G25" s="23"/>
      <c r="H25" s="10"/>
    </row>
    <row r="26" customFormat="false" ht="19.5" hidden="false" customHeight="true" outlineLevel="0" collapsed="false">
      <c r="A26" s="10"/>
      <c r="B26" s="43" t="s">
        <v>324</v>
      </c>
      <c r="C26" s="199"/>
      <c r="D26" s="199"/>
      <c r="E26" s="199"/>
      <c r="F26" s="23"/>
      <c r="G26" s="23"/>
      <c r="H26" s="10"/>
    </row>
    <row r="27" customFormat="false" ht="19.5" hidden="false" customHeight="true" outlineLevel="0" collapsed="false">
      <c r="A27" s="10"/>
      <c r="B27" s="43" t="s">
        <v>325</v>
      </c>
      <c r="C27" s="191"/>
      <c r="D27" s="191"/>
      <c r="E27" s="191"/>
      <c r="F27" s="23"/>
      <c r="G27" s="23"/>
      <c r="H27" s="10"/>
    </row>
    <row r="28" customFormat="false" ht="9.75" hidden="false" customHeight="true" outlineLevel="0" collapsed="false">
      <c r="A28" s="10"/>
      <c r="B28" s="10"/>
      <c r="C28" s="10"/>
      <c r="D28" s="10"/>
      <c r="E28" s="10"/>
      <c r="F28" s="10"/>
      <c r="G28" s="10"/>
      <c r="H28" s="10"/>
    </row>
    <row r="29" customFormat="false" ht="18" hidden="false" customHeight="true" outlineLevel="0" collapsed="false">
      <c r="A29" s="10"/>
      <c r="B29" s="196" t="s">
        <v>326</v>
      </c>
      <c r="C29" s="196"/>
      <c r="D29" s="196"/>
      <c r="E29" s="196"/>
      <c r="F29" s="196"/>
      <c r="G29" s="196"/>
      <c r="H29" s="10"/>
    </row>
    <row r="30" customFormat="false" ht="19.5" hidden="false" customHeight="true" outlineLevel="0" collapsed="false">
      <c r="A30" s="10"/>
      <c r="B30" s="43" t="s">
        <v>327</v>
      </c>
      <c r="C30" s="177" t="n">
        <f aca="false">IFERROR(C21-D21,"")</f>
        <v>0</v>
      </c>
      <c r="D30" s="177"/>
      <c r="E30" s="178" t="n">
        <f aca="false">IFERROR((C21-D21)/D21,"")</f>
        <v>0</v>
      </c>
      <c r="F30" s="197"/>
      <c r="G30" s="197"/>
      <c r="H30" s="10"/>
    </row>
    <row r="31" customFormat="false" ht="19.5" hidden="false" customHeight="true" outlineLevel="0" collapsed="false">
      <c r="A31" s="10"/>
      <c r="B31" s="200" t="s">
        <v>328</v>
      </c>
      <c r="C31" s="177" t="n">
        <f aca="false">IFERROR(D21-E21,"")</f>
        <v>1600000</v>
      </c>
      <c r="D31" s="177"/>
      <c r="E31" s="178" t="n">
        <f aca="false">IFERROR((D21-E21)/E21,"")</f>
        <v>0.10738255033557</v>
      </c>
      <c r="F31" s="197"/>
      <c r="G31" s="197"/>
      <c r="H31" s="10"/>
    </row>
    <row r="32" customFormat="false" ht="9.75" hidden="false" customHeight="true" outlineLevel="0" collapsed="false">
      <c r="A32" s="10"/>
      <c r="B32" s="10"/>
      <c r="C32" s="10"/>
      <c r="D32" s="10"/>
      <c r="E32" s="10"/>
      <c r="F32" s="10"/>
      <c r="G32" s="10"/>
      <c r="H32" s="10"/>
    </row>
    <row r="33" customFormat="false" ht="21.75" hidden="false" customHeight="true" outlineLevel="0" collapsed="false">
      <c r="A33" s="10"/>
      <c r="B33" s="123" t="s">
        <v>329</v>
      </c>
      <c r="C33" s="123"/>
      <c r="D33" s="123"/>
      <c r="E33" s="123"/>
      <c r="F33" s="123"/>
      <c r="G33" s="123"/>
      <c r="H33" s="10"/>
    </row>
    <row r="34" customFormat="false" ht="24" hidden="false" customHeight="true" outlineLevel="0" collapsed="false">
      <c r="A34" s="10"/>
      <c r="B34" s="41" t="s">
        <v>330</v>
      </c>
      <c r="C34" s="41"/>
      <c r="D34" s="41" t="s">
        <v>331</v>
      </c>
      <c r="E34" s="41"/>
      <c r="F34" s="41"/>
      <c r="G34" s="41" t="s">
        <v>332</v>
      </c>
      <c r="H34" s="10"/>
    </row>
    <row r="35" customFormat="false" ht="19.5" hidden="false" customHeight="true" outlineLevel="0" collapsed="false">
      <c r="A35" s="10"/>
      <c r="B35" s="43" t="s">
        <v>333</v>
      </c>
      <c r="C35" s="43"/>
      <c r="D35" s="193" t="s">
        <v>334</v>
      </c>
      <c r="E35" s="193"/>
      <c r="F35" s="193"/>
      <c r="G35" s="191"/>
      <c r="H35" s="10"/>
    </row>
    <row r="36" customFormat="false" ht="19.5" hidden="false" customHeight="true" outlineLevel="0" collapsed="false">
      <c r="A36" s="10"/>
      <c r="B36" s="43" t="s">
        <v>335</v>
      </c>
      <c r="C36" s="43"/>
      <c r="D36" s="190" t="n">
        <v>27000000</v>
      </c>
      <c r="E36" s="190"/>
      <c r="F36" s="190"/>
      <c r="G36" s="195"/>
      <c r="H36" s="10"/>
    </row>
    <row r="37" customFormat="false" ht="19.5" hidden="false" customHeight="true" outlineLevel="0" collapsed="false">
      <c r="A37" s="10"/>
      <c r="B37" s="43" t="s">
        <v>336</v>
      </c>
      <c r="C37" s="43"/>
      <c r="D37" s="192" t="n">
        <v>45473</v>
      </c>
      <c r="E37" s="192"/>
      <c r="F37" s="192"/>
      <c r="G37" s="199"/>
      <c r="H37" s="10"/>
    </row>
    <row r="38" customFormat="false" ht="19.5" hidden="false" customHeight="true" outlineLevel="0" collapsed="false">
      <c r="A38" s="10"/>
      <c r="B38" s="43" t="s">
        <v>337</v>
      </c>
      <c r="C38" s="43"/>
      <c r="D38" s="198"/>
      <c r="E38" s="198"/>
      <c r="F38" s="198"/>
      <c r="G38" s="201" t="s">
        <v>338</v>
      </c>
      <c r="H38" s="10"/>
    </row>
    <row r="39" customFormat="false" ht="19.5" hidden="false" customHeight="true" outlineLevel="0" collapsed="false">
      <c r="A39" s="10"/>
      <c r="B39" s="43" t="s">
        <v>339</v>
      </c>
      <c r="C39" s="43"/>
      <c r="D39" s="191"/>
      <c r="E39" s="191"/>
      <c r="F39" s="191"/>
      <c r="G39" s="191"/>
      <c r="H39" s="10"/>
    </row>
    <row r="40" customFormat="false" ht="19.5" hidden="false" customHeight="true" outlineLevel="0" collapsed="false">
      <c r="A40" s="10"/>
      <c r="B40" s="43" t="s">
        <v>340</v>
      </c>
      <c r="C40" s="43"/>
      <c r="D40" s="199"/>
      <c r="E40" s="199"/>
      <c r="F40" s="199"/>
      <c r="G40" s="199"/>
      <c r="H40" s="10"/>
    </row>
    <row r="41" customFormat="false" ht="19.5" hidden="false" customHeight="true" outlineLevel="0" collapsed="false">
      <c r="A41" s="10"/>
      <c r="B41" s="43" t="s">
        <v>341</v>
      </c>
      <c r="C41" s="43"/>
      <c r="D41" s="178" t="n">
        <f aca="false">IFERROR(D36/Valuations!C6,"")</f>
        <v>0.352941176470588</v>
      </c>
      <c r="E41" s="178"/>
      <c r="F41" s="178"/>
      <c r="G41" s="202"/>
      <c r="H41" s="10"/>
    </row>
    <row r="42" customFormat="false" ht="19.5" hidden="false" customHeight="true" outlineLevel="0" collapsed="false">
      <c r="A42" s="10"/>
      <c r="B42" s="43" t="s">
        <v>342</v>
      </c>
      <c r="C42" s="43"/>
      <c r="D42" s="203"/>
      <c r="E42" s="203"/>
      <c r="F42" s="203"/>
      <c r="G42" s="203"/>
      <c r="H42" s="10"/>
    </row>
    <row r="43" customFormat="false" ht="19.5" hidden="false" customHeight="true" outlineLevel="0" collapsed="false">
      <c r="A43" s="10"/>
      <c r="B43" s="43" t="s">
        <v>343</v>
      </c>
      <c r="C43" s="43"/>
      <c r="D43" s="191"/>
      <c r="E43" s="191"/>
      <c r="F43" s="191"/>
      <c r="G43" s="191"/>
      <c r="H43" s="10"/>
    </row>
    <row r="44" customFormat="false" ht="9.75" hidden="false" customHeight="true" outlineLevel="0" collapsed="false">
      <c r="A44" s="10"/>
      <c r="B44" s="10"/>
      <c r="C44" s="10"/>
      <c r="D44" s="10"/>
      <c r="E44" s="10"/>
      <c r="F44" s="10"/>
      <c r="G44" s="10"/>
      <c r="H44" s="10"/>
    </row>
    <row r="45" customFormat="false" ht="19.5" hidden="false" customHeight="true" outlineLevel="0" collapsed="false">
      <c r="A45" s="10"/>
      <c r="B45" s="204" t="s">
        <v>344</v>
      </c>
      <c r="C45" s="204"/>
      <c r="D45" s="204"/>
      <c r="E45" s="204"/>
      <c r="F45" s="204"/>
      <c r="G45" s="204"/>
      <c r="H45" s="10"/>
    </row>
  </sheetData>
  <mergeCells count="54">
    <mergeCell ref="A1:H1"/>
    <mergeCell ref="A2:H2"/>
    <mergeCell ref="B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B14:G14"/>
    <mergeCell ref="C15:D15"/>
    <mergeCell ref="F15:G15"/>
    <mergeCell ref="C16:D16"/>
    <mergeCell ref="F16:G16"/>
    <mergeCell ref="B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B29:G29"/>
    <mergeCell ref="C30:D30"/>
    <mergeCell ref="F30:G30"/>
    <mergeCell ref="C31:D31"/>
    <mergeCell ref="F31:G31"/>
    <mergeCell ref="B33:G33"/>
    <mergeCell ref="B34:C34"/>
    <mergeCell ref="D34:F34"/>
    <mergeCell ref="B35:C35"/>
    <mergeCell ref="D35:F35"/>
    <mergeCell ref="B36:C36"/>
    <mergeCell ref="D36:F36"/>
    <mergeCell ref="B37:C37"/>
    <mergeCell ref="D37:F37"/>
    <mergeCell ref="B38:C38"/>
    <mergeCell ref="D38:F38"/>
    <mergeCell ref="B39:C39"/>
    <mergeCell ref="D39:F39"/>
    <mergeCell ref="B40:C40"/>
    <mergeCell ref="D40:F40"/>
    <mergeCell ref="B41:C41"/>
    <mergeCell ref="D41:F41"/>
    <mergeCell ref="B42:C42"/>
    <mergeCell ref="D42:F42"/>
    <mergeCell ref="B43:C43"/>
    <mergeCell ref="D43:F43"/>
    <mergeCell ref="B45:G45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I9" activeCellId="0" sqref="I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7" width="1.45"/>
    <col collapsed="false" customWidth="true" hidden="false" outlineLevel="0" max="2" min="2" style="7" width="9"/>
    <col collapsed="false" customWidth="true" hidden="false" outlineLevel="0" max="3" min="3" style="7" width="10"/>
    <col collapsed="false" customWidth="true" hidden="false" outlineLevel="0" max="4" min="4" style="7" width="30"/>
    <col collapsed="false" customWidth="true" hidden="false" outlineLevel="0" max="5" min="5" style="7" width="11.09"/>
    <col collapsed="false" customWidth="true" hidden="false" outlineLevel="0" max="7" min="6" style="7" width="12"/>
    <col collapsed="false" customWidth="true" hidden="false" outlineLevel="0" max="8" min="8" style="7" width="9"/>
    <col collapsed="false" customWidth="true" hidden="false" outlineLevel="0" max="9" min="9" style="7" width="18.91"/>
    <col collapsed="false" customWidth="true" hidden="false" outlineLevel="0" max="10" min="10" style="7" width="10"/>
    <col collapsed="false" customWidth="true" hidden="false" outlineLevel="0" max="11" min="11" style="7" width="14"/>
    <col collapsed="false" customWidth="true" hidden="false" outlineLevel="0" max="12" min="12" style="7" width="10"/>
    <col collapsed="false" customWidth="true" hidden="false" outlineLevel="0" max="13" min="13" style="7" width="9"/>
    <col collapsed="false" customWidth="true" hidden="false" outlineLevel="0" max="14" min="14" style="7" width="14"/>
    <col collapsed="false" customWidth="true" hidden="false" outlineLevel="0" max="15" min="15" style="7" width="12"/>
  </cols>
  <sheetData>
    <row r="1" customFormat="false" ht="27.75" hidden="false" customHeight="true" outlineLevel="0" collapsed="false">
      <c r="A1" s="205" t="s">
        <v>345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10"/>
    </row>
    <row r="2" customFormat="false" ht="15.75" hidden="false" customHeight="true" outlineLevel="0" collapsed="false">
      <c r="A2" s="206" t="s">
        <v>346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206"/>
      <c r="P2" s="10"/>
    </row>
    <row r="3" customFormat="false" ht="36" hidden="false" customHeight="true" outlineLevel="0" collapsed="false">
      <c r="A3" s="10"/>
      <c r="B3" s="41" t="s">
        <v>60</v>
      </c>
      <c r="C3" s="41" t="s">
        <v>61</v>
      </c>
      <c r="D3" s="41" t="s">
        <v>347</v>
      </c>
      <c r="E3" s="41" t="s">
        <v>348</v>
      </c>
      <c r="F3" s="41" t="s">
        <v>349</v>
      </c>
      <c r="G3" s="41" t="s">
        <v>350</v>
      </c>
      <c r="H3" s="41" t="s">
        <v>351</v>
      </c>
      <c r="I3" s="41" t="s">
        <v>352</v>
      </c>
      <c r="J3" s="41" t="s">
        <v>353</v>
      </c>
      <c r="K3" s="41" t="s">
        <v>354</v>
      </c>
      <c r="L3" s="41" t="s">
        <v>355</v>
      </c>
      <c r="M3" s="41" t="s">
        <v>356</v>
      </c>
      <c r="N3" s="41" t="s">
        <v>357</v>
      </c>
      <c r="O3" s="41" t="s">
        <v>358</v>
      </c>
      <c r="P3" s="41" t="s">
        <v>359</v>
      </c>
    </row>
    <row r="4" customFormat="false" ht="15.75" hidden="false" customHeight="true" outlineLevel="0" collapsed="false">
      <c r="A4" s="10"/>
      <c r="B4" s="53" t="str">
        <f aca="false">'Input Data'!B3</f>
        <v>BSMT</v>
      </c>
      <c r="C4" s="53" t="str">
        <f aca="false">'Input Data'!C3</f>
        <v>LWR GROUND</v>
      </c>
      <c r="D4" s="54" t="str">
        <f aca="false">IFERROR('Input Data'!D3&amp;" ("&amp;'Input Data'!E3&amp;")",'Input Data'!D3)</f>
        <v>OPULENT TWO ENTERPRISES (OPULENT TWO ENTERPRISES)</v>
      </c>
      <c r="E4" s="56" t="n">
        <f aca="false">'Input Data'!F3</f>
        <v>151.2</v>
      </c>
      <c r="F4" s="57" t="n">
        <f aca="false">IFERROR('Input Data'!G3,"")</f>
        <v>42401</v>
      </c>
      <c r="G4" s="57" t="n">
        <f aca="false">IFERROR('Input Data'!H3,"")</f>
        <v>47149</v>
      </c>
      <c r="H4" s="58" t="n">
        <f aca="false">'Input Data'!I3</f>
        <v>13</v>
      </c>
      <c r="I4" s="61" t="n">
        <f aca="false">'Input Data'!V3</f>
        <v>2.5927446954141</v>
      </c>
      <c r="J4" s="59" t="n">
        <f aca="false">'Input Data'!J3</f>
        <v>1002.01</v>
      </c>
      <c r="K4" s="59" t="n">
        <f aca="false">'Input Data'!N3</f>
        <v>123489.072</v>
      </c>
      <c r="L4" s="207" t="str">
        <f aca="true">IF(Z3="","VACANT",IF(OR(Z3&lt;TODAY(),YEAR(Z3)&lt;=2026),"2026",IF(YEAR(Z3)=2027,"2027",IF(YEAR(Z3)=2028,"2028",IF(YEAR(Z3)=2029,"2029",IF(YEAR(Z3)=2030,"2030","2031+"))))))</f>
        <v>VACANT</v>
      </c>
      <c r="M4" s="53" t="n">
        <f aca="false">'Input Data'!O3</f>
        <v>0</v>
      </c>
      <c r="N4" s="55" t="str">
        <f aca="false">'Input Data'!P3</f>
        <v>FIXED 4%</v>
      </c>
      <c r="O4" s="59" t="n">
        <f aca="false">'Input Data'!S3</f>
        <v>930</v>
      </c>
      <c r="P4" s="59" t="n">
        <f aca="false">'Input Data'!T3</f>
        <v>72.01</v>
      </c>
    </row>
    <row r="5" customFormat="false" ht="15.75" hidden="false" customHeight="true" outlineLevel="0" collapsed="false">
      <c r="A5" s="10"/>
      <c r="B5" s="28" t="str">
        <f aca="false">'Input Data'!B4</f>
        <v>GF</v>
      </c>
      <c r="C5" s="28" t="str">
        <f aca="false">'Input Data'!C4</f>
        <v>GROUND</v>
      </c>
      <c r="D5" s="43" t="str">
        <f aca="false">IFERROR('Input Data'!D4&amp;" ("&amp;'Input Data'!E4&amp;")",'Input Data'!D4)</f>
        <v>RCVRI MARTIN PLACE PTY LTD (RECOVERIE)</v>
      </c>
      <c r="E5" s="44" t="n">
        <f aca="false">'Input Data'!F4</f>
        <v>298.3</v>
      </c>
      <c r="F5" s="45" t="n">
        <f aca="false">IFERROR('Input Data'!G4,"")</f>
        <v>45678</v>
      </c>
      <c r="G5" s="45" t="n">
        <f aca="false">IFERROR('Input Data'!H4,"")</f>
        <v>48233</v>
      </c>
      <c r="H5" s="46" t="n">
        <f aca="false">'Input Data'!I4</f>
        <v>7</v>
      </c>
      <c r="I5" s="49" t="n">
        <f aca="false">'Input Data'!V4</f>
        <v>5.5605749486653</v>
      </c>
      <c r="J5" s="47" t="n">
        <f aca="false">'Input Data'!J4</f>
        <v>1150.52</v>
      </c>
      <c r="K5" s="47" t="n">
        <f aca="false">'Input Data'!N4</f>
        <v>272485.796</v>
      </c>
      <c r="L5" s="173" t="str">
        <f aca="true">IF(Z4="","VACANT",IF(OR(Z4&lt;TODAY(),YEAR(Z4)&lt;=2026),"2026",IF(YEAR(Z4)=2027,"2027",IF(YEAR(Z4)=2028,"2028",IF(YEAR(Z4)=2029,"2029",IF(YEAR(Z4)=2030,"2030","2031+"))))))</f>
        <v>VACANT</v>
      </c>
      <c r="M5" s="28" t="n">
        <f aca="false">'Input Data'!O4</f>
        <v>0</v>
      </c>
      <c r="N5" s="31" t="str">
        <f aca="false">'Input Data'!P4</f>
        <v>FIXED 4%</v>
      </c>
      <c r="O5" s="47" t="n">
        <f aca="false">'Input Data'!S4</f>
        <v>1100</v>
      </c>
      <c r="P5" s="47" t="n">
        <f aca="false">'Input Data'!T4</f>
        <v>50.52</v>
      </c>
    </row>
    <row r="6" customFormat="false" ht="15.75" hidden="false" customHeight="true" outlineLevel="0" collapsed="false">
      <c r="A6" s="10"/>
      <c r="B6" s="63" t="str">
        <f aca="false">'Input Data'!B5</f>
        <v>L01</v>
      </c>
      <c r="C6" s="63" t="str">
        <f aca="false">'Input Data'!C5</f>
        <v>101&amp;2</v>
      </c>
      <c r="D6" s="64" t="str">
        <f aca="false">IFERROR('Input Data'!D5&amp;" ("&amp;'Input Data'!E5&amp;")",'Input Data'!D5)</f>
        <v>BLITZEM PTY LTD (BLITZEM PTY LTD)</v>
      </c>
      <c r="E6" s="65" t="n">
        <f aca="false">'Input Data'!F5</f>
        <v>162.4</v>
      </c>
      <c r="F6" s="26" t="n">
        <f aca="false">IFERROR('Input Data'!G5,"")</f>
        <v>42795</v>
      </c>
      <c r="G6" s="26" t="n">
        <f aca="false">IFERROR('Input Data'!H5,"")</f>
        <v>47299</v>
      </c>
      <c r="H6" s="66" t="n">
        <f aca="false">'Input Data'!I5</f>
        <v>3</v>
      </c>
      <c r="I6" s="69" t="n">
        <f aca="false">'Input Data'!V5</f>
        <v>3.00342231348392</v>
      </c>
      <c r="J6" s="67" t="n">
        <f aca="false">'Input Data'!J5</f>
        <v>1012.37</v>
      </c>
      <c r="K6" s="67" t="n">
        <f aca="false">'Input Data'!N5</f>
        <v>164408.888</v>
      </c>
      <c r="L6" s="208" t="str">
        <f aca="true">IF(Z5="","VACANT",IF(OR(Z5&lt;TODAY(),YEAR(Z5)&lt;=2026),"2026",IF(YEAR(Z5)=2027,"2027",IF(YEAR(Z5)=2028,"2028",IF(YEAR(Z5)=2029,"2029",IF(YEAR(Z5)=2030,"2030","2031+"))))))</f>
        <v>VACANT</v>
      </c>
      <c r="M6" s="63" t="n">
        <f aca="false">'Input Data'!O5</f>
        <v>0</v>
      </c>
      <c r="N6" s="37" t="str">
        <f aca="false">'Input Data'!P5</f>
        <v>FIXED 4.0%</v>
      </c>
      <c r="O6" s="67" t="n">
        <f aca="false">'Input Data'!S5</f>
        <v>1115</v>
      </c>
      <c r="P6" s="67" t="n">
        <f aca="false">'Input Data'!T5</f>
        <v>-102.63</v>
      </c>
    </row>
    <row r="7" customFormat="false" ht="15.75" hidden="false" customHeight="true" outlineLevel="0" collapsed="false">
      <c r="A7" s="10"/>
      <c r="B7" s="28" t="str">
        <f aca="false">'Input Data'!B6</f>
        <v>L01</v>
      </c>
      <c r="C7" s="28" t="str">
        <f aca="false">'Input Data'!C6</f>
        <v>103</v>
      </c>
      <c r="D7" s="43" t="str">
        <f aca="false">IFERROR('Input Data'!D6&amp;" ("&amp;'Input Data'!E6&amp;")",'Input Data'!D6)</f>
        <v>PU PRIME TRADING PTY LTD (PU PRIME TRADING PTY LTD)</v>
      </c>
      <c r="E7" s="44" t="n">
        <f aca="false">'Input Data'!F6</f>
        <v>96.3</v>
      </c>
      <c r="F7" s="45" t="n">
        <f aca="false">IFERROR('Input Data'!G6,"")</f>
        <v>44378</v>
      </c>
      <c r="G7" s="45" t="n">
        <f aca="false">IFERROR('Input Data'!H6,"")</f>
        <v>46918</v>
      </c>
      <c r="H7" s="46" t="n">
        <f aca="false">'Input Data'!I6</f>
        <v>7</v>
      </c>
      <c r="I7" s="49" t="n">
        <f aca="false">'Input Data'!V6</f>
        <v>1.96030116358658</v>
      </c>
      <c r="J7" s="47" t="n">
        <f aca="false">'Input Data'!J6</f>
        <v>1021.99</v>
      </c>
      <c r="K7" s="47" t="n">
        <f aca="false">'Input Data'!N6</f>
        <v>89396.037</v>
      </c>
      <c r="L7" s="173" t="str">
        <f aca="true">IF(Z6="","VACANT",IF(OR(Z6&lt;TODAY(),YEAR(Z6)&lt;=2026),"2026",IF(YEAR(Z6)=2027,"2027",IF(YEAR(Z6)=2028,"2028",IF(YEAR(Z6)=2029,"2029",IF(YEAR(Z6)=2030,"2030","2031+"))))))</f>
        <v>VACANT</v>
      </c>
      <c r="M7" s="28" t="n">
        <f aca="false">'Input Data'!O6</f>
        <v>0</v>
      </c>
      <c r="N7" s="31" t="str">
        <f aca="false">'Input Data'!P6</f>
        <v>FIXED 4%</v>
      </c>
      <c r="O7" s="47" t="n">
        <f aca="false">'Input Data'!S6</f>
        <v>960</v>
      </c>
      <c r="P7" s="47" t="n">
        <f aca="false">'Input Data'!T6</f>
        <v>61.99</v>
      </c>
    </row>
    <row r="8" customFormat="false" ht="15.75" hidden="false" customHeight="true" outlineLevel="0" collapsed="false">
      <c r="A8" s="10"/>
      <c r="B8" s="63" t="str">
        <f aca="false">'Input Data'!B7</f>
        <v>L01</v>
      </c>
      <c r="C8" s="63" t="str">
        <f aca="false">'Input Data'!C7</f>
        <v>104</v>
      </c>
      <c r="D8" s="64" t="str">
        <f aca="false">IFERROR('Input Data'!D7&amp;" ("&amp;'Input Data'!E7&amp;")",'Input Data'!D7)</f>
        <v>TJC#1 PTY LTD (BALANCE INSOLVENCY)</v>
      </c>
      <c r="E8" s="65" t="n">
        <f aca="false">'Input Data'!F7</f>
        <v>98.1</v>
      </c>
      <c r="F8" s="26" t="n">
        <f aca="false">IFERROR('Input Data'!G7,"")</f>
        <v>45139</v>
      </c>
      <c r="G8" s="26" t="n">
        <f aca="false">IFERROR('Input Data'!H7,"")</f>
        <v>46234</v>
      </c>
      <c r="H8" s="66" t="n">
        <f aca="false">'Input Data'!I7</f>
        <v>3</v>
      </c>
      <c r="I8" s="69" t="n">
        <f aca="false">'Input Data'!V7</f>
        <v>0.0876112251882272</v>
      </c>
      <c r="J8" s="67" t="n">
        <f aca="false">'Input Data'!J7</f>
        <v>973.44</v>
      </c>
      <c r="K8" s="67" t="n">
        <f aca="false">'Input Data'!N7</f>
        <v>76070.664</v>
      </c>
      <c r="L8" s="208" t="str">
        <f aca="true">IF(Z7="","VACANT",IF(OR(Z7&lt;TODAY(),YEAR(Z7)&lt;=2026),"2026",IF(YEAR(Z7)=2027,"2027",IF(YEAR(Z7)=2028,"2028",IF(YEAR(Z7)=2029,"2029",IF(YEAR(Z7)=2030,"2030","2031+"))))))</f>
        <v>VACANT</v>
      </c>
      <c r="M8" s="63" t="n">
        <f aca="false">'Input Data'!O7</f>
        <v>0</v>
      </c>
      <c r="N8" s="37" t="str">
        <f aca="false">'Input Data'!P7</f>
        <v>LEASE RENEWAL</v>
      </c>
      <c r="O8" s="67" t="n">
        <f aca="false">'Input Data'!S7</f>
        <v>960</v>
      </c>
      <c r="P8" s="67" t="n">
        <f aca="false">'Input Data'!T7</f>
        <v>13.4400000000001</v>
      </c>
    </row>
    <row r="9" customFormat="false" ht="15.75" hidden="false" customHeight="true" outlineLevel="0" collapsed="false">
      <c r="A9" s="10"/>
      <c r="B9" s="28" t="str">
        <f aca="false">'Input Data'!B8</f>
        <v>L02</v>
      </c>
      <c r="C9" s="28" t="str">
        <f aca="false">'Input Data'!C8</f>
        <v>WHOLE</v>
      </c>
      <c r="D9" s="43" t="str">
        <f aca="false">IFERROR('Input Data'!D8&amp;" ("&amp;'Input Data'!E8&amp;")",'Input Data'!D8)</f>
        <v>PRINCETON FINANCIAL SERVICES (PRINCETON FINANCIAL SERVICES)</v>
      </c>
      <c r="E9" s="44" t="n">
        <f aca="false">'Input Data'!F8</f>
        <v>393.2</v>
      </c>
      <c r="F9" s="45" t="n">
        <f aca="false">IFERROR('Input Data'!G8,"")</f>
        <v>45292</v>
      </c>
      <c r="G9" s="45" t="n">
        <f aca="false">IFERROR('Input Data'!H8,"")</f>
        <v>47118</v>
      </c>
      <c r="H9" s="46" t="n">
        <f aca="false">'Input Data'!I8</f>
        <v>5</v>
      </c>
      <c r="I9" s="49" t="n">
        <f aca="false">'Input Data'!V8</f>
        <v>2.50787132101301</v>
      </c>
      <c r="J9" s="47" t="n">
        <f aca="false">'Input Data'!J8</f>
        <v>1081.6</v>
      </c>
      <c r="K9" s="47" t="n">
        <f aca="false">'Input Data'!N8</f>
        <v>401703.32</v>
      </c>
      <c r="L9" s="173" t="str">
        <f aca="true">IF(Z8="","VACANT",IF(OR(Z8&lt;TODAY(),YEAR(Z8)&lt;=2026),"2026",IF(YEAR(Z8)=2027,"2027",IF(YEAR(Z8)=2028,"2028",IF(YEAR(Z8)=2029,"2029",IF(YEAR(Z8)=2030,"2030","2031+"))))))</f>
        <v>VACANT</v>
      </c>
      <c r="M9" s="28" t="n">
        <f aca="false">'Input Data'!O8</f>
        <v>0</v>
      </c>
      <c r="N9" s="31" t="str">
        <f aca="false">'Input Data'!P8</f>
        <v>FIXED 4%</v>
      </c>
      <c r="O9" s="47" t="n">
        <f aca="false">'Input Data'!S8</f>
        <v>1095</v>
      </c>
      <c r="P9" s="47" t="n">
        <f aca="false">'Input Data'!T8</f>
        <v>-13.4000000000001</v>
      </c>
    </row>
    <row r="10" customFormat="false" ht="15.75" hidden="false" customHeight="true" outlineLevel="0" collapsed="false">
      <c r="A10" s="10"/>
      <c r="B10" s="28" t="str">
        <f aca="false">'Input Data'!B9</f>
        <v>L03</v>
      </c>
      <c r="C10" s="28" t="str">
        <f aca="false">'Input Data'!C9</f>
        <v>301&amp;2</v>
      </c>
      <c r="D10" s="43" t="str">
        <f aca="false">IFERROR('Input Data'!D9&amp;" ("&amp;'Input Data'!E9&amp;")",'Input Data'!D9)</f>
        <v>IPM RESIDENTIAL PTY LTD (IPM RESIDENTIAL PTY LTD)</v>
      </c>
      <c r="E10" s="44" t="n">
        <f aca="false">'Input Data'!F9</f>
        <v>164.2</v>
      </c>
      <c r="F10" s="45" t="n">
        <f aca="false">IFERROR('Input Data'!G9,"")</f>
        <v>44713</v>
      </c>
      <c r="G10" s="45" t="n">
        <f aca="false">IFERROR('Input Data'!H9,"")</f>
        <v>46538</v>
      </c>
      <c r="H10" s="46" t="n">
        <f aca="false">'Input Data'!I9</f>
        <v>5</v>
      </c>
      <c r="I10" s="49" t="n">
        <f aca="false">'Input Data'!V9</f>
        <v>0.919917864476386</v>
      </c>
      <c r="J10" s="47" t="n">
        <f aca="false">'Input Data'!J9</f>
        <v>1216.58</v>
      </c>
      <c r="K10" s="47" t="n">
        <f aca="false">'Input Data'!N9</f>
        <v>184245.476</v>
      </c>
      <c r="L10" s="173" t="str">
        <f aca="true">IF(Z9="","VACANT",IF(OR(Z9&lt;TODAY(),YEAR(Z9)&lt;=2026),"2026",IF(YEAR(Z9)=2027,"2027",IF(YEAR(Z9)=2028,"2028",IF(YEAR(Z9)=2029,"2029",IF(YEAR(Z9)=2030,"2030","2031+"))))))</f>
        <v>VACANT</v>
      </c>
      <c r="M10" s="28" t="n">
        <f aca="false">'Input Data'!O9</f>
        <v>2</v>
      </c>
      <c r="N10" s="31" t="str">
        <f aca="false">'Input Data'!P9</f>
        <v>LEASE RENEWAL</v>
      </c>
      <c r="O10" s="47" t="n">
        <f aca="false">'Input Data'!S9</f>
        <v>1135</v>
      </c>
      <c r="P10" s="47" t="n">
        <f aca="false">'Input Data'!T9</f>
        <v>81.5799999999999</v>
      </c>
    </row>
    <row r="11" customFormat="false" ht="15.75" hidden="false" customHeight="true" outlineLevel="0" collapsed="false">
      <c r="A11" s="10"/>
      <c r="B11" s="28" t="str">
        <f aca="false">'Input Data'!B10</f>
        <v>L03</v>
      </c>
      <c r="C11" s="28" t="str">
        <f aca="false">'Input Data'!C10</f>
        <v>303&amp;4</v>
      </c>
      <c r="D11" s="43" t="str">
        <f aca="false">IFERROR('Input Data'!D10&amp;" ("&amp;'Input Data'!E10&amp;")",'Input Data'!D10)</f>
        <v>BROADRIDGE (AUSTRALIA) PTY LTD (BROADRIDGE (AUSTRALI) PTY LTD)</v>
      </c>
      <c r="E11" s="44" t="n">
        <f aca="false">'Input Data'!F10</f>
        <v>193.4</v>
      </c>
      <c r="F11" s="45" t="n">
        <f aca="false">IFERROR('Input Data'!G10,"")</f>
        <v>45566</v>
      </c>
      <c r="G11" s="45" t="n">
        <f aca="false">IFERROR('Input Data'!H10,"")</f>
        <v>47026</v>
      </c>
      <c r="H11" s="46" t="n">
        <f aca="false">'Input Data'!I10</f>
        <v>4</v>
      </c>
      <c r="I11" s="49" t="n">
        <f aca="false">'Input Data'!V10</f>
        <v>2.25598904859685</v>
      </c>
      <c r="J11" s="47" t="n">
        <f aca="false">'Input Data'!J10</f>
        <v>933.75</v>
      </c>
      <c r="K11" s="47" t="n">
        <f aca="false">'Input Data'!N10</f>
        <v>159625.05</v>
      </c>
      <c r="L11" s="173" t="str">
        <f aca="true">IF(Z10="","VACANT",IF(OR(Z10&lt;TODAY(),YEAR(Z10)&lt;=2026),"2026",IF(YEAR(Z10)=2027,"2027",IF(YEAR(Z10)=2028,"2028",IF(YEAR(Z10)=2029,"2029",IF(YEAR(Z10)=2030,"2030","2031+"))))))</f>
        <v>VACANT</v>
      </c>
      <c r="M11" s="28" t="n">
        <f aca="false">'Input Data'!O10</f>
        <v>0</v>
      </c>
      <c r="N11" s="31" t="str">
        <f aca="false">'Input Data'!P10</f>
        <v>FIXED 3.75%</v>
      </c>
      <c r="O11" s="47" t="n">
        <f aca="false">'Input Data'!S10</f>
        <v>920</v>
      </c>
      <c r="P11" s="47" t="n">
        <f aca="false">'Input Data'!T10</f>
        <v>13.75</v>
      </c>
    </row>
    <row r="12" customFormat="false" ht="15.75" hidden="false" customHeight="true" outlineLevel="0" collapsed="false">
      <c r="A12" s="10"/>
      <c r="B12" s="53" t="str">
        <f aca="false">'Input Data'!B11</f>
        <v>L04</v>
      </c>
      <c r="C12" s="53" t="str">
        <f aca="false">'Input Data'!C11</f>
        <v>401</v>
      </c>
      <c r="D12" s="54" t="str">
        <f aca="false">IFERROR('Input Data'!D11&amp;" ("&amp;'Input Data'!E11&amp;")",'Input Data'!D11)</f>
        <v>B-W INTERNATIONAL AUSTRALIA PTY LTD (B-W INTERNATIONAL AUSTRALIA PTY LTD)</v>
      </c>
      <c r="E12" s="56" t="n">
        <f aca="false">'Input Data'!F11</f>
        <v>214.1</v>
      </c>
      <c r="F12" s="57" t="n">
        <f aca="false">IFERROR('Input Data'!G11,"")</f>
        <v>45352</v>
      </c>
      <c r="G12" s="57" t="n">
        <f aca="false">IFERROR('Input Data'!H11,"")</f>
        <v>47177</v>
      </c>
      <c r="H12" s="58" t="n">
        <f aca="false">'Input Data'!I11</f>
        <v>5</v>
      </c>
      <c r="I12" s="61" t="n">
        <f aca="false">'Input Data'!V11</f>
        <v>2.6694045174538</v>
      </c>
      <c r="J12" s="59" t="n">
        <f aca="false">'Input Data'!J11</f>
        <v>1135.61</v>
      </c>
      <c r="K12" s="59" t="n">
        <f aca="false">'Input Data'!N11</f>
        <v>188930.341</v>
      </c>
      <c r="L12" s="207" t="str">
        <f aca="true">IF(Z11="","VACANT",IF(OR(Z11&lt;TODAY(),YEAR(Z11)&lt;=2026),"2026",IF(YEAR(Z11)=2027,"2027",IF(YEAR(Z11)=2028,"2028",IF(YEAR(Z11)=2029,"2029",IF(YEAR(Z11)=2030,"2030","2031+"))))))</f>
        <v>VACANT</v>
      </c>
      <c r="M12" s="53" t="n">
        <f aca="false">'Input Data'!O11</f>
        <v>0</v>
      </c>
      <c r="N12" s="55" t="str">
        <f aca="false">'Input Data'!P11</f>
        <v>FIXED 3.75%</v>
      </c>
      <c r="O12" s="59" t="n">
        <f aca="false">'Input Data'!S11</f>
        <v>1145</v>
      </c>
      <c r="P12" s="59" t="n">
        <f aca="false">'Input Data'!T11</f>
        <v>-9.3900000000001</v>
      </c>
    </row>
    <row r="13" customFormat="false" ht="15.75" hidden="false" customHeight="true" outlineLevel="0" collapsed="false">
      <c r="A13" s="10"/>
      <c r="B13" s="209" t="str">
        <f aca="false">'Input Data'!B12</f>
        <v>L04</v>
      </c>
      <c r="C13" s="209" t="str">
        <f aca="false">'Input Data'!C12</f>
        <v>402</v>
      </c>
      <c r="D13" s="200" t="str">
        <f aca="false">IFERROR('Input Data'!D12&amp;" ("&amp;'Input Data'!E12&amp;")",'Input Data'!D12)</f>
        <v>MP TRAVEL PTY LTD (GRAY DAWES TRAVEL)</v>
      </c>
      <c r="E13" s="210" t="n">
        <f aca="false">'Input Data'!F12</f>
        <v>145.6</v>
      </c>
      <c r="F13" s="211" t="n">
        <f aca="false">IFERROR('Input Data'!G12,"")</f>
        <v>45658</v>
      </c>
      <c r="G13" s="211" t="n">
        <f aca="false">IFERROR('Input Data'!H12,"")</f>
        <v>47483</v>
      </c>
      <c r="H13" s="212" t="n">
        <f aca="false">'Input Data'!I12</f>
        <v>5</v>
      </c>
      <c r="I13" s="213" t="n">
        <f aca="false">'Input Data'!V12</f>
        <v>3.50718685831622</v>
      </c>
      <c r="J13" s="214" t="n">
        <f aca="false">'Input Data'!J12</f>
        <v>1037.5</v>
      </c>
      <c r="K13" s="214" t="n">
        <f aca="false">'Input Data'!N12</f>
        <v>133384.12</v>
      </c>
      <c r="L13" s="215" t="str">
        <f aca="true">IF(Z12="","VACANT",IF(OR(Z12&lt;TODAY(),YEAR(Z12)&lt;=2026),"2026",IF(YEAR(Z12)=2027,"2027",IF(YEAR(Z12)=2028,"2028",IF(YEAR(Z12)=2029,"2029",IF(YEAR(Z12)=2030,"2030","2031+"))))))</f>
        <v>VACANT</v>
      </c>
      <c r="M13" s="209" t="n">
        <f aca="false">'Input Data'!O12</f>
        <v>0</v>
      </c>
      <c r="N13" s="39" t="str">
        <f aca="false">'Input Data'!P12</f>
        <v>FIXED 3.75%</v>
      </c>
      <c r="O13" s="214" t="n">
        <f aca="false">'Input Data'!S12</f>
        <v>1000</v>
      </c>
      <c r="P13" s="214" t="n">
        <f aca="false">'Input Data'!T12</f>
        <v>37.5</v>
      </c>
    </row>
    <row r="14" customFormat="false" ht="15.75" hidden="false" customHeight="true" outlineLevel="0" collapsed="false">
      <c r="A14" s="10"/>
      <c r="B14" s="28" t="str">
        <f aca="false">'Input Data'!B13</f>
        <v>L05</v>
      </c>
      <c r="C14" s="28" t="str">
        <f aca="false">'Input Data'!C13</f>
        <v>501</v>
      </c>
      <c r="D14" s="43" t="str">
        <f aca="false">IFERROR('Input Data'!D13&amp;" ("&amp;'Input Data'!E13&amp;")",'Input Data'!D13)</f>
        <v>MONTGOMERY INVESTMENT (MONTGOMERY INVESTMENT)</v>
      </c>
      <c r="E14" s="44" t="n">
        <f aca="false">'Input Data'!F13</f>
        <v>212.3</v>
      </c>
      <c r="F14" s="45" t="n">
        <f aca="false">IFERROR('Input Data'!G13,"")</f>
        <v>43770</v>
      </c>
      <c r="G14" s="45" t="n">
        <f aca="false">IFERROR('Input Data'!H13,"")</f>
        <v>46691</v>
      </c>
      <c r="H14" s="46" t="n">
        <f aca="false">'Input Data'!I13</f>
        <v>8</v>
      </c>
      <c r="I14" s="49" t="n">
        <f aca="false">'Input Data'!V13</f>
        <v>1.3388090349076</v>
      </c>
      <c r="J14" s="47" t="n">
        <f aca="false">'Input Data'!J13</f>
        <v>1341.24</v>
      </c>
      <c r="K14" s="47" t="n">
        <f aca="false">'Input Data'!N13</f>
        <v>235383.492</v>
      </c>
      <c r="L14" s="173" t="str">
        <f aca="true">IF(Z13="","VACANT",IF(OR(Z13&lt;TODAY(),YEAR(Z13)&lt;=2026),"2026",IF(YEAR(Z13)=2027,"2027",IF(YEAR(Z13)=2028,"2028",IF(YEAR(Z13)=2029,"2029",IF(YEAR(Z13)=2030,"2030","2031+"))))))</f>
        <v>VACANT</v>
      </c>
      <c r="M14" s="28" t="n">
        <f aca="false">'Input Data'!O13</f>
        <v>36</v>
      </c>
      <c r="N14" s="31" t="str">
        <f aca="false">'Input Data'!P13</f>
        <v>FIXED 4%</v>
      </c>
      <c r="O14" s="47" t="n">
        <f aca="false">'Input Data'!S13</f>
        <v>1155</v>
      </c>
      <c r="P14" s="47" t="n">
        <f aca="false">'Input Data'!T13</f>
        <v>186.24</v>
      </c>
    </row>
    <row r="15" customFormat="false" ht="15.75" hidden="false" customHeight="true" outlineLevel="0" collapsed="false">
      <c r="A15" s="10"/>
      <c r="B15" s="28" t="str">
        <f aca="false">'Input Data'!B14</f>
        <v>L05</v>
      </c>
      <c r="C15" s="28" t="str">
        <f aca="false">'Input Data'!C14</f>
        <v>502</v>
      </c>
      <c r="D15" s="43" t="str">
        <f aca="false">IFERROR('Input Data'!D14&amp;" ("&amp;'Input Data'!E14&amp;")",'Input Data'!D14)</f>
        <v>THREAT DEFENCE (THREAT DEFENCE PTY LTD)</v>
      </c>
      <c r="E15" s="44" t="n">
        <f aca="false">'Input Data'!F14</f>
        <v>163.8</v>
      </c>
      <c r="F15" s="45" t="n">
        <f aca="false">IFERROR('Input Data'!G14,"")</f>
        <v>45474</v>
      </c>
      <c r="G15" s="45" t="n">
        <f aca="false">IFERROR('Input Data'!H14,"")</f>
        <v>46568</v>
      </c>
      <c r="H15" s="46" t="n">
        <f aca="false">'Input Data'!I14</f>
        <v>3</v>
      </c>
      <c r="I15" s="49" t="n">
        <f aca="false">'Input Data'!V14</f>
        <v>1.00205338809035</v>
      </c>
      <c r="J15" s="47" t="n">
        <f aca="false">'Input Data'!J14</f>
        <v>1054.88</v>
      </c>
      <c r="K15" s="47" t="n">
        <f aca="false">'Input Data'!N14</f>
        <v>131053.104</v>
      </c>
      <c r="L15" s="173" t="str">
        <f aca="true">IF(Z14="","VACANT",IF(OR(Z14&lt;TODAY(),YEAR(Z14)&lt;=2026),"2026",IF(YEAR(Z14)=2027,"2027",IF(YEAR(Z14)=2028,"2028",IF(YEAR(Z14)=2029,"2029",IF(YEAR(Z14)=2030,"2030","2031+"))))))</f>
        <v>VACANT</v>
      </c>
      <c r="M15" s="28" t="n">
        <f aca="false">'Input Data'!O14</f>
        <v>0</v>
      </c>
      <c r="N15" s="31" t="str">
        <f aca="false">'Input Data'!P14</f>
        <v>LEASE RENEWAL</v>
      </c>
      <c r="O15" s="47" t="n">
        <f aca="false">'Input Data'!S14</f>
        <v>1020</v>
      </c>
      <c r="P15" s="47" t="n">
        <f aca="false">'Input Data'!T14</f>
        <v>34.8800000000001</v>
      </c>
    </row>
    <row r="16" customFormat="false" ht="15.75" hidden="false" customHeight="true" outlineLevel="0" collapsed="false">
      <c r="A16" s="10"/>
      <c r="B16" s="28" t="str">
        <f aca="false">'Input Data'!B15</f>
        <v>L06</v>
      </c>
      <c r="C16" s="28" t="str">
        <f aca="false">'Input Data'!C15</f>
        <v>601</v>
      </c>
      <c r="D16" s="43" t="str">
        <f aca="false">IFERROR('Input Data'!D15&amp;" ("&amp;'Input Data'!E15&amp;")",'Input Data'!D15)</f>
        <v>FULLCRM PTY LTD (FULLCRM PTY LTD)</v>
      </c>
      <c r="E16" s="44" t="n">
        <f aca="false">'Input Data'!F15</f>
        <v>226.1</v>
      </c>
      <c r="F16" s="45" t="n">
        <f aca="false">IFERROR('Input Data'!G15,"")</f>
        <v>44531</v>
      </c>
      <c r="G16" s="45" t="n">
        <f aca="false">IFERROR('Input Data'!H15,"")</f>
        <v>46418</v>
      </c>
      <c r="H16" s="46" t="n">
        <f aca="false">'Input Data'!I15</f>
        <v>5.2</v>
      </c>
      <c r="I16" s="49" t="n">
        <f aca="false">'Input Data'!V15</f>
        <v>0.591375770020534</v>
      </c>
      <c r="J16" s="47" t="n">
        <f aca="false">'Input Data'!J15</f>
        <v>1251.34</v>
      </c>
      <c r="K16" s="47" t="n">
        <f aca="false">'Input Data'!N15</f>
        <v>251183.534</v>
      </c>
      <c r="L16" s="173" t="str">
        <f aca="true">IF(Z15="","VACANT",IF(OR(Z15&lt;TODAY(),YEAR(Z15)&lt;=2026),"2026",IF(YEAR(Z15)=2027,"2027",IF(YEAR(Z15)=2028,"2028",IF(YEAR(Z15)=2029,"2029",IF(YEAR(Z15)=2030,"2030","2031+"))))))</f>
        <v>VACANT</v>
      </c>
      <c r="M16" s="28" t="n">
        <f aca="false">'Input Data'!O15</f>
        <v>0</v>
      </c>
      <c r="N16" s="31" t="str">
        <f aca="false">'Input Data'!P15</f>
        <v>LEASE RENEWAL</v>
      </c>
      <c r="O16" s="47" t="n">
        <f aca="false">'Input Data'!S15</f>
        <v>1165</v>
      </c>
      <c r="P16" s="47" t="n">
        <f aca="false">'Input Data'!T15</f>
        <v>86.3399999999999</v>
      </c>
    </row>
    <row r="17" customFormat="false" ht="15.75" hidden="false" customHeight="true" outlineLevel="0" collapsed="false">
      <c r="A17" s="10"/>
      <c r="B17" s="63" t="str">
        <f aca="false">'Input Data'!B16</f>
        <v>L06</v>
      </c>
      <c r="C17" s="63" t="str">
        <f aca="false">'Input Data'!C16</f>
        <v>602</v>
      </c>
      <c r="D17" s="64" t="str">
        <f aca="false">IFERROR('Input Data'!D16&amp;" ("&amp;'Input Data'!E16&amp;")",'Input Data'!D16)</f>
        <v>VACANT ()</v>
      </c>
      <c r="E17" s="65" t="n">
        <f aca="false">'Input Data'!F16</f>
        <v>152.1</v>
      </c>
      <c r="F17" s="26" t="n">
        <f aca="false">IFERROR('Input Data'!G16,"")</f>
        <v>0</v>
      </c>
      <c r="G17" s="26" t="str">
        <f aca="false">IFERROR('Input Data'!H16,"")</f>
        <v/>
      </c>
      <c r="H17" s="66" t="n">
        <f aca="false">'Input Data'!I16</f>
        <v>0</v>
      </c>
      <c r="I17" s="69" t="n">
        <f aca="false">'Input Data'!V16</f>
        <v>0</v>
      </c>
      <c r="J17" s="67" t="n">
        <f aca="false">'Input Data'!J16</f>
        <v>0</v>
      </c>
      <c r="K17" s="67" t="n">
        <f aca="false">'Input Data'!N16</f>
        <v>0</v>
      </c>
      <c r="L17" s="208" t="str">
        <f aca="true">IF(Z16="","VACANT",IF(OR(Z16&lt;TODAY(),YEAR(Z16)&lt;=2026),"2026",IF(YEAR(Z16)=2027,"2027",IF(YEAR(Z16)=2028,"2028",IF(YEAR(Z16)=2029,"2029",IF(YEAR(Z16)=2030,"2030","2031+"))))))</f>
        <v>VACANT</v>
      </c>
      <c r="M17" s="63" t="n">
        <f aca="false">'Input Data'!O16</f>
        <v>0</v>
      </c>
      <c r="N17" s="37" t="n">
        <f aca="false">'Input Data'!P16</f>
        <v>0</v>
      </c>
      <c r="O17" s="67" t="n">
        <f aca="false">'Input Data'!S16</f>
        <v>1030</v>
      </c>
      <c r="P17" s="67" t="str">
        <f aca="false">'Input Data'!T16</f>
        <v/>
      </c>
    </row>
    <row r="18" customFormat="false" ht="15.75" hidden="false" customHeight="true" outlineLevel="0" collapsed="false">
      <c r="A18" s="10"/>
      <c r="B18" s="28" t="str">
        <f aca="false">'Input Data'!B17</f>
        <v>L07</v>
      </c>
      <c r="C18" s="28" t="str">
        <f aca="false">'Input Data'!C17</f>
        <v>701</v>
      </c>
      <c r="D18" s="43" t="str">
        <f aca="false">IFERROR('Input Data'!D17&amp;" ("&amp;'Input Data'!E17&amp;")",'Input Data'!D17)</f>
        <v>PINPOINT TALENT PTY LTD (PINPOINT TALENT PTY LTD)</v>
      </c>
      <c r="E18" s="44" t="n">
        <f aca="false">'Input Data'!F17</f>
        <v>210.5</v>
      </c>
      <c r="F18" s="45" t="n">
        <f aca="false">IFERROR('Input Data'!G17,"")</f>
        <v>45145</v>
      </c>
      <c r="G18" s="45" t="n">
        <f aca="false">IFERROR('Input Data'!H17,"")</f>
        <v>46605</v>
      </c>
      <c r="H18" s="46" t="n">
        <f aca="false">'Input Data'!I17</f>
        <v>4</v>
      </c>
      <c r="I18" s="49" t="n">
        <f aca="false">'Input Data'!V17</f>
        <v>1.10335386721424</v>
      </c>
      <c r="J18" s="47" t="n">
        <f aca="false">'Input Data'!J17</f>
        <v>1173.54</v>
      </c>
      <c r="K18" s="47" t="n">
        <f aca="false">'Input Data'!N17</f>
        <v>178512.45</v>
      </c>
      <c r="L18" s="173" t="str">
        <f aca="true">IF(Z17="","VACANT",IF(OR(Z17&lt;TODAY(),YEAR(Z17)&lt;=2026),"2026",IF(YEAR(Z17)=2027,"2027",IF(YEAR(Z17)=2028,"2028",IF(YEAR(Z17)=2029,"2029",IF(YEAR(Z17)=2030,"2030","2031+"))))))</f>
        <v>VACANT</v>
      </c>
      <c r="M18" s="28" t="n">
        <f aca="false">'Input Data'!O17</f>
        <v>0</v>
      </c>
      <c r="N18" s="31" t="str">
        <f aca="false">'Input Data'!P17</f>
        <v>FIXED 4%</v>
      </c>
      <c r="O18" s="47" t="n">
        <f aca="false">'Input Data'!S17</f>
        <v>1175</v>
      </c>
      <c r="P18" s="47" t="n">
        <f aca="false">'Input Data'!T17</f>
        <v>-1.46000000000004</v>
      </c>
    </row>
    <row r="19" customFormat="false" ht="15.75" hidden="false" customHeight="true" outlineLevel="0" collapsed="false">
      <c r="A19" s="10"/>
      <c r="B19" s="28" t="str">
        <f aca="false">'Input Data'!B18</f>
        <v>L07</v>
      </c>
      <c r="C19" s="28" t="str">
        <f aca="false">'Input Data'!C18</f>
        <v>702</v>
      </c>
      <c r="D19" s="43" t="str">
        <f aca="false">IFERROR('Input Data'!D18&amp;" ("&amp;'Input Data'!E18&amp;")",'Input Data'!D18)</f>
        <v>SATELLITE OFFICE PTY LTD (SATELLITE OFFICE PTY LTD)</v>
      </c>
      <c r="E19" s="44" t="n">
        <f aca="false">'Input Data'!F18</f>
        <v>163.9</v>
      </c>
      <c r="F19" s="45" t="n">
        <f aca="false">IFERROR('Input Data'!G18,"")</f>
        <v>45444</v>
      </c>
      <c r="G19" s="45" t="n">
        <f aca="false">IFERROR('Input Data'!H18,"")</f>
        <v>46904</v>
      </c>
      <c r="H19" s="46" t="n">
        <f aca="false">'Input Data'!I18</f>
        <v>4</v>
      </c>
      <c r="I19" s="49" t="n">
        <f aca="false">'Input Data'!V18</f>
        <v>1.92197125256674</v>
      </c>
      <c r="J19" s="47" t="n">
        <f aca="false">'Input Data'!J18</f>
        <v>1054.88</v>
      </c>
      <c r="K19" s="47" t="n">
        <f aca="false">'Input Data'!N18</f>
        <v>132633.272</v>
      </c>
      <c r="L19" s="173" t="str">
        <f aca="true">IF(Z18="","VACANT",IF(OR(Z18&lt;TODAY(),YEAR(Z18)&lt;=2026),"2026",IF(YEAR(Z18)=2027,"2027",IF(YEAR(Z18)=2028,"2028",IF(YEAR(Z18)=2029,"2029",IF(YEAR(Z18)=2030,"2030","2031+"))))))</f>
        <v>VACANT</v>
      </c>
      <c r="M19" s="28" t="n">
        <f aca="false">'Input Data'!O18</f>
        <v>24</v>
      </c>
      <c r="N19" s="31" t="str">
        <f aca="false">'Input Data'!P18</f>
        <v>FIXED 3.75%</v>
      </c>
      <c r="O19" s="47" t="n">
        <f aca="false">'Input Data'!S18</f>
        <v>1040</v>
      </c>
      <c r="P19" s="47" t="n">
        <f aca="false">'Input Data'!T18</f>
        <v>14.8800000000001</v>
      </c>
    </row>
    <row r="20" customFormat="false" ht="15.75" hidden="false" customHeight="true" outlineLevel="0" collapsed="false">
      <c r="A20" s="10"/>
      <c r="B20" s="144" t="str">
        <f aca="false">'Input Data'!B19</f>
        <v>L08</v>
      </c>
      <c r="C20" s="144" t="str">
        <f aca="false">'Input Data'!C19</f>
        <v>801</v>
      </c>
      <c r="D20" s="216" t="str">
        <f aca="false">IFERROR('Input Data'!D19&amp;" ("&amp;'Input Data'!E19&amp;")",'Input Data'!D19)</f>
        <v>ARKANCE AUSTRALIA PTY LTD (ARKANCE AUSTRALIA PTY LTD)</v>
      </c>
      <c r="E20" s="146" t="n">
        <f aca="false">'Input Data'!F19</f>
        <v>222</v>
      </c>
      <c r="F20" s="77" t="n">
        <f aca="false">IFERROR('Input Data'!G19,"")</f>
        <v>45931</v>
      </c>
      <c r="G20" s="77" t="n">
        <f aca="false">IFERROR('Input Data'!H19,"")</f>
        <v>47756</v>
      </c>
      <c r="H20" s="217" t="n">
        <f aca="false">'Input Data'!I19</f>
        <v>5</v>
      </c>
      <c r="I20" s="218" t="n">
        <f aca="false">'Input Data'!V19</f>
        <v>4.25462012320329</v>
      </c>
      <c r="J20" s="147" t="n">
        <f aca="false">'Input Data'!J19</f>
        <v>1300</v>
      </c>
      <c r="K20" s="147" t="n">
        <f aca="false">'Input Data'!N19</f>
        <v>242424</v>
      </c>
      <c r="L20" s="50" t="str">
        <f aca="true">IF(Z19="","VACANT",IF(OR(Z19&lt;TODAY(),YEAR(Z19)&lt;=2026),"2026",IF(YEAR(Z19)=2027,"2027",IF(YEAR(Z19)=2028,"2028",IF(YEAR(Z19)=2029,"2029",IF(YEAR(Z19)=2030,"2030","2031+"))))))</f>
        <v>VACANT</v>
      </c>
      <c r="M20" s="144" t="n">
        <f aca="false">'Input Data'!O19</f>
        <v>0</v>
      </c>
      <c r="N20" s="145" t="str">
        <f aca="false">'Input Data'!P19</f>
        <v>FIXED 3.75%</v>
      </c>
      <c r="O20" s="147" t="n">
        <f aca="false">'Input Data'!S19</f>
        <v>1300</v>
      </c>
      <c r="P20" s="147" t="n">
        <f aca="false">'Input Data'!T19</f>
        <v>0</v>
      </c>
    </row>
    <row r="21" customFormat="false" ht="15.75" hidden="false" customHeight="true" outlineLevel="0" collapsed="false">
      <c r="A21" s="10"/>
      <c r="B21" s="28" t="str">
        <f aca="false">'Input Data'!B20</f>
        <v>L08</v>
      </c>
      <c r="C21" s="28" t="str">
        <f aca="false">'Input Data'!C20</f>
        <v>802</v>
      </c>
      <c r="D21" s="43" t="str">
        <f aca="false">IFERROR('Input Data'!D20&amp;" ("&amp;'Input Data'!E20&amp;")",'Input Data'!D20)</f>
        <v>HILLIARD &amp; BERRY (HILLIARD &amp; BERRY)</v>
      </c>
      <c r="E21" s="44" t="n">
        <f aca="false">'Input Data'!F20</f>
        <v>138.5</v>
      </c>
      <c r="F21" s="45" t="n">
        <f aca="false">IFERROR('Input Data'!G20,"")</f>
        <v>41654</v>
      </c>
      <c r="G21" s="45" t="n">
        <f aca="false">IFERROR('Input Data'!H20,"")</f>
        <v>46965</v>
      </c>
      <c r="H21" s="46" t="n">
        <f aca="false">'Input Data'!I20</f>
        <v>14.6</v>
      </c>
      <c r="I21" s="49" t="n">
        <f aca="false">'Input Data'!V20</f>
        <v>2.08898015058179</v>
      </c>
      <c r="J21" s="47" t="n">
        <f aca="false">'Input Data'!J20</f>
        <v>843.65</v>
      </c>
      <c r="K21" s="47" t="n">
        <f aca="false">'Input Data'!N20</f>
        <v>116845.525</v>
      </c>
      <c r="L21" s="173" t="str">
        <f aca="true">IF(Z20="","VACANT",IF(OR(Z20&lt;TODAY(),YEAR(Z20)&lt;=2026),"2026",IF(YEAR(Z20)=2027,"2027",IF(YEAR(Z20)=2028,"2028",IF(YEAR(Z20)=2029,"2029",IF(YEAR(Z20)=2030,"2030","2031+"))))))</f>
        <v>VACANT</v>
      </c>
      <c r="M21" s="28" t="n">
        <f aca="false">'Input Data'!O20</f>
        <v>0</v>
      </c>
      <c r="N21" s="31" t="str">
        <f aca="false">'Input Data'!P20</f>
        <v>FIXED 4%</v>
      </c>
      <c r="O21" s="47" t="n">
        <f aca="false">'Input Data'!S20</f>
        <v>1030</v>
      </c>
      <c r="P21" s="47" t="n">
        <f aca="false">'Input Data'!T20</f>
        <v>-186.35</v>
      </c>
    </row>
    <row r="22" customFormat="false" ht="15.75" hidden="false" customHeight="true" outlineLevel="0" collapsed="false">
      <c r="A22" s="10"/>
      <c r="B22" s="63" t="str">
        <f aca="false">'Input Data'!B21</f>
        <v>L09</v>
      </c>
      <c r="C22" s="63" t="str">
        <f aca="false">'Input Data'!C21</f>
        <v>901</v>
      </c>
      <c r="D22" s="64" t="str">
        <f aca="false">IFERROR('Input Data'!D21&amp;" ("&amp;'Input Data'!E21&amp;")",'Input Data'!D21)</f>
        <v>AITKEN INVESTMENT MANAGEMENT PTY LTD (AITKEN INVESTMENT MANAGEMENT)</v>
      </c>
      <c r="E22" s="65" t="n">
        <f aca="false">'Input Data'!F21</f>
        <v>52.8</v>
      </c>
      <c r="F22" s="26" t="n">
        <f aca="false">IFERROR('Input Data'!G21,"")</f>
        <v>45823</v>
      </c>
      <c r="G22" s="26" t="n">
        <f aca="false">IFERROR('Input Data'!H21,"")</f>
        <v>46918</v>
      </c>
      <c r="H22" s="66" t="n">
        <f aca="false">'Input Data'!I21</f>
        <v>3</v>
      </c>
      <c r="I22" s="69" t="n">
        <f aca="false">'Input Data'!V21</f>
        <v>1.96030116358658</v>
      </c>
      <c r="J22" s="67" t="n">
        <f aca="false">'Input Data'!J21</f>
        <v>1338.88</v>
      </c>
      <c r="K22" s="67" t="n">
        <f aca="false">'Input Data'!N21</f>
        <v>54298.464</v>
      </c>
      <c r="L22" s="208" t="str">
        <f aca="true">IF(Z21="","VACANT",IF(OR(Z21&lt;TODAY(),YEAR(Z21)&lt;=2026),"2026",IF(YEAR(Z21)=2027,"2027",IF(YEAR(Z21)=2028,"2028",IF(YEAR(Z21)=2029,"2029",IF(YEAR(Z21)=2030,"2030","2031+"))))))</f>
        <v>VACANT</v>
      </c>
      <c r="M22" s="63" t="n">
        <f aca="false">'Input Data'!O21</f>
        <v>0</v>
      </c>
      <c r="N22" s="37" t="str">
        <f aca="false">'Input Data'!P21</f>
        <v>FIXED 4%</v>
      </c>
      <c r="O22" s="67" t="n">
        <f aca="false">'Input Data'!S21</f>
        <v>1350</v>
      </c>
      <c r="P22" s="67" t="n">
        <f aca="false">'Input Data'!T21</f>
        <v>-11.1199999999999</v>
      </c>
    </row>
    <row r="23" customFormat="false" ht="15.75" hidden="false" customHeight="true" outlineLevel="0" collapsed="false">
      <c r="A23" s="10"/>
      <c r="B23" s="144" t="str">
        <f aca="false">'Input Data'!B22</f>
        <v>L09</v>
      </c>
      <c r="C23" s="144" t="str">
        <f aca="false">'Input Data'!C22</f>
        <v>902&amp;3</v>
      </c>
      <c r="D23" s="216" t="str">
        <f aca="false">IFERROR('Input Data'!D22&amp;" ("&amp;'Input Data'!E22&amp;")",'Input Data'!D22)</f>
        <v>CAPITAL E MARKETING AND EVENTS PTY LTD (CAPITAL E MARKETING AND EVENTS)</v>
      </c>
      <c r="E23" s="146" t="n">
        <f aca="false">'Input Data'!F22</f>
        <v>303</v>
      </c>
      <c r="F23" s="77" t="n">
        <f aca="false">IFERROR('Input Data'!G22,"")</f>
        <v>44562</v>
      </c>
      <c r="G23" s="77" t="n">
        <f aca="false">IFERROR('Input Data'!H22,"")</f>
        <v>47573</v>
      </c>
      <c r="H23" s="217" t="n">
        <f aca="false">'Input Data'!I22</f>
        <v>8.2</v>
      </c>
      <c r="I23" s="218" t="n">
        <f aca="false">'Input Data'!V22</f>
        <v>3.75359342915811</v>
      </c>
      <c r="J23" s="147" t="n">
        <f aca="false">'Input Data'!J22</f>
        <v>1141.25</v>
      </c>
      <c r="K23" s="147" t="n">
        <f aca="false">'Input Data'!N22</f>
        <v>255323.07</v>
      </c>
      <c r="L23" s="50" t="str">
        <f aca="true">IF(Z22="","VACANT",IF(OR(Z22&lt;TODAY(),YEAR(Z22)&lt;=2026),"2026",IF(YEAR(Z22)=2027,"2027",IF(YEAR(Z22)=2028,"2028",IF(YEAR(Z22)=2029,"2029",IF(YEAR(Z22)=2030,"2030","2031+"))))))</f>
        <v>VACANT</v>
      </c>
      <c r="M23" s="144" t="n">
        <f aca="false">'Input Data'!O22</f>
        <v>0</v>
      </c>
      <c r="N23" s="145" t="str">
        <f aca="false">'Input Data'!P22</f>
        <v>FIXED 3.75%</v>
      </c>
      <c r="O23" s="147" t="n">
        <f aca="false">'Input Data'!S22</f>
        <v>1125</v>
      </c>
      <c r="P23" s="147" t="n">
        <f aca="false">'Input Data'!T22</f>
        <v>16.25</v>
      </c>
    </row>
    <row r="24" customFormat="false" ht="15.75" hidden="false" customHeight="true" outlineLevel="0" collapsed="false">
      <c r="A24" s="10"/>
      <c r="B24" s="53" t="str">
        <f aca="false">'Input Data'!B23</f>
        <v>L10</v>
      </c>
      <c r="C24" s="53" t="str">
        <f aca="false">'Input Data'!C23</f>
        <v>1001&amp;2</v>
      </c>
      <c r="D24" s="54" t="str">
        <f aca="false">IFERROR('Input Data'!D23&amp;" ("&amp;'Input Data'!E23&amp;")",'Input Data'!D23)</f>
        <v>CONNECTUS SERVICES PTY LTD (CONNECTUS)</v>
      </c>
      <c r="E24" s="56" t="n">
        <f aca="false">'Input Data'!F23</f>
        <v>363.2</v>
      </c>
      <c r="F24" s="57" t="n">
        <f aca="false">IFERROR('Input Data'!G23,"")</f>
        <v>45261</v>
      </c>
      <c r="G24" s="57" t="n">
        <f aca="false">IFERROR('Input Data'!H23,"")</f>
        <v>47452</v>
      </c>
      <c r="H24" s="58" t="n">
        <f aca="false">'Input Data'!I23</f>
        <v>6</v>
      </c>
      <c r="I24" s="61" t="n">
        <f aca="false">'Input Data'!V23</f>
        <v>3.42231348391513</v>
      </c>
      <c r="J24" s="59" t="n">
        <f aca="false">'Input Data'!J23</f>
        <v>1189.67</v>
      </c>
      <c r="K24" s="59" t="n">
        <f aca="false">'Input Data'!N23</f>
        <v>317550.184</v>
      </c>
      <c r="L24" s="207" t="str">
        <f aca="true">IF(Z23="","VACANT",IF(OR(Z23&lt;TODAY(),YEAR(Z23)&lt;=2026),"2026",IF(YEAR(Z23)=2027,"2027",IF(YEAR(Z23)=2028,"2028",IF(YEAR(Z23)=2029,"2029",IF(YEAR(Z23)=2030,"2030","2031+"))))))</f>
        <v>VACANT</v>
      </c>
      <c r="M24" s="53" t="n">
        <f aca="false">'Input Data'!O23</f>
        <v>48</v>
      </c>
      <c r="N24" s="55" t="str">
        <f aca="false">'Input Data'!P23</f>
        <v>FIXED</v>
      </c>
      <c r="O24" s="59" t="n">
        <f aca="false">'Input Data'!S23</f>
        <v>1200</v>
      </c>
      <c r="P24" s="59" t="n">
        <f aca="false">'Input Data'!T23</f>
        <v>-10.3299999999999</v>
      </c>
    </row>
    <row r="25" customFormat="false" ht="15.75" hidden="false" customHeight="true" outlineLevel="0" collapsed="false">
      <c r="A25" s="10"/>
      <c r="B25" s="63" t="str">
        <f aca="false">'Input Data'!B24</f>
        <v>L11</v>
      </c>
      <c r="C25" s="63" t="str">
        <f aca="false">'Input Data'!C24</f>
        <v>1101</v>
      </c>
      <c r="D25" s="64" t="str">
        <f aca="false">IFERROR('Input Data'!D24&amp;" ("&amp;'Input Data'!E24&amp;")",'Input Data'!D24)</f>
        <v>MICHAEL FLEGG PTY LTD (MICHAEL FLEGG PTY LTD)</v>
      </c>
      <c r="E25" s="65" t="n">
        <f aca="false">'Input Data'!F24</f>
        <v>62.4</v>
      </c>
      <c r="F25" s="26" t="n">
        <f aca="false">IFERROR('Input Data'!G24,"")</f>
        <v>44531</v>
      </c>
      <c r="G25" s="26" t="n">
        <f aca="false">IFERROR('Input Data'!H24,"")</f>
        <v>46356</v>
      </c>
      <c r="H25" s="66" t="n">
        <f aca="false">'Input Data'!I24</f>
        <v>5</v>
      </c>
      <c r="I25" s="69" t="n">
        <f aca="false">'Input Data'!V24</f>
        <v>0.421629021218344</v>
      </c>
      <c r="J25" s="67" t="n">
        <f aca="false">'Input Data'!J24</f>
        <v>1368.73</v>
      </c>
      <c r="K25" s="67" t="n">
        <f aca="false">'Input Data'!N24</f>
        <v>85408.752</v>
      </c>
      <c r="L25" s="208" t="str">
        <f aca="true">IF(Z24="","VACANT",IF(OR(Z24&lt;TODAY(),YEAR(Z24)&lt;=2026),"2026",IF(YEAR(Z24)=2027,"2027",IF(YEAR(Z24)=2028,"2028",IF(YEAR(Z24)=2029,"2029",IF(YEAR(Z24)=2030,"2030","2031+"))))))</f>
        <v>VACANT</v>
      </c>
      <c r="M25" s="63" t="n">
        <f aca="false">'Input Data'!O24</f>
        <v>0</v>
      </c>
      <c r="N25" s="37" t="str">
        <f aca="false">'Input Data'!P24</f>
        <v>LEASE RENEWAL</v>
      </c>
      <c r="O25" s="67" t="n">
        <f aca="false">'Input Data'!S24</f>
        <v>1405</v>
      </c>
      <c r="P25" s="67" t="n">
        <f aca="false">'Input Data'!T24</f>
        <v>-36.27</v>
      </c>
    </row>
    <row r="26" customFormat="false" ht="15.75" hidden="false" customHeight="true" outlineLevel="0" collapsed="false">
      <c r="A26" s="10"/>
      <c r="B26" s="63" t="str">
        <f aca="false">'Input Data'!B25</f>
        <v>L11</v>
      </c>
      <c r="C26" s="63" t="str">
        <f aca="false">'Input Data'!C25</f>
        <v>1102</v>
      </c>
      <c r="D26" s="64" t="str">
        <f aca="false">IFERROR('Input Data'!D25&amp;" ("&amp;'Input Data'!E25&amp;")",'Input Data'!D25)</f>
        <v>LEWIS WOOLCOTT (LEWIS WOOLCOTT)</v>
      </c>
      <c r="E26" s="65" t="n">
        <f aca="false">'Input Data'!F25</f>
        <v>133.1</v>
      </c>
      <c r="F26" s="26" t="n">
        <f aca="false">IFERROR('Input Data'!G25,"")</f>
        <v>46249</v>
      </c>
      <c r="G26" s="26" t="n">
        <f aca="false">IFERROR('Input Data'!H25,"")</f>
        <v>46979</v>
      </c>
      <c r="H26" s="66" t="n">
        <f aca="false">'Input Data'!I25</f>
        <v>2</v>
      </c>
      <c r="I26" s="69" t="n">
        <f aca="false">'Input Data'!V25</f>
        <v>2.12731006160164</v>
      </c>
      <c r="J26" s="67" t="n">
        <f aca="false">'Input Data'!J25</f>
        <v>1271.1</v>
      </c>
      <c r="K26" s="67" t="n">
        <f aca="false">'Input Data'!N25</f>
        <v>138730.4</v>
      </c>
      <c r="L26" s="208" t="str">
        <f aca="true">IF(Z25="","VACANT",IF(OR(Z25&lt;TODAY(),YEAR(Z25)&lt;=2026),"2026",IF(YEAR(Z25)=2027,"2027",IF(YEAR(Z25)=2028,"2028",IF(YEAR(Z25)=2029,"2029",IF(YEAR(Z25)=2030,"2030","2031+"))))))</f>
        <v>VACANT</v>
      </c>
      <c r="M26" s="63" t="n">
        <f aca="false">'Input Data'!O25</f>
        <v>0</v>
      </c>
      <c r="N26" s="37" t="str">
        <f aca="false">'Input Data'!P25</f>
        <v>FIXED 4.0%</v>
      </c>
      <c r="O26" s="67" t="n">
        <f aca="false">'Input Data'!S25</f>
        <v>1250</v>
      </c>
      <c r="P26" s="67" t="n">
        <f aca="false">'Input Data'!T25</f>
        <v>21.0999999999999</v>
      </c>
    </row>
    <row r="27" customFormat="false" ht="15.75" hidden="false" customHeight="true" outlineLevel="0" collapsed="false">
      <c r="A27" s="10"/>
      <c r="B27" s="63" t="str">
        <f aca="false">'Input Data'!B26</f>
        <v>L12</v>
      </c>
      <c r="C27" s="63" t="str">
        <f aca="false">'Input Data'!C26</f>
        <v>L12</v>
      </c>
      <c r="D27" s="64" t="str">
        <f aca="false">IFERROR('Input Data'!D26&amp;" ("&amp;'Input Data'!E26&amp;")",'Input Data'!D26)</f>
        <v>DAKOTA CORPORATION (OWNER OCCUPIED)</v>
      </c>
      <c r="E27" s="65" t="n">
        <f aca="false">'Input Data'!F26</f>
        <v>223.7</v>
      </c>
      <c r="F27" s="26" t="n">
        <f aca="false">IFERROR('Input Data'!G26,"")</f>
        <v>42736</v>
      </c>
      <c r="G27" s="26" t="n">
        <f aca="false">IFERROR('Input Data'!H26,"")</f>
        <v>47118</v>
      </c>
      <c r="H27" s="66" t="n">
        <f aca="false">'Input Data'!I26</f>
        <v>7</v>
      </c>
      <c r="I27" s="69" t="n">
        <f aca="false">'Input Data'!V26</f>
        <v>2.50787132101301</v>
      </c>
      <c r="J27" s="67" t="n">
        <f aca="false">'Input Data'!J26</f>
        <v>0</v>
      </c>
      <c r="K27" s="67" t="n">
        <f aca="false">'Input Data'!N26</f>
        <v>0</v>
      </c>
      <c r="L27" s="208" t="str">
        <f aca="true">IF(Z26="","VACANT",IF(OR(Z26&lt;TODAY(),YEAR(Z26)&lt;=2026),"2026",IF(YEAR(Z26)=2027,"2027",IF(YEAR(Z26)=2028,"2028",IF(YEAR(Z26)=2029,"2029",IF(YEAR(Z26)=2030,"2030","2031+"))))))</f>
        <v>VACANT</v>
      </c>
      <c r="M27" s="63" t="n">
        <f aca="false">'Input Data'!O26</f>
        <v>0</v>
      </c>
      <c r="N27" s="37" t="str">
        <f aca="false">'Input Data'!P26</f>
        <v>MONTHLY TENANT</v>
      </c>
      <c r="O27" s="67" t="n">
        <f aca="false">'Input Data'!S26</f>
        <v>384</v>
      </c>
      <c r="P27" s="67" t="str">
        <f aca="false">'Input Data'!T26</f>
        <v/>
      </c>
    </row>
    <row r="28" customFormat="false" ht="15.75" hidden="false" customHeight="true" outlineLevel="0" collapsed="false">
      <c r="A28" s="10"/>
      <c r="B28" s="78" t="str">
        <f aca="false">'Input Data'!B27</f>
        <v>L11</v>
      </c>
      <c r="C28" s="78" t="str">
        <f aca="false">'Input Data'!C27</f>
        <v>1103</v>
      </c>
      <c r="D28" s="71" t="str">
        <f aca="false">IFERROR('Input Data'!D27&amp;" ("&amp;'Input Data'!E27&amp;")",'Input Data'!D27)</f>
        <v>INFERNI SYSTEMS (INFERNI SYSTEMS)</v>
      </c>
      <c r="E28" s="80" t="n">
        <f aca="false">'Input Data'!F27</f>
        <v>160.3</v>
      </c>
      <c r="F28" s="81" t="n">
        <f aca="false">IFERROR('Input Data'!G27,"")</f>
        <v>46218</v>
      </c>
      <c r="G28" s="81" t="n">
        <f aca="false">IFERROR('Input Data'!H27,"")</f>
        <v>47313</v>
      </c>
      <c r="H28" s="82" t="n">
        <f aca="false">'Input Data'!I27</f>
        <v>3</v>
      </c>
      <c r="I28" s="85" t="n">
        <f aca="false">'Input Data'!V27</f>
        <v>3.04175222450376</v>
      </c>
      <c r="J28" s="83" t="n">
        <f aca="false">'Input Data'!J27</f>
        <v>1150</v>
      </c>
      <c r="K28" s="83" t="n">
        <f aca="false">'Input Data'!N27</f>
        <v>129041.5</v>
      </c>
      <c r="L28" s="87" t="str">
        <f aca="true">IF(Z27="","VACANT",IF(OR(Z27&lt;TODAY(),YEAR(Z27)&lt;=2026),"2026",IF(YEAR(Z27)=2027,"2027",IF(YEAR(Z27)=2028,"2028",IF(YEAR(Z27)=2029,"2029",IF(YEAR(Z27)=2030,"2030","2031+"))))))</f>
        <v>VACANT</v>
      </c>
      <c r="M28" s="78" t="n">
        <f aca="false">'Input Data'!O27</f>
        <v>0</v>
      </c>
      <c r="N28" s="79" t="str">
        <f aca="false">'Input Data'!P27</f>
        <v>FIXED 4.0%</v>
      </c>
      <c r="O28" s="83" t="n">
        <f aca="false">'Input Data'!S27</f>
        <v>1060</v>
      </c>
      <c r="P28" s="83" t="n">
        <f aca="false">'Input Data'!T27</f>
        <v>90</v>
      </c>
    </row>
    <row r="29" customFormat="false" ht="19.5" hidden="false" customHeight="true" outlineLevel="0" collapsed="false">
      <c r="A29" s="10"/>
      <c r="B29" s="92" t="s">
        <v>360</v>
      </c>
      <c r="C29" s="92"/>
      <c r="D29" s="10"/>
      <c r="E29" s="219" t="n">
        <f aca="false">SUM('Input Data'!F3:F27)</f>
        <v>4704.5</v>
      </c>
      <c r="F29" s="117"/>
      <c r="G29" s="117"/>
      <c r="H29" s="117"/>
      <c r="I29" s="220" t="n">
        <f aca="true" t="array" ref="I29:I29">IFERROR(SUMPRODUCT(('Input Data'!H3:H25&lt;&gt;"")*'Input Data'!F3:F25*MAX(('Input Data'!H3:H25-TODAY())/365.25,0))/SUMPRODUCT(('Input Data'!H3:H25&lt;&gt;"")*'Input Data'!F3:F25),0)</f>
        <v>0</v>
      </c>
      <c r="J29" s="117"/>
      <c r="K29" s="94" t="n">
        <f aca="false">SUM('Input Data'!N3:N27)</f>
        <v>4062126.511</v>
      </c>
      <c r="L29" s="117"/>
      <c r="M29" s="117"/>
      <c r="N29" s="117"/>
      <c r="O29" s="117"/>
      <c r="P29" s="117"/>
    </row>
  </sheetData>
  <mergeCells count="3">
    <mergeCell ref="A1:O1"/>
    <mergeCell ref="A2:O2"/>
    <mergeCell ref="B29:C29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G7" activeCellId="0" sqref="G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" width="8"/>
    <col collapsed="false" customWidth="true" hidden="false" outlineLevel="0" max="2" min="2" style="7" width="10"/>
    <col collapsed="false" customWidth="true" hidden="false" outlineLevel="0" max="3" min="3" style="7" width="28"/>
    <col collapsed="false" customWidth="true" hidden="false" outlineLevel="0" max="4" min="4" style="7" width="26"/>
    <col collapsed="false" customWidth="true" hidden="false" outlineLevel="0" max="5" min="5" style="7" width="10"/>
    <col collapsed="false" customWidth="true" hidden="false" outlineLevel="0" max="7" min="6" style="7" width="12"/>
    <col collapsed="false" customWidth="true" hidden="false" outlineLevel="0" max="8" min="8" style="7" width="9"/>
    <col collapsed="false" customWidth="true" hidden="false" outlineLevel="0" max="9" min="9" style="7" width="12"/>
    <col collapsed="false" customWidth="true" hidden="false" outlineLevel="0" max="11" min="10" style="7" width="13"/>
    <col collapsed="false" customWidth="true" hidden="false" outlineLevel="0" max="12" min="12" style="7" width="15"/>
    <col collapsed="false" customWidth="true" hidden="false" outlineLevel="0" max="13" min="13" style="7" width="14"/>
    <col collapsed="false" customWidth="true" hidden="false" outlineLevel="0" max="14" min="14" style="7" width="13"/>
    <col collapsed="false" customWidth="true" hidden="false" outlineLevel="0" max="15" min="15" style="7" width="9"/>
    <col collapsed="false" customWidth="true" hidden="false" outlineLevel="0" max="17" min="16" style="7" width="14"/>
    <col collapsed="false" customWidth="true" hidden="false" outlineLevel="0" max="18" min="18" style="7" width="12"/>
    <col collapsed="false" customWidth="true" hidden="false" outlineLevel="0" max="19" min="19" style="7" width="14"/>
    <col collapsed="false" customWidth="true" hidden="false" outlineLevel="0" max="20" min="20" style="7" width="12"/>
    <col collapsed="false" customWidth="true" hidden="false" outlineLevel="0" max="21" min="21" style="7" width="14"/>
    <col collapsed="false" customWidth="true" hidden="false" outlineLevel="0" max="22" min="22" style="7" width="22"/>
  </cols>
  <sheetData>
    <row r="1" customFormat="false" ht="27.75" hidden="false" customHeight="true" outlineLevel="0" collapsed="false">
      <c r="A1" s="205" t="s">
        <v>361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</row>
    <row r="2" customFormat="false" ht="31.5" hidden="false" customHeight="true" outlineLevel="0" collapsed="false">
      <c r="A2" s="40" t="s">
        <v>60</v>
      </c>
      <c r="B2" s="40" t="s">
        <v>61</v>
      </c>
      <c r="C2" s="40" t="s">
        <v>62</v>
      </c>
      <c r="D2" s="40" t="s">
        <v>63</v>
      </c>
      <c r="E2" s="40" t="s">
        <v>64</v>
      </c>
      <c r="F2" s="40" t="s">
        <v>65</v>
      </c>
      <c r="G2" s="40" t="s">
        <v>66</v>
      </c>
      <c r="H2" s="40" t="s">
        <v>67</v>
      </c>
      <c r="I2" s="40" t="s">
        <v>362</v>
      </c>
      <c r="J2" s="40" t="s">
        <v>363</v>
      </c>
      <c r="K2" s="40" t="s">
        <v>364</v>
      </c>
      <c r="L2" s="40" t="s">
        <v>72</v>
      </c>
      <c r="M2" s="40" t="s">
        <v>365</v>
      </c>
      <c r="N2" s="40" t="s">
        <v>71</v>
      </c>
      <c r="O2" s="40" t="s">
        <v>73</v>
      </c>
      <c r="P2" s="40" t="s">
        <v>74</v>
      </c>
      <c r="Q2" s="40" t="s">
        <v>366</v>
      </c>
      <c r="R2" s="40" t="s">
        <v>76</v>
      </c>
      <c r="S2" s="40" t="s">
        <v>367</v>
      </c>
      <c r="T2" s="40" t="s">
        <v>368</v>
      </c>
      <c r="U2" s="40" t="s">
        <v>369</v>
      </c>
      <c r="V2" s="40" t="s">
        <v>82</v>
      </c>
    </row>
    <row r="3" customFormat="false" ht="15.75" hidden="false" customHeight="true" outlineLevel="0" collapsed="false">
      <c r="A3" s="78" t="str">
        <f aca="false">'Input Data'!B26</f>
        <v>L12</v>
      </c>
      <c r="B3" s="78" t="str">
        <f aca="false">'Input Data'!C26</f>
        <v>L12</v>
      </c>
      <c r="C3" s="71" t="str">
        <f aca="false">'Input Data'!D26</f>
        <v>DAKOTA CORPORATION</v>
      </c>
      <c r="D3" s="71" t="str">
        <f aca="false">'Input Data'!E26</f>
        <v>OWNER OCCUPIED</v>
      </c>
      <c r="E3" s="80" t="n">
        <f aca="false">'Input Data'!F26</f>
        <v>223.7</v>
      </c>
      <c r="F3" s="81" t="n">
        <f aca="false">IFERROR('Input Data'!G26,"")</f>
        <v>42736</v>
      </c>
      <c r="G3" s="81" t="n">
        <f aca="false">IFERROR('Input Data'!H26,"")</f>
        <v>47118</v>
      </c>
      <c r="H3" s="82" t="n">
        <f aca="false">'Input Data'!I26</f>
        <v>7</v>
      </c>
      <c r="I3" s="85" t="n">
        <f aca="false">'Input Data'!V26</f>
        <v>2.50787132101301</v>
      </c>
      <c r="J3" s="83" t="n">
        <f aca="false">'Input Data'!J26</f>
        <v>0</v>
      </c>
      <c r="K3" s="83" t="n">
        <f aca="false">'Input Data'!S26</f>
        <v>384</v>
      </c>
      <c r="L3" s="83" t="n">
        <f aca="false">'Input Data'!N26</f>
        <v>0</v>
      </c>
      <c r="M3" s="83" t="n">
        <f aca="false">'Input Data'!L26</f>
        <v>0</v>
      </c>
      <c r="N3" s="83" t="n">
        <f aca="false">'Input Data'!M26</f>
        <v>0</v>
      </c>
      <c r="O3" s="221" t="n">
        <f aca="false">'Input Data'!O26</f>
        <v>0</v>
      </c>
      <c r="P3" s="79" t="str">
        <f aca="false">'Input Data'!P26</f>
        <v>MONTHLY TENANT</v>
      </c>
      <c r="Q3" s="81" t="n">
        <f aca="false">IFERROR('Input Data'!Q26,"")</f>
        <v>45291</v>
      </c>
      <c r="R3" s="79" t="str">
        <f aca="false">'Input Data'!R26</f>
        <v>N/A</v>
      </c>
      <c r="S3" s="83" t="str">
        <f aca="false">'Input Data'!T26</f>
        <v/>
      </c>
      <c r="T3" s="84" t="str">
        <f aca="false">'Input Data'!U26</f>
        <v/>
      </c>
      <c r="U3" s="80" t="n">
        <f aca="false">'Input Data'!W26</f>
        <v>561.010814510609</v>
      </c>
      <c r="V3" s="79" t="n">
        <f aca="false">'Input Data'!X26</f>
        <v>0</v>
      </c>
    </row>
    <row r="4" customFormat="false" ht="15.75" hidden="false" customHeight="true" outlineLevel="0" collapsed="false">
      <c r="A4" s="78" t="str">
        <f aca="false">'Input Data'!B21</f>
        <v>L09</v>
      </c>
      <c r="B4" s="78" t="str">
        <f aca="false">'Input Data'!C21</f>
        <v>901</v>
      </c>
      <c r="C4" s="71" t="str">
        <f aca="false">'Input Data'!D21</f>
        <v>AITKEN INVESTMENT MANAGEMENT PTY LTD</v>
      </c>
      <c r="D4" s="71" t="str">
        <f aca="false">'Input Data'!E21</f>
        <v>AITKEN INVESTMENT MANAGEMENT</v>
      </c>
      <c r="E4" s="80" t="n">
        <f aca="false">'Input Data'!F21</f>
        <v>52.8</v>
      </c>
      <c r="F4" s="81" t="n">
        <f aca="false">IFERROR('Input Data'!G21,"")</f>
        <v>45823</v>
      </c>
      <c r="G4" s="81" t="n">
        <f aca="false">IFERROR('Input Data'!H21,"")</f>
        <v>46918</v>
      </c>
      <c r="H4" s="82" t="n">
        <f aca="false">'Input Data'!I21</f>
        <v>3</v>
      </c>
      <c r="I4" s="85" t="n">
        <f aca="false">'Input Data'!V21</f>
        <v>1.96030116358658</v>
      </c>
      <c r="J4" s="83" t="n">
        <f aca="false">'Input Data'!J21</f>
        <v>1338.88</v>
      </c>
      <c r="K4" s="83" t="n">
        <f aca="false">'Input Data'!S21</f>
        <v>1350</v>
      </c>
      <c r="L4" s="83" t="n">
        <f aca="false">'Input Data'!N21</f>
        <v>54298.464</v>
      </c>
      <c r="M4" s="83" t="n">
        <f aca="false">'Input Data'!L21</f>
        <v>-16394.4</v>
      </c>
      <c r="N4" s="83" t="n">
        <f aca="false">'Input Data'!M21</f>
        <v>3780</v>
      </c>
      <c r="O4" s="221" t="n">
        <f aca="false">'Input Data'!O21</f>
        <v>0</v>
      </c>
      <c r="P4" s="79" t="str">
        <f aca="false">'Input Data'!P21</f>
        <v>FIXED 4%</v>
      </c>
      <c r="Q4" s="81" t="n">
        <f aca="false">IFERROR('Input Data'!Q21,"")</f>
        <v>46553</v>
      </c>
      <c r="R4" s="79" t="str">
        <f aca="false">'Input Data'!R21</f>
        <v>Net</v>
      </c>
      <c r="S4" s="83" t="n">
        <f aca="false">'Input Data'!T21</f>
        <v>-11.1199999999999</v>
      </c>
      <c r="T4" s="84" t="n">
        <f aca="false">'Input Data'!U21</f>
        <v>-0.00823703703703696</v>
      </c>
      <c r="U4" s="80" t="n">
        <f aca="false">'Input Data'!W21</f>
        <v>103.503901437372</v>
      </c>
      <c r="V4" s="79" t="n">
        <f aca="false">'Input Data'!X21</f>
        <v>0</v>
      </c>
    </row>
    <row r="5" customFormat="false" ht="15.75" hidden="false" customHeight="true" outlineLevel="0" collapsed="false">
      <c r="A5" s="63" t="str">
        <f aca="false">'Input Data'!B16</f>
        <v>L06</v>
      </c>
      <c r="B5" s="63" t="str">
        <f aca="false">'Input Data'!C16</f>
        <v>602</v>
      </c>
      <c r="C5" s="64" t="str">
        <f aca="false">'Input Data'!D16</f>
        <v>VACANT</v>
      </c>
      <c r="D5" s="64" t="n">
        <f aca="false">'Input Data'!E16</f>
        <v>0</v>
      </c>
      <c r="E5" s="65" t="n">
        <f aca="false">'Input Data'!F16</f>
        <v>152.1</v>
      </c>
      <c r="F5" s="26" t="n">
        <f aca="false">IFERROR('Input Data'!G16,"")</f>
        <v>0</v>
      </c>
      <c r="G5" s="26" t="str">
        <f aca="false">IFERROR('Input Data'!H16,"")</f>
        <v/>
      </c>
      <c r="H5" s="66" t="n">
        <f aca="false">'Input Data'!I16</f>
        <v>0</v>
      </c>
      <c r="I5" s="69" t="n">
        <f aca="false">'Input Data'!V16</f>
        <v>0</v>
      </c>
      <c r="J5" s="67" t="n">
        <f aca="false">'Input Data'!J16</f>
        <v>0</v>
      </c>
      <c r="K5" s="67" t="n">
        <f aca="false">'Input Data'!S16</f>
        <v>1030</v>
      </c>
      <c r="L5" s="67" t="n">
        <f aca="false">'Input Data'!N16</f>
        <v>0</v>
      </c>
      <c r="M5" s="67" t="n">
        <f aca="false">'Input Data'!L16</f>
        <v>0</v>
      </c>
      <c r="N5" s="67" t="n">
        <f aca="false">'Input Data'!M16</f>
        <v>0</v>
      </c>
      <c r="O5" s="222" t="n">
        <f aca="false">'Input Data'!O16</f>
        <v>0</v>
      </c>
      <c r="P5" s="37" t="n">
        <f aca="false">'Input Data'!P16</f>
        <v>0</v>
      </c>
      <c r="Q5" s="26" t="n">
        <f aca="false">IFERROR('Input Data'!Q16,"")</f>
        <v>0</v>
      </c>
      <c r="R5" s="37" t="n">
        <f aca="false">'Input Data'!R16</f>
        <v>0</v>
      </c>
      <c r="S5" s="67" t="str">
        <f aca="false">'Input Data'!T16</f>
        <v/>
      </c>
      <c r="T5" s="68" t="str">
        <f aca="false">'Input Data'!U16</f>
        <v/>
      </c>
      <c r="U5" s="65" t="n">
        <f aca="false">'Input Data'!W16</f>
        <v>0</v>
      </c>
      <c r="V5" s="37" t="n">
        <f aca="false">'Input Data'!X16</f>
        <v>0</v>
      </c>
    </row>
    <row r="6" customFormat="false" ht="15.75" hidden="false" customHeight="true" outlineLevel="0" collapsed="false">
      <c r="A6" s="63" t="str">
        <f aca="false">'Input Data'!B5</f>
        <v>L01</v>
      </c>
      <c r="B6" s="63" t="str">
        <f aca="false">'Input Data'!C5</f>
        <v>101&amp;2</v>
      </c>
      <c r="C6" s="64" t="str">
        <f aca="false">'Input Data'!D5</f>
        <v>BLITZEM PTY LTD</v>
      </c>
      <c r="D6" s="64" t="str">
        <f aca="false">'Input Data'!E5</f>
        <v>BLITZEM PTY LTD</v>
      </c>
      <c r="E6" s="65" t="n">
        <f aca="false">'Input Data'!F5</f>
        <v>162.4</v>
      </c>
      <c r="F6" s="26" t="n">
        <f aca="false">IFERROR('Input Data'!G5,"")</f>
        <v>42795</v>
      </c>
      <c r="G6" s="26" t="n">
        <f aca="false">IFERROR('Input Data'!H5,"")</f>
        <v>47299</v>
      </c>
      <c r="H6" s="66" t="n">
        <f aca="false">'Input Data'!I5</f>
        <v>3</v>
      </c>
      <c r="I6" s="69" t="n">
        <f aca="false">'Input Data'!V5</f>
        <v>3.00342231348392</v>
      </c>
      <c r="J6" s="67" t="n">
        <f aca="false">'Input Data'!J5</f>
        <v>1012.37</v>
      </c>
      <c r="K6" s="67" t="n">
        <f aca="false">'Input Data'!S5</f>
        <v>1115</v>
      </c>
      <c r="L6" s="67" t="n">
        <f aca="false">'Input Data'!N5</f>
        <v>164408.888</v>
      </c>
      <c r="M6" s="67" t="n">
        <f aca="false">'Input Data'!L5</f>
        <v>0</v>
      </c>
      <c r="N6" s="67" t="n">
        <f aca="false">'Input Data'!M5</f>
        <v>9936</v>
      </c>
      <c r="O6" s="222" t="n">
        <f aca="false">'Input Data'!O5</f>
        <v>0</v>
      </c>
      <c r="P6" s="37" t="str">
        <f aca="false">'Input Data'!P5</f>
        <v>FIXED 4.0%</v>
      </c>
      <c r="Q6" s="26" t="n">
        <f aca="false">IFERROR('Input Data'!Q5,"")</f>
        <v>46568</v>
      </c>
      <c r="R6" s="37" t="str">
        <f aca="false">'Input Data'!R5</f>
        <v>Net</v>
      </c>
      <c r="S6" s="67" t="n">
        <f aca="false">'Input Data'!T5</f>
        <v>-102.63</v>
      </c>
      <c r="T6" s="68" t="n">
        <f aca="false">'Input Data'!U5</f>
        <v>-0.0920448430493274</v>
      </c>
      <c r="U6" s="65" t="n">
        <f aca="false">'Input Data'!W5</f>
        <v>487.755783709788</v>
      </c>
      <c r="V6" s="37" t="str">
        <f aca="false">'Input Data'!X5</f>
        <v>Renewed 16/6/26 (TJC) — 3 yr term to 30/6/29. Log's Expiry field had not been updated from the pre-renewal date; corrected per confirmed instruction (old expiry + 3 yrs).</v>
      </c>
    </row>
    <row r="7" customFormat="false" ht="15.75" hidden="false" customHeight="true" outlineLevel="0" collapsed="false">
      <c r="A7" s="63" t="str">
        <f aca="false">'Input Data'!B7</f>
        <v>L01</v>
      </c>
      <c r="B7" s="63" t="str">
        <f aca="false">'Input Data'!C7</f>
        <v>104</v>
      </c>
      <c r="C7" s="64" t="str">
        <f aca="false">'Input Data'!D7</f>
        <v>TJC#1 PTY LTD</v>
      </c>
      <c r="D7" s="64" t="str">
        <f aca="false">'Input Data'!E7</f>
        <v>BALANCE INSOLVENCY</v>
      </c>
      <c r="E7" s="65" t="n">
        <f aca="false">'Input Data'!F7</f>
        <v>98.1</v>
      </c>
      <c r="F7" s="26" t="n">
        <f aca="false">IFERROR('Input Data'!G7,"")</f>
        <v>45139</v>
      </c>
      <c r="G7" s="26" t="n">
        <f aca="false">IFERROR('Input Data'!H7,"")</f>
        <v>46234</v>
      </c>
      <c r="H7" s="66" t="n">
        <f aca="false">'Input Data'!I7</f>
        <v>3</v>
      </c>
      <c r="I7" s="69" t="n">
        <f aca="false">'Input Data'!V7</f>
        <v>0.0876112251882272</v>
      </c>
      <c r="J7" s="67" t="n">
        <f aca="false">'Input Data'!J7</f>
        <v>973.44</v>
      </c>
      <c r="K7" s="67" t="n">
        <f aca="false">'Input Data'!S7</f>
        <v>960</v>
      </c>
      <c r="L7" s="67" t="n">
        <f aca="false">'Input Data'!N7</f>
        <v>76070.664</v>
      </c>
      <c r="M7" s="67" t="n">
        <f aca="false">'Input Data'!L7</f>
        <v>-19423.8</v>
      </c>
      <c r="N7" s="67" t="n">
        <f aca="false">'Input Data'!M7</f>
        <v>4500</v>
      </c>
      <c r="O7" s="222" t="n">
        <f aca="false">'Input Data'!O7</f>
        <v>0</v>
      </c>
      <c r="P7" s="37" t="str">
        <f aca="false">'Input Data'!P7</f>
        <v>LEASE RENEWAL</v>
      </c>
      <c r="Q7" s="26" t="n">
        <f aca="false">IFERROR('Input Data'!Q7,"")</f>
        <v>46235</v>
      </c>
      <c r="R7" s="37" t="str">
        <f aca="false">'Input Data'!R7</f>
        <v>Net</v>
      </c>
      <c r="S7" s="67" t="n">
        <f aca="false">'Input Data'!T7</f>
        <v>13.4400000000001</v>
      </c>
      <c r="T7" s="68" t="n">
        <f aca="false">'Input Data'!U7</f>
        <v>0.0140000000000001</v>
      </c>
      <c r="U7" s="65" t="n">
        <f aca="false">'Input Data'!W7</f>
        <v>8.59466119096509</v>
      </c>
      <c r="V7" s="37" t="n">
        <f aca="false">'Input Data'!X7</f>
        <v>0</v>
      </c>
    </row>
    <row r="8" customFormat="false" ht="15.75" hidden="false" customHeight="true" outlineLevel="0" collapsed="false">
      <c r="A8" s="63" t="str">
        <f aca="false">'Input Data'!B25</f>
        <v>L11</v>
      </c>
      <c r="B8" s="63" t="str">
        <f aca="false">'Input Data'!C25</f>
        <v>1102</v>
      </c>
      <c r="C8" s="64" t="str">
        <f aca="false">'Input Data'!D25</f>
        <v>LEWIS WOOLCOTT</v>
      </c>
      <c r="D8" s="64" t="str">
        <f aca="false">'Input Data'!E25</f>
        <v>LEWIS WOOLCOTT</v>
      </c>
      <c r="E8" s="65" t="n">
        <f aca="false">'Input Data'!F25</f>
        <v>133.1</v>
      </c>
      <c r="F8" s="26" t="n">
        <f aca="false">IFERROR('Input Data'!G25,"")</f>
        <v>46249</v>
      </c>
      <c r="G8" s="26" t="n">
        <f aca="false">IFERROR('Input Data'!H25,"")</f>
        <v>46979</v>
      </c>
      <c r="H8" s="66" t="n">
        <f aca="false">'Input Data'!I25</f>
        <v>2</v>
      </c>
      <c r="I8" s="69" t="n">
        <f aca="false">'Input Data'!V25</f>
        <v>2.12731006160164</v>
      </c>
      <c r="J8" s="67" t="n">
        <f aca="false">'Input Data'!J25</f>
        <v>1271.1</v>
      </c>
      <c r="K8" s="67" t="n">
        <f aca="false">'Input Data'!S25</f>
        <v>1250</v>
      </c>
      <c r="L8" s="67" t="n">
        <f aca="false">'Input Data'!N25</f>
        <v>138730.4</v>
      </c>
      <c r="M8" s="67" t="n">
        <f aca="false">'Input Data'!L25</f>
        <v>-30453.01</v>
      </c>
      <c r="N8" s="67" t="n">
        <f aca="false">'Input Data'!M25</f>
        <v>5820</v>
      </c>
      <c r="O8" s="222" t="n">
        <f aca="false">'Input Data'!O25</f>
        <v>0</v>
      </c>
      <c r="P8" s="37" t="str">
        <f aca="false">'Input Data'!P25</f>
        <v>FIXED 4.0%</v>
      </c>
      <c r="Q8" s="26" t="n">
        <f aca="false">IFERROR('Input Data'!Q25,"")</f>
        <v>46614</v>
      </c>
      <c r="R8" s="37" t="str">
        <f aca="false">'Input Data'!R25</f>
        <v>Net</v>
      </c>
      <c r="S8" s="67" t="n">
        <f aca="false">'Input Data'!T25</f>
        <v>21.0999999999999</v>
      </c>
      <c r="T8" s="68" t="n">
        <f aca="false">'Input Data'!U25</f>
        <v>0.0168799999999999</v>
      </c>
      <c r="U8" s="65" t="n">
        <f aca="false">'Input Data'!W25</f>
        <v>283.144969199179</v>
      </c>
      <c r="V8" s="37" t="str">
        <f aca="false">'Input Data'!X25</f>
        <v>Lewis Woolcott new lease commences 15/8/26 (day after PharmX's lease ends), 2 yr term to 14/8/28, $1,271.10 psm. Outgoings carried forward at PharmX's existing rate pending TS confirmation.</v>
      </c>
    </row>
    <row r="9" customFormat="false" ht="15.75" hidden="false" customHeight="true" outlineLevel="0" collapsed="false">
      <c r="A9" s="63" t="str">
        <f aca="false">'Input Data'!B24</f>
        <v>L11</v>
      </c>
      <c r="B9" s="63" t="str">
        <f aca="false">'Input Data'!C24</f>
        <v>1101</v>
      </c>
      <c r="C9" s="64" t="str">
        <f aca="false">'Input Data'!D24</f>
        <v>MICHAEL FLEGG PTY LTD</v>
      </c>
      <c r="D9" s="64" t="str">
        <f aca="false">'Input Data'!E24</f>
        <v>MICHAEL FLEGG PTY LTD</v>
      </c>
      <c r="E9" s="65" t="n">
        <f aca="false">'Input Data'!F24</f>
        <v>62.4</v>
      </c>
      <c r="F9" s="26" t="n">
        <f aca="false">IFERROR('Input Data'!G24,"")</f>
        <v>44531</v>
      </c>
      <c r="G9" s="26" t="n">
        <f aca="false">IFERROR('Input Data'!H24,"")</f>
        <v>46356</v>
      </c>
      <c r="H9" s="66" t="n">
        <f aca="false">'Input Data'!I24</f>
        <v>5</v>
      </c>
      <c r="I9" s="69" t="n">
        <f aca="false">'Input Data'!V24</f>
        <v>0.421629021218344</v>
      </c>
      <c r="J9" s="67" t="n">
        <f aca="false">'Input Data'!J24</f>
        <v>1368.73</v>
      </c>
      <c r="K9" s="67" t="n">
        <f aca="false">'Input Data'!S24</f>
        <v>1405</v>
      </c>
      <c r="L9" s="67" t="n">
        <f aca="false">'Input Data'!N24</f>
        <v>85408.752</v>
      </c>
      <c r="M9" s="67" t="n">
        <f aca="false">'Input Data'!L24</f>
        <v>0</v>
      </c>
      <c r="N9" s="67" t="n">
        <f aca="false">'Input Data'!M24</f>
        <v>4200</v>
      </c>
      <c r="O9" s="222" t="n">
        <f aca="false">'Input Data'!O24</f>
        <v>0</v>
      </c>
      <c r="P9" s="37" t="str">
        <f aca="false">'Input Data'!P24</f>
        <v>LEASE RENEWAL</v>
      </c>
      <c r="Q9" s="26" t="n">
        <f aca="false">IFERROR('Input Data'!Q24,"")</f>
        <v>46357</v>
      </c>
      <c r="R9" s="37" t="str">
        <f aca="false">'Input Data'!R24</f>
        <v>Net</v>
      </c>
      <c r="S9" s="67" t="n">
        <f aca="false">'Input Data'!T24</f>
        <v>-36.27</v>
      </c>
      <c r="T9" s="68" t="n">
        <f aca="false">'Input Data'!U24</f>
        <v>-0.0258149466192171</v>
      </c>
      <c r="U9" s="65" t="n">
        <f aca="false">'Input Data'!W24</f>
        <v>26.3096509240246</v>
      </c>
      <c r="V9" s="37" t="n">
        <f aca="false">'Input Data'!X24</f>
        <v>0</v>
      </c>
    </row>
    <row r="10" customFormat="false" ht="15.75" hidden="false" customHeight="true" outlineLevel="0" collapsed="false">
      <c r="A10" s="53" t="str">
        <f aca="false">'Input Data'!B15</f>
        <v>L06</v>
      </c>
      <c r="B10" s="53" t="str">
        <f aca="false">'Input Data'!C15</f>
        <v>601</v>
      </c>
      <c r="C10" s="54" t="str">
        <f aca="false">'Input Data'!D15</f>
        <v>FULLCRM PTY LTD</v>
      </c>
      <c r="D10" s="54" t="str">
        <f aca="false">'Input Data'!E15</f>
        <v>FULLCRM PTY LTD</v>
      </c>
      <c r="E10" s="56" t="n">
        <f aca="false">'Input Data'!F15</f>
        <v>226.1</v>
      </c>
      <c r="F10" s="57" t="n">
        <f aca="false">IFERROR('Input Data'!G15,"")</f>
        <v>44531</v>
      </c>
      <c r="G10" s="57" t="n">
        <f aca="false">IFERROR('Input Data'!H15,"")</f>
        <v>46418</v>
      </c>
      <c r="H10" s="58" t="n">
        <f aca="false">'Input Data'!I15</f>
        <v>5.2</v>
      </c>
      <c r="I10" s="61" t="n">
        <f aca="false">'Input Data'!V15</f>
        <v>0.591375770020534</v>
      </c>
      <c r="J10" s="59" t="n">
        <f aca="false">'Input Data'!J15</f>
        <v>1251.34</v>
      </c>
      <c r="K10" s="59" t="n">
        <f aca="false">'Input Data'!S15</f>
        <v>1165</v>
      </c>
      <c r="L10" s="59" t="n">
        <f aca="false">'Input Data'!N15</f>
        <v>251183.534</v>
      </c>
      <c r="M10" s="59" t="n">
        <f aca="false">'Input Data'!L15</f>
        <v>-31744.44</v>
      </c>
      <c r="N10" s="59" t="n">
        <f aca="false">'Input Data'!M15</f>
        <v>13800</v>
      </c>
      <c r="O10" s="223" t="n">
        <f aca="false">'Input Data'!O15</f>
        <v>0</v>
      </c>
      <c r="P10" s="55" t="str">
        <f aca="false">'Input Data'!P15</f>
        <v>LEASE RENEWAL</v>
      </c>
      <c r="Q10" s="57" t="n">
        <f aca="false">IFERROR('Input Data'!Q15,"")</f>
        <v>46419</v>
      </c>
      <c r="R10" s="55" t="str">
        <f aca="false">'Input Data'!R15</f>
        <v>Net</v>
      </c>
      <c r="S10" s="59" t="n">
        <f aca="false">'Input Data'!T15</f>
        <v>86.3399999999999</v>
      </c>
      <c r="T10" s="60" t="n">
        <f aca="false">'Input Data'!U15</f>
        <v>0.0741115879828325</v>
      </c>
      <c r="U10" s="56" t="n">
        <f aca="false">'Input Data'!W15</f>
        <v>133.710061601643</v>
      </c>
      <c r="V10" s="55" t="n">
        <f aca="false">'Input Data'!X15</f>
        <v>0</v>
      </c>
    </row>
    <row r="11" customFormat="false" ht="15.75" hidden="false" customHeight="true" outlineLevel="0" collapsed="false">
      <c r="A11" s="28" t="str">
        <f aca="false">'Input Data'!B9</f>
        <v>L03</v>
      </c>
      <c r="B11" s="28" t="str">
        <f aca="false">'Input Data'!C9</f>
        <v>301&amp;2</v>
      </c>
      <c r="C11" s="43" t="str">
        <f aca="false">'Input Data'!D9</f>
        <v>IPM RESIDENTIAL PTY LTD</v>
      </c>
      <c r="D11" s="43" t="str">
        <f aca="false">'Input Data'!E9</f>
        <v>IPM RESIDENTIAL PTY LTD</v>
      </c>
      <c r="E11" s="44" t="n">
        <f aca="false">'Input Data'!F9</f>
        <v>164.2</v>
      </c>
      <c r="F11" s="45" t="n">
        <f aca="false">IFERROR('Input Data'!G9,"")</f>
        <v>44713</v>
      </c>
      <c r="G11" s="45" t="n">
        <f aca="false">IFERROR('Input Data'!H9,"")</f>
        <v>46538</v>
      </c>
      <c r="H11" s="46" t="n">
        <f aca="false">'Input Data'!I9</f>
        <v>5</v>
      </c>
      <c r="I11" s="49" t="n">
        <f aca="false">'Input Data'!V9</f>
        <v>0.919917864476386</v>
      </c>
      <c r="J11" s="47" t="n">
        <f aca="false">'Input Data'!J9</f>
        <v>1216.58</v>
      </c>
      <c r="K11" s="47" t="n">
        <f aca="false">'Input Data'!S9</f>
        <v>1135</v>
      </c>
      <c r="L11" s="47" t="n">
        <f aca="false">'Input Data'!N9</f>
        <v>184245.476</v>
      </c>
      <c r="M11" s="47" t="n">
        <f aca="false">'Input Data'!L9</f>
        <v>-15516.96</v>
      </c>
      <c r="N11" s="47" t="n">
        <f aca="false">'Input Data'!M9</f>
        <v>9900</v>
      </c>
      <c r="O11" s="224" t="n">
        <f aca="false">'Input Data'!O9</f>
        <v>2</v>
      </c>
      <c r="P11" s="31" t="str">
        <f aca="false">'Input Data'!P9</f>
        <v>LEASE RENEWAL</v>
      </c>
      <c r="Q11" s="45" t="n">
        <f aca="false">IFERROR('Input Data'!Q9,"")</f>
        <v>46539</v>
      </c>
      <c r="R11" s="31" t="str">
        <f aca="false">'Input Data'!R9</f>
        <v>Net</v>
      </c>
      <c r="S11" s="47" t="n">
        <f aca="false">'Input Data'!T9</f>
        <v>81.5799999999999</v>
      </c>
      <c r="T11" s="48" t="n">
        <f aca="false">'Input Data'!U9</f>
        <v>0.0718766519823788</v>
      </c>
      <c r="U11" s="44" t="n">
        <f aca="false">'Input Data'!W9</f>
        <v>151.050513347023</v>
      </c>
      <c r="V11" s="31" t="n">
        <f aca="false">'Input Data'!X9</f>
        <v>0</v>
      </c>
    </row>
    <row r="12" customFormat="false" ht="15.75" hidden="false" customHeight="true" outlineLevel="0" collapsed="false">
      <c r="A12" s="53" t="str">
        <f aca="false">'Input Data'!B14</f>
        <v>L05</v>
      </c>
      <c r="B12" s="53" t="str">
        <f aca="false">'Input Data'!C14</f>
        <v>502</v>
      </c>
      <c r="C12" s="54" t="str">
        <f aca="false">'Input Data'!D14</f>
        <v>THREAT DEFENCE</v>
      </c>
      <c r="D12" s="54" t="str">
        <f aca="false">'Input Data'!E14</f>
        <v>THREAT DEFENCE PTY LTD</v>
      </c>
      <c r="E12" s="56" t="n">
        <f aca="false">'Input Data'!F14</f>
        <v>163.8</v>
      </c>
      <c r="F12" s="57" t="n">
        <f aca="false">IFERROR('Input Data'!G14,"")</f>
        <v>45474</v>
      </c>
      <c r="G12" s="57" t="n">
        <f aca="false">IFERROR('Input Data'!H14,"")</f>
        <v>46568</v>
      </c>
      <c r="H12" s="58" t="n">
        <f aca="false">'Input Data'!I14</f>
        <v>3</v>
      </c>
      <c r="I12" s="61" t="n">
        <f aca="false">'Input Data'!V14</f>
        <v>1.00205338809035</v>
      </c>
      <c r="J12" s="59" t="n">
        <f aca="false">'Input Data'!J14</f>
        <v>1054.88</v>
      </c>
      <c r="K12" s="59" t="n">
        <f aca="false">'Input Data'!S14</f>
        <v>1020</v>
      </c>
      <c r="L12" s="59" t="n">
        <f aca="false">'Input Data'!N14</f>
        <v>131053.104</v>
      </c>
      <c r="M12" s="59" t="n">
        <f aca="false">'Input Data'!L14</f>
        <v>-41736.24</v>
      </c>
      <c r="N12" s="59" t="n">
        <f aca="false">'Input Data'!M14</f>
        <v>7140</v>
      </c>
      <c r="O12" s="223" t="n">
        <f aca="false">'Input Data'!O14</f>
        <v>0</v>
      </c>
      <c r="P12" s="55" t="str">
        <f aca="false">'Input Data'!P14</f>
        <v>LEASE RENEWAL</v>
      </c>
      <c r="Q12" s="57" t="n">
        <f aca="false">IFERROR('Input Data'!Q14,"")</f>
        <v>46569</v>
      </c>
      <c r="R12" s="55" t="str">
        <f aca="false">'Input Data'!R14</f>
        <v>Net</v>
      </c>
      <c r="S12" s="59" t="n">
        <f aca="false">'Input Data'!T14</f>
        <v>34.8800000000001</v>
      </c>
      <c r="T12" s="60" t="n">
        <f aca="false">'Input Data'!U14</f>
        <v>0.0341960784313727</v>
      </c>
      <c r="U12" s="56" t="n">
        <f aca="false">'Input Data'!W14</f>
        <v>164.136344969199</v>
      </c>
      <c r="V12" s="55" t="n">
        <f aca="false">'Input Data'!X14</f>
        <v>0</v>
      </c>
    </row>
    <row r="13" customFormat="false" ht="15.75" hidden="false" customHeight="true" outlineLevel="0" collapsed="false">
      <c r="A13" s="28" t="str">
        <f aca="false">'Input Data'!B17</f>
        <v>L07</v>
      </c>
      <c r="B13" s="28" t="str">
        <f aca="false">'Input Data'!C17</f>
        <v>701</v>
      </c>
      <c r="C13" s="43" t="str">
        <f aca="false">'Input Data'!D17</f>
        <v>PINPOINT TALENT PTY LTD</v>
      </c>
      <c r="D13" s="43" t="str">
        <f aca="false">'Input Data'!E17</f>
        <v>PINPOINT TALENT PTY LTD</v>
      </c>
      <c r="E13" s="44" t="n">
        <f aca="false">'Input Data'!F17</f>
        <v>210.5</v>
      </c>
      <c r="F13" s="45" t="n">
        <f aca="false">IFERROR('Input Data'!G17,"")</f>
        <v>45145</v>
      </c>
      <c r="G13" s="45" t="n">
        <f aca="false">IFERROR('Input Data'!H17,"")</f>
        <v>46605</v>
      </c>
      <c r="H13" s="46" t="n">
        <f aca="false">'Input Data'!I17</f>
        <v>4</v>
      </c>
      <c r="I13" s="49" t="n">
        <f aca="false">'Input Data'!V17</f>
        <v>1.10335386721424</v>
      </c>
      <c r="J13" s="47" t="n">
        <f aca="false">'Input Data'!J17</f>
        <v>1173.54</v>
      </c>
      <c r="K13" s="47" t="n">
        <f aca="false">'Input Data'!S17</f>
        <v>1175</v>
      </c>
      <c r="L13" s="47" t="n">
        <f aca="false">'Input Data'!N17</f>
        <v>178512.45</v>
      </c>
      <c r="M13" s="47" t="n">
        <f aca="false">'Input Data'!L17</f>
        <v>-68517.72</v>
      </c>
      <c r="N13" s="47" t="n">
        <f aca="false">'Input Data'!M17</f>
        <v>13800</v>
      </c>
      <c r="O13" s="224" t="n">
        <f aca="false">'Input Data'!O17</f>
        <v>0</v>
      </c>
      <c r="P13" s="31" t="str">
        <f aca="false">'Input Data'!P17</f>
        <v>FIXED 4%</v>
      </c>
      <c r="Q13" s="45" t="n">
        <f aca="false">IFERROR('Input Data'!Q17,"")</f>
        <v>46241</v>
      </c>
      <c r="R13" s="31" t="str">
        <f aca="false">'Input Data'!R17</f>
        <v>Net</v>
      </c>
      <c r="S13" s="47" t="n">
        <f aca="false">'Input Data'!T17</f>
        <v>-1.46000000000004</v>
      </c>
      <c r="T13" s="48" t="n">
        <f aca="false">'Input Data'!U17</f>
        <v>-0.00124255319148939</v>
      </c>
      <c r="U13" s="44" t="n">
        <f aca="false">'Input Data'!W17</f>
        <v>232.255989048597</v>
      </c>
      <c r="V13" s="31" t="n">
        <f aca="false">'Input Data'!X17</f>
        <v>0</v>
      </c>
    </row>
    <row r="14" customFormat="false" ht="15.75" hidden="false" customHeight="true" outlineLevel="0" collapsed="false">
      <c r="A14" s="53" t="str">
        <f aca="false">'Input Data'!B13</f>
        <v>L05</v>
      </c>
      <c r="B14" s="53" t="str">
        <f aca="false">'Input Data'!C13</f>
        <v>501</v>
      </c>
      <c r="C14" s="54" t="str">
        <f aca="false">'Input Data'!D13</f>
        <v>MONTGOMERY INVESTMENT</v>
      </c>
      <c r="D14" s="54" t="str">
        <f aca="false">'Input Data'!E13</f>
        <v>MONTGOMERY INVESTMENT</v>
      </c>
      <c r="E14" s="56" t="n">
        <f aca="false">'Input Data'!F13</f>
        <v>212.3</v>
      </c>
      <c r="F14" s="57" t="n">
        <f aca="false">IFERROR('Input Data'!G13,"")</f>
        <v>43770</v>
      </c>
      <c r="G14" s="57" t="n">
        <f aca="false">IFERROR('Input Data'!H13,"")</f>
        <v>46691</v>
      </c>
      <c r="H14" s="58" t="n">
        <f aca="false">'Input Data'!I13</f>
        <v>8</v>
      </c>
      <c r="I14" s="61" t="n">
        <f aca="false">'Input Data'!V13</f>
        <v>1.3388090349076</v>
      </c>
      <c r="J14" s="59" t="n">
        <f aca="false">'Input Data'!J13</f>
        <v>1341.24</v>
      </c>
      <c r="K14" s="59" t="n">
        <f aca="false">'Input Data'!S13</f>
        <v>1155</v>
      </c>
      <c r="L14" s="59" t="n">
        <f aca="false">'Input Data'!N13</f>
        <v>235383.492</v>
      </c>
      <c r="M14" s="59" t="n">
        <f aca="false">'Input Data'!L13</f>
        <v>-49361.76</v>
      </c>
      <c r="N14" s="59" t="n">
        <f aca="false">'Input Data'!M13</f>
        <v>9900</v>
      </c>
      <c r="O14" s="223" t="n">
        <f aca="false">'Input Data'!O13</f>
        <v>36</v>
      </c>
      <c r="P14" s="55" t="str">
        <f aca="false">'Input Data'!P13</f>
        <v>FIXED 4%</v>
      </c>
      <c r="Q14" s="57" t="n">
        <f aca="false">IFERROR('Input Data'!Q13,"")</f>
        <v>46327</v>
      </c>
      <c r="R14" s="55" t="str">
        <f aca="false">'Input Data'!R13</f>
        <v>Net</v>
      </c>
      <c r="S14" s="59" t="n">
        <f aca="false">'Input Data'!T13</f>
        <v>186.24</v>
      </c>
      <c r="T14" s="60" t="n">
        <f aca="false">'Input Data'!U13</f>
        <v>0.161246753246753</v>
      </c>
      <c r="U14" s="56" t="n">
        <f aca="false">'Input Data'!W13</f>
        <v>284.229158110883</v>
      </c>
      <c r="V14" s="55" t="n">
        <f aca="false">'Input Data'!X13</f>
        <v>0</v>
      </c>
    </row>
    <row r="15" customFormat="false" ht="15.75" hidden="false" customHeight="true" outlineLevel="0" collapsed="false">
      <c r="A15" s="28" t="str">
        <f aca="false">'Input Data'!B18</f>
        <v>L07</v>
      </c>
      <c r="B15" s="28" t="str">
        <f aca="false">'Input Data'!C18</f>
        <v>702</v>
      </c>
      <c r="C15" s="43" t="str">
        <f aca="false">'Input Data'!D18</f>
        <v>SATELLITE OFFICE PTY LTD</v>
      </c>
      <c r="D15" s="43" t="str">
        <f aca="false">'Input Data'!E18</f>
        <v>SATELLITE OFFICE PTY LTD</v>
      </c>
      <c r="E15" s="44" t="n">
        <f aca="false">'Input Data'!F18</f>
        <v>163.9</v>
      </c>
      <c r="F15" s="45" t="n">
        <f aca="false">IFERROR('Input Data'!G18,"")</f>
        <v>45444</v>
      </c>
      <c r="G15" s="45" t="n">
        <f aca="false">IFERROR('Input Data'!H18,"")</f>
        <v>46904</v>
      </c>
      <c r="H15" s="46" t="n">
        <f aca="false">'Input Data'!I18</f>
        <v>4</v>
      </c>
      <c r="I15" s="49" t="n">
        <f aca="false">'Input Data'!V18</f>
        <v>1.92197125256674</v>
      </c>
      <c r="J15" s="47" t="n">
        <f aca="false">'Input Data'!J18</f>
        <v>1054.88</v>
      </c>
      <c r="K15" s="47" t="n">
        <f aca="false">'Input Data'!S18</f>
        <v>1040</v>
      </c>
      <c r="L15" s="47" t="n">
        <f aca="false">'Input Data'!N18</f>
        <v>132633.272</v>
      </c>
      <c r="M15" s="47" t="n">
        <f aca="false">'Input Data'!L18</f>
        <v>-40261.56</v>
      </c>
      <c r="N15" s="47" t="n">
        <f aca="false">'Input Data'!M18</f>
        <v>7020</v>
      </c>
      <c r="O15" s="224" t="n">
        <f aca="false">'Input Data'!O18</f>
        <v>24</v>
      </c>
      <c r="P15" s="31" t="str">
        <f aca="false">'Input Data'!P18</f>
        <v>FIXED 3.75%</v>
      </c>
      <c r="Q15" s="45" t="n">
        <f aca="false">IFERROR('Input Data'!Q18,"")</f>
        <v>46539</v>
      </c>
      <c r="R15" s="31" t="str">
        <f aca="false">'Input Data'!R18</f>
        <v>Net</v>
      </c>
      <c r="S15" s="47" t="n">
        <f aca="false">'Input Data'!T18</f>
        <v>14.8800000000001</v>
      </c>
      <c r="T15" s="48" t="n">
        <f aca="false">'Input Data'!U18</f>
        <v>0.0143076923076924</v>
      </c>
      <c r="U15" s="44" t="n">
        <f aca="false">'Input Data'!W18</f>
        <v>315.011088295688</v>
      </c>
      <c r="V15" s="31" t="n">
        <f aca="false">'Input Data'!X18</f>
        <v>0</v>
      </c>
    </row>
    <row r="16" customFormat="false" ht="15.75" hidden="false" customHeight="true" outlineLevel="0" collapsed="false">
      <c r="A16" s="53" t="str">
        <f aca="false">'Input Data'!B6</f>
        <v>L01</v>
      </c>
      <c r="B16" s="53" t="str">
        <f aca="false">'Input Data'!C6</f>
        <v>103</v>
      </c>
      <c r="C16" s="54" t="str">
        <f aca="false">'Input Data'!D6</f>
        <v>PU PRIME TRADING PTY LTD</v>
      </c>
      <c r="D16" s="54" t="str">
        <f aca="false">'Input Data'!E6</f>
        <v>PU PRIME TRADING PTY LTD</v>
      </c>
      <c r="E16" s="56" t="n">
        <f aca="false">'Input Data'!F6</f>
        <v>96.3</v>
      </c>
      <c r="F16" s="57" t="n">
        <f aca="false">IFERROR('Input Data'!G6,"")</f>
        <v>44378</v>
      </c>
      <c r="G16" s="57" t="n">
        <f aca="false">IFERROR('Input Data'!H6,"")</f>
        <v>46918</v>
      </c>
      <c r="H16" s="58" t="n">
        <f aca="false">'Input Data'!I6</f>
        <v>7</v>
      </c>
      <c r="I16" s="61" t="n">
        <f aca="false">'Input Data'!V6</f>
        <v>1.96030116358658</v>
      </c>
      <c r="J16" s="59" t="n">
        <f aca="false">'Input Data'!J6</f>
        <v>1021.99</v>
      </c>
      <c r="K16" s="59" t="n">
        <f aca="false">'Input Data'!S6</f>
        <v>960</v>
      </c>
      <c r="L16" s="59" t="n">
        <f aca="false">'Input Data'!N6</f>
        <v>89396.037</v>
      </c>
      <c r="M16" s="59" t="n">
        <f aca="false">'Input Data'!L6</f>
        <v>-9021.6</v>
      </c>
      <c r="N16" s="59" t="n">
        <f aca="false">'Input Data'!M6</f>
        <v>6780</v>
      </c>
      <c r="O16" s="223" t="n">
        <f aca="false">'Input Data'!O6</f>
        <v>0</v>
      </c>
      <c r="P16" s="55" t="str">
        <f aca="false">'Input Data'!P6</f>
        <v>FIXED 4%</v>
      </c>
      <c r="Q16" s="57" t="n">
        <f aca="false">IFERROR('Input Data'!Q6,"")</f>
        <v>46461</v>
      </c>
      <c r="R16" s="55" t="str">
        <f aca="false">'Input Data'!R6</f>
        <v>Net</v>
      </c>
      <c r="S16" s="59" t="n">
        <f aca="false">'Input Data'!T6</f>
        <v>61.99</v>
      </c>
      <c r="T16" s="60" t="n">
        <f aca="false">'Input Data'!U6</f>
        <v>0.0645729166666667</v>
      </c>
      <c r="U16" s="56" t="n">
        <f aca="false">'Input Data'!W6</f>
        <v>188.777002053388</v>
      </c>
      <c r="V16" s="55" t="n">
        <f aca="false">'Input Data'!X6</f>
        <v>0</v>
      </c>
    </row>
    <row r="17" customFormat="false" ht="15.75" hidden="false" customHeight="true" outlineLevel="0" collapsed="false">
      <c r="A17" s="28" t="str">
        <f aca="false">'Input Data'!B20</f>
        <v>L08</v>
      </c>
      <c r="B17" s="28" t="str">
        <f aca="false">'Input Data'!C20</f>
        <v>802</v>
      </c>
      <c r="C17" s="43" t="str">
        <f aca="false">'Input Data'!D20</f>
        <v>HILLIARD &amp; BERRY</v>
      </c>
      <c r="D17" s="43" t="str">
        <f aca="false">'Input Data'!E20</f>
        <v>HILLIARD &amp; BERRY</v>
      </c>
      <c r="E17" s="44" t="n">
        <f aca="false">'Input Data'!F20</f>
        <v>138.5</v>
      </c>
      <c r="F17" s="45" t="n">
        <f aca="false">IFERROR('Input Data'!G20,"")</f>
        <v>41654</v>
      </c>
      <c r="G17" s="45" t="n">
        <f aca="false">IFERROR('Input Data'!H20,"")</f>
        <v>46965</v>
      </c>
      <c r="H17" s="46" t="n">
        <f aca="false">'Input Data'!I20</f>
        <v>14.6</v>
      </c>
      <c r="I17" s="49" t="n">
        <f aca="false">'Input Data'!V20</f>
        <v>2.08898015058179</v>
      </c>
      <c r="J17" s="47" t="n">
        <f aca="false">'Input Data'!J20</f>
        <v>843.65</v>
      </c>
      <c r="K17" s="47" t="n">
        <f aca="false">'Input Data'!S20</f>
        <v>1030</v>
      </c>
      <c r="L17" s="47" t="n">
        <f aca="false">'Input Data'!N20</f>
        <v>116845.525</v>
      </c>
      <c r="M17" s="47" t="n">
        <f aca="false">'Input Data'!L20</f>
        <v>0</v>
      </c>
      <c r="N17" s="47" t="n">
        <f aca="false">'Input Data'!M20</f>
        <v>12240</v>
      </c>
      <c r="O17" s="224" t="n">
        <f aca="false">'Input Data'!O20</f>
        <v>0</v>
      </c>
      <c r="P17" s="31" t="str">
        <f aca="false">'Input Data'!P20</f>
        <v>FIXED 4%</v>
      </c>
      <c r="Q17" s="45" t="n">
        <f aca="false">IFERROR('Input Data'!Q20,"")</f>
        <v>46235</v>
      </c>
      <c r="R17" s="31" t="str">
        <f aca="false">'Input Data'!R20</f>
        <v>Net</v>
      </c>
      <c r="S17" s="47" t="n">
        <f aca="false">'Input Data'!T20</f>
        <v>-186.35</v>
      </c>
      <c r="T17" s="48" t="n">
        <f aca="false">'Input Data'!U20</f>
        <v>-0.180922330097087</v>
      </c>
      <c r="U17" s="44" t="n">
        <f aca="false">'Input Data'!W20</f>
        <v>289.323750855578</v>
      </c>
      <c r="V17" s="31" t="n">
        <f aca="false">'Input Data'!X20</f>
        <v>0</v>
      </c>
    </row>
    <row r="18" customFormat="false" ht="15.75" hidden="false" customHeight="true" outlineLevel="0" collapsed="false">
      <c r="A18" s="53" t="str">
        <f aca="false">'Input Data'!B10</f>
        <v>L03</v>
      </c>
      <c r="B18" s="53" t="str">
        <f aca="false">'Input Data'!C10</f>
        <v>303&amp;4</v>
      </c>
      <c r="C18" s="54" t="str">
        <f aca="false">'Input Data'!D10</f>
        <v>BROADRIDGE (AUSTRALIA) PTY LTD</v>
      </c>
      <c r="D18" s="54" t="str">
        <f aca="false">'Input Data'!E10</f>
        <v>BROADRIDGE (AUSTRALI) PTY LTD</v>
      </c>
      <c r="E18" s="56" t="n">
        <f aca="false">'Input Data'!F10</f>
        <v>193.4</v>
      </c>
      <c r="F18" s="57" t="n">
        <f aca="false">IFERROR('Input Data'!G10,"")</f>
        <v>45566</v>
      </c>
      <c r="G18" s="57" t="n">
        <f aca="false">IFERROR('Input Data'!H10,"")</f>
        <v>47026</v>
      </c>
      <c r="H18" s="58" t="n">
        <f aca="false">'Input Data'!I10</f>
        <v>4</v>
      </c>
      <c r="I18" s="61" t="n">
        <f aca="false">'Input Data'!V10</f>
        <v>2.25598904859685</v>
      </c>
      <c r="J18" s="59" t="n">
        <f aca="false">'Input Data'!J10</f>
        <v>933.75</v>
      </c>
      <c r="K18" s="59" t="n">
        <f aca="false">'Input Data'!S10</f>
        <v>920</v>
      </c>
      <c r="L18" s="59" t="n">
        <f aca="false">'Input Data'!N10</f>
        <v>159625.05</v>
      </c>
      <c r="M18" s="59" t="n">
        <f aca="false">'Input Data'!L10</f>
        <v>-20962.2</v>
      </c>
      <c r="N18" s="59" t="n">
        <f aca="false">'Input Data'!M10</f>
        <v>6300</v>
      </c>
      <c r="O18" s="223" t="n">
        <f aca="false">'Input Data'!O10</f>
        <v>0</v>
      </c>
      <c r="P18" s="55" t="str">
        <f aca="false">'Input Data'!P10</f>
        <v>FIXED 3.75%</v>
      </c>
      <c r="Q18" s="57" t="n">
        <f aca="false">IFERROR('Input Data'!Q10,"")</f>
        <v>46296</v>
      </c>
      <c r="R18" s="55" t="str">
        <f aca="false">'Input Data'!R10</f>
        <v>Net</v>
      </c>
      <c r="S18" s="59" t="n">
        <f aca="false">'Input Data'!T10</f>
        <v>13.75</v>
      </c>
      <c r="T18" s="60" t="n">
        <f aca="false">'Input Data'!U10</f>
        <v>0.014945652173913</v>
      </c>
      <c r="U18" s="56" t="n">
        <f aca="false">'Input Data'!W10</f>
        <v>436.308281998631</v>
      </c>
      <c r="V18" s="55" t="n">
        <f aca="false">'Input Data'!X10</f>
        <v>0</v>
      </c>
    </row>
    <row r="19" customFormat="false" ht="15.75" hidden="false" customHeight="true" outlineLevel="0" collapsed="false">
      <c r="A19" s="28" t="str">
        <f aca="false">'Input Data'!B8</f>
        <v>L02</v>
      </c>
      <c r="B19" s="28" t="str">
        <f aca="false">'Input Data'!C8</f>
        <v>WHOLE</v>
      </c>
      <c r="C19" s="43" t="str">
        <f aca="false">'Input Data'!D8</f>
        <v>PRINCETON FINANCIAL SERVICES</v>
      </c>
      <c r="D19" s="43" t="str">
        <f aca="false">'Input Data'!E8</f>
        <v>PRINCETON FINANCIAL SERVICES</v>
      </c>
      <c r="E19" s="44" t="n">
        <f aca="false">'Input Data'!F8</f>
        <v>393.2</v>
      </c>
      <c r="F19" s="45" t="n">
        <f aca="false">IFERROR('Input Data'!G8,"")</f>
        <v>45292</v>
      </c>
      <c r="G19" s="45" t="n">
        <f aca="false">IFERROR('Input Data'!H8,"")</f>
        <v>47118</v>
      </c>
      <c r="H19" s="46" t="n">
        <f aca="false">'Input Data'!I8</f>
        <v>5</v>
      </c>
      <c r="I19" s="49" t="n">
        <f aca="false">'Input Data'!V8</f>
        <v>2.50787132101301</v>
      </c>
      <c r="J19" s="47" t="n">
        <f aca="false">'Input Data'!J8</f>
        <v>1081.6</v>
      </c>
      <c r="K19" s="47" t="n">
        <f aca="false">'Input Data'!S8</f>
        <v>1095</v>
      </c>
      <c r="L19" s="47" t="n">
        <f aca="false">'Input Data'!N8</f>
        <v>401703.32</v>
      </c>
      <c r="M19" s="47" t="n">
        <f aca="false">'Input Data'!L8</f>
        <v>-23581.8</v>
      </c>
      <c r="N19" s="47" t="n">
        <f aca="false">'Input Data'!M8</f>
        <v>16200</v>
      </c>
      <c r="O19" s="224" t="n">
        <f aca="false">'Input Data'!O8</f>
        <v>0</v>
      </c>
      <c r="P19" s="31" t="str">
        <f aca="false">'Input Data'!P8</f>
        <v>FIXED 4%</v>
      </c>
      <c r="Q19" s="45" t="n">
        <f aca="false">IFERROR('Input Data'!Q8,"")</f>
        <v>46388</v>
      </c>
      <c r="R19" s="31" t="str">
        <f aca="false">'Input Data'!R8</f>
        <v>Net</v>
      </c>
      <c r="S19" s="47" t="n">
        <f aca="false">'Input Data'!T8</f>
        <v>-13.4000000000001</v>
      </c>
      <c r="T19" s="48" t="n">
        <f aca="false">'Input Data'!U8</f>
        <v>-0.0122374429223745</v>
      </c>
      <c r="U19" s="44" t="n">
        <f aca="false">'Input Data'!W8</f>
        <v>986.095003422313</v>
      </c>
      <c r="V19" s="31" t="n">
        <f aca="false">'Input Data'!X8</f>
        <v>0</v>
      </c>
    </row>
    <row r="20" customFormat="false" ht="15.75" hidden="false" customHeight="true" outlineLevel="0" collapsed="false">
      <c r="A20" s="53" t="str">
        <f aca="false">'Input Data'!B3</f>
        <v>BSMT</v>
      </c>
      <c r="B20" s="53" t="str">
        <f aca="false">'Input Data'!C3</f>
        <v>LWR GROUND</v>
      </c>
      <c r="C20" s="54" t="str">
        <f aca="false">'Input Data'!D3</f>
        <v>OPULENT TWO ENTERPRISES</v>
      </c>
      <c r="D20" s="54" t="str">
        <f aca="false">'Input Data'!E3</f>
        <v>OPULENT TWO ENTERPRISES</v>
      </c>
      <c r="E20" s="56" t="n">
        <f aca="false">'Input Data'!F3</f>
        <v>151.2</v>
      </c>
      <c r="F20" s="57" t="n">
        <f aca="false">IFERROR('Input Data'!G3,"")</f>
        <v>42401</v>
      </c>
      <c r="G20" s="57" t="n">
        <f aca="false">IFERROR('Input Data'!H3,"")</f>
        <v>47149</v>
      </c>
      <c r="H20" s="58" t="n">
        <f aca="false">'Input Data'!I3</f>
        <v>13</v>
      </c>
      <c r="I20" s="61" t="n">
        <f aca="false">'Input Data'!V3</f>
        <v>2.5927446954141</v>
      </c>
      <c r="J20" s="59" t="n">
        <f aca="false">'Input Data'!J3</f>
        <v>1002.01</v>
      </c>
      <c r="K20" s="59" t="n">
        <f aca="false">'Input Data'!S3</f>
        <v>930</v>
      </c>
      <c r="L20" s="59" t="n">
        <f aca="false">'Input Data'!N3</f>
        <v>123489.072</v>
      </c>
      <c r="M20" s="59" t="n">
        <f aca="false">'Input Data'!L3</f>
        <v>-28014.84</v>
      </c>
      <c r="N20" s="59" t="n">
        <f aca="false">'Input Data'!M3</f>
        <v>15000</v>
      </c>
      <c r="O20" s="223" t="n">
        <f aca="false">'Input Data'!O3</f>
        <v>0</v>
      </c>
      <c r="P20" s="55" t="str">
        <f aca="false">'Input Data'!P3</f>
        <v>FIXED 4%</v>
      </c>
      <c r="Q20" s="57" t="n">
        <f aca="false">IFERROR('Input Data'!Q3,"")</f>
        <v>46419</v>
      </c>
      <c r="R20" s="55" t="str">
        <f aca="false">'Input Data'!R3</f>
        <v>Net</v>
      </c>
      <c r="S20" s="59" t="n">
        <f aca="false">'Input Data'!T3</f>
        <v>72.01</v>
      </c>
      <c r="T20" s="60" t="n">
        <f aca="false">'Input Data'!U3</f>
        <v>0.0774301075268817</v>
      </c>
      <c r="U20" s="56" t="n">
        <f aca="false">'Input Data'!W3</f>
        <v>392.022997946612</v>
      </c>
      <c r="V20" s="55" t="n">
        <f aca="false">'Input Data'!X3</f>
        <v>0</v>
      </c>
    </row>
    <row r="21" customFormat="false" ht="15.75" hidden="false" customHeight="true" outlineLevel="0" collapsed="false">
      <c r="A21" s="28" t="str">
        <f aca="false">'Input Data'!B11</f>
        <v>L04</v>
      </c>
      <c r="B21" s="28" t="str">
        <f aca="false">'Input Data'!C11</f>
        <v>401</v>
      </c>
      <c r="C21" s="43" t="str">
        <f aca="false">'Input Data'!D11</f>
        <v>B-W INTERNATIONAL AUSTRALIA PTY LTD</v>
      </c>
      <c r="D21" s="43" t="str">
        <f aca="false">'Input Data'!E11</f>
        <v>B-W INTERNATIONAL AUSTRALIA PTY LTD</v>
      </c>
      <c r="E21" s="44" t="n">
        <f aca="false">'Input Data'!F11</f>
        <v>214.1</v>
      </c>
      <c r="F21" s="45" t="n">
        <f aca="false">IFERROR('Input Data'!G11,"")</f>
        <v>45352</v>
      </c>
      <c r="G21" s="45" t="n">
        <f aca="false">IFERROR('Input Data'!H11,"")</f>
        <v>47177</v>
      </c>
      <c r="H21" s="46" t="n">
        <f aca="false">'Input Data'!I11</f>
        <v>5</v>
      </c>
      <c r="I21" s="49" t="n">
        <f aca="false">'Input Data'!V11</f>
        <v>2.6694045174538</v>
      </c>
      <c r="J21" s="47" t="n">
        <f aca="false">'Input Data'!J11</f>
        <v>1135.61</v>
      </c>
      <c r="K21" s="47" t="n">
        <f aca="false">'Input Data'!S11</f>
        <v>1145</v>
      </c>
      <c r="L21" s="47" t="n">
        <f aca="false">'Input Data'!N11</f>
        <v>188930.341</v>
      </c>
      <c r="M21" s="47" t="n">
        <f aca="false">'Input Data'!L11</f>
        <v>-54203.76</v>
      </c>
      <c r="N21" s="47" t="n">
        <f aca="false">'Input Data'!M11</f>
        <v>8700</v>
      </c>
      <c r="O21" s="224" t="n">
        <f aca="false">'Input Data'!O11</f>
        <v>0</v>
      </c>
      <c r="P21" s="31" t="str">
        <f aca="false">'Input Data'!P11</f>
        <v>FIXED 3.75%</v>
      </c>
      <c r="Q21" s="45" t="n">
        <f aca="false">IFERROR('Input Data'!Q11,"")</f>
        <v>46447</v>
      </c>
      <c r="R21" s="31" t="str">
        <f aca="false">'Input Data'!R11</f>
        <v>Net</v>
      </c>
      <c r="S21" s="47" t="n">
        <f aca="false">'Input Data'!T11</f>
        <v>-9.3900000000001</v>
      </c>
      <c r="T21" s="48" t="n">
        <f aca="false">'Input Data'!U11</f>
        <v>-0.0082008733624455</v>
      </c>
      <c r="U21" s="44" t="n">
        <f aca="false">'Input Data'!W11</f>
        <v>571.519507186858</v>
      </c>
      <c r="V21" s="31" t="n">
        <f aca="false">'Input Data'!X11</f>
        <v>0</v>
      </c>
    </row>
    <row r="22" customFormat="false" ht="15.75" hidden="false" customHeight="true" outlineLevel="0" collapsed="false">
      <c r="A22" s="53" t="str">
        <f aca="false">'Input Data'!B23</f>
        <v>L10</v>
      </c>
      <c r="B22" s="53" t="str">
        <f aca="false">'Input Data'!C23</f>
        <v>1001&amp;2</v>
      </c>
      <c r="C22" s="54" t="str">
        <f aca="false">'Input Data'!D23</f>
        <v>CONNECTUS SERVICES PTY LTD</v>
      </c>
      <c r="D22" s="54" t="str">
        <f aca="false">'Input Data'!E23</f>
        <v>CONNECTUS</v>
      </c>
      <c r="E22" s="56" t="n">
        <f aca="false">'Input Data'!F23</f>
        <v>363.2</v>
      </c>
      <c r="F22" s="57" t="n">
        <f aca="false">IFERROR('Input Data'!G23,"")</f>
        <v>45261</v>
      </c>
      <c r="G22" s="57" t="n">
        <f aca="false">IFERROR('Input Data'!H23,"")</f>
        <v>47452</v>
      </c>
      <c r="H22" s="58" t="n">
        <f aca="false">'Input Data'!I23</f>
        <v>6</v>
      </c>
      <c r="I22" s="61" t="n">
        <f aca="false">'Input Data'!V23</f>
        <v>3.42231348391513</v>
      </c>
      <c r="J22" s="59" t="n">
        <f aca="false">'Input Data'!J23</f>
        <v>1189.67</v>
      </c>
      <c r="K22" s="59" t="n">
        <f aca="false">'Input Data'!S23</f>
        <v>1200</v>
      </c>
      <c r="L22" s="59" t="n">
        <f aca="false">'Input Data'!N23</f>
        <v>317550.184</v>
      </c>
      <c r="M22" s="59" t="n">
        <f aca="false">'Input Data'!L23</f>
        <v>-114537.96</v>
      </c>
      <c r="N22" s="59" t="n">
        <f aca="false">'Input Data'!M23</f>
        <v>15000</v>
      </c>
      <c r="O22" s="223" t="n">
        <f aca="false">'Input Data'!O23</f>
        <v>48</v>
      </c>
      <c r="P22" s="55" t="str">
        <f aca="false">'Input Data'!P23</f>
        <v>FIXED</v>
      </c>
      <c r="Q22" s="57" t="n">
        <f aca="false">IFERROR('Input Data'!Q23,"")</f>
        <v>46357</v>
      </c>
      <c r="R22" s="55" t="str">
        <f aca="false">'Input Data'!R23</f>
        <v>Net</v>
      </c>
      <c r="S22" s="59" t="n">
        <f aca="false">'Input Data'!T23</f>
        <v>-10.3299999999999</v>
      </c>
      <c r="T22" s="60" t="n">
        <f aca="false">'Input Data'!U23</f>
        <v>-0.00860833333333327</v>
      </c>
      <c r="U22" s="56" t="n">
        <f aca="false">'Input Data'!W23</f>
        <v>1242.98425735797</v>
      </c>
      <c r="V22" s="55" t="n">
        <f aca="false">'Input Data'!X23</f>
        <v>0</v>
      </c>
    </row>
    <row r="23" customFormat="false" ht="15.75" hidden="false" customHeight="true" outlineLevel="0" collapsed="false">
      <c r="A23" s="28" t="str">
        <f aca="false">'Input Data'!B12</f>
        <v>L04</v>
      </c>
      <c r="B23" s="28" t="str">
        <f aca="false">'Input Data'!C12</f>
        <v>402</v>
      </c>
      <c r="C23" s="43" t="str">
        <f aca="false">'Input Data'!D12</f>
        <v>MP TRAVEL PTY LTD</v>
      </c>
      <c r="D23" s="43" t="str">
        <f aca="false">'Input Data'!E12</f>
        <v>GRAY DAWES TRAVEL</v>
      </c>
      <c r="E23" s="44" t="n">
        <f aca="false">'Input Data'!F12</f>
        <v>145.6</v>
      </c>
      <c r="F23" s="45" t="n">
        <f aca="false">IFERROR('Input Data'!G12,"")</f>
        <v>45658</v>
      </c>
      <c r="G23" s="45" t="n">
        <f aca="false">IFERROR('Input Data'!H12,"")</f>
        <v>47483</v>
      </c>
      <c r="H23" s="46" t="n">
        <f aca="false">'Input Data'!I12</f>
        <v>5</v>
      </c>
      <c r="I23" s="49" t="n">
        <f aca="false">'Input Data'!V12</f>
        <v>3.50718685831622</v>
      </c>
      <c r="J23" s="47" t="n">
        <f aca="false">'Input Data'!J12</f>
        <v>1037.5</v>
      </c>
      <c r="K23" s="47" t="n">
        <f aca="false">'Input Data'!S12</f>
        <v>1000</v>
      </c>
      <c r="L23" s="47" t="n">
        <f aca="false">'Input Data'!N12</f>
        <v>133384.12</v>
      </c>
      <c r="M23" s="47" t="n">
        <f aca="false">'Input Data'!L12</f>
        <v>-17675.88</v>
      </c>
      <c r="N23" s="47" t="n">
        <f aca="false">'Input Data'!M12</f>
        <v>6000</v>
      </c>
      <c r="O23" s="224" t="n">
        <f aca="false">'Input Data'!O12</f>
        <v>0</v>
      </c>
      <c r="P23" s="31" t="str">
        <f aca="false">'Input Data'!P12</f>
        <v>FIXED 3.75%</v>
      </c>
      <c r="Q23" s="45" t="n">
        <f aca="false">IFERROR('Input Data'!Q12,"")</f>
        <v>46388</v>
      </c>
      <c r="R23" s="31" t="str">
        <f aca="false">'Input Data'!R12</f>
        <v>Net</v>
      </c>
      <c r="S23" s="47" t="n">
        <f aca="false">'Input Data'!T12</f>
        <v>37.5</v>
      </c>
      <c r="T23" s="48" t="n">
        <f aca="false">'Input Data'!U12</f>
        <v>0.0375</v>
      </c>
      <c r="U23" s="44" t="n">
        <f aca="false">'Input Data'!W12</f>
        <v>510.646406570842</v>
      </c>
      <c r="V23" s="31" t="n">
        <f aca="false">'Input Data'!X12</f>
        <v>0</v>
      </c>
    </row>
    <row r="24" customFormat="false" ht="15.75" hidden="false" customHeight="true" outlineLevel="0" collapsed="false">
      <c r="A24" s="53" t="str">
        <f aca="false">'Input Data'!B22</f>
        <v>L09</v>
      </c>
      <c r="B24" s="53" t="str">
        <f aca="false">'Input Data'!C22</f>
        <v>902&amp;3</v>
      </c>
      <c r="C24" s="54" t="str">
        <f aca="false">'Input Data'!D22</f>
        <v>CAPITAL E MARKETING AND EVENTS PTY LTD</v>
      </c>
      <c r="D24" s="54" t="str">
        <f aca="false">'Input Data'!E22</f>
        <v>CAPITAL E MARKETING AND EVENTS</v>
      </c>
      <c r="E24" s="56" t="n">
        <f aca="false">'Input Data'!F22</f>
        <v>303</v>
      </c>
      <c r="F24" s="57" t="n">
        <f aca="false">IFERROR('Input Data'!G22,"")</f>
        <v>44562</v>
      </c>
      <c r="G24" s="57" t="n">
        <f aca="false">IFERROR('Input Data'!H22,"")</f>
        <v>47573</v>
      </c>
      <c r="H24" s="58" t="n">
        <f aca="false">'Input Data'!I22</f>
        <v>8.2</v>
      </c>
      <c r="I24" s="61" t="n">
        <f aca="false">'Input Data'!V22</f>
        <v>3.75359342915811</v>
      </c>
      <c r="J24" s="59" t="n">
        <f aca="false">'Input Data'!J22</f>
        <v>1141.25</v>
      </c>
      <c r="K24" s="59" t="n">
        <f aca="false">'Input Data'!S22</f>
        <v>1125</v>
      </c>
      <c r="L24" s="59" t="n">
        <f aca="false">'Input Data'!N22</f>
        <v>255323.07</v>
      </c>
      <c r="M24" s="59" t="n">
        <f aca="false">'Input Data'!L22</f>
        <v>-90475.68</v>
      </c>
      <c r="N24" s="59" t="n">
        <f aca="false">'Input Data'!M22</f>
        <v>9300</v>
      </c>
      <c r="O24" s="223" t="n">
        <f aca="false">'Input Data'!O22</f>
        <v>0</v>
      </c>
      <c r="P24" s="55" t="str">
        <f aca="false">'Input Data'!P22</f>
        <v>FIXED 3.75%</v>
      </c>
      <c r="Q24" s="57" t="n">
        <f aca="false">IFERROR('Input Data'!Q22,"")</f>
        <v>46478</v>
      </c>
      <c r="R24" s="55" t="str">
        <f aca="false">'Input Data'!R22</f>
        <v>Net</v>
      </c>
      <c r="S24" s="59" t="n">
        <f aca="false">'Input Data'!T22</f>
        <v>16.25</v>
      </c>
      <c r="T24" s="60" t="n">
        <f aca="false">'Input Data'!U22</f>
        <v>0.0144444444444444</v>
      </c>
      <c r="U24" s="56" t="n">
        <f aca="false">'Input Data'!W22</f>
        <v>1137.33880903491</v>
      </c>
      <c r="V24" s="55" t="n">
        <f aca="false">'Input Data'!X22</f>
        <v>0</v>
      </c>
    </row>
    <row r="25" customFormat="false" ht="15.75" hidden="false" customHeight="true" outlineLevel="0" collapsed="false">
      <c r="A25" s="28" t="str">
        <f aca="false">'Input Data'!B19</f>
        <v>L08</v>
      </c>
      <c r="B25" s="28" t="str">
        <f aca="false">'Input Data'!C19</f>
        <v>801</v>
      </c>
      <c r="C25" s="43" t="str">
        <f aca="false">'Input Data'!D19</f>
        <v>ARKANCE AUSTRALIA PTY LTD</v>
      </c>
      <c r="D25" s="43" t="str">
        <f aca="false">'Input Data'!E19</f>
        <v>ARKANCE AUSTRALIA PTY LTD</v>
      </c>
      <c r="E25" s="44" t="n">
        <f aca="false">'Input Data'!F19</f>
        <v>222</v>
      </c>
      <c r="F25" s="45" t="n">
        <f aca="false">IFERROR('Input Data'!G19,"")</f>
        <v>45931</v>
      </c>
      <c r="G25" s="45" t="n">
        <f aca="false">IFERROR('Input Data'!H19,"")</f>
        <v>47756</v>
      </c>
      <c r="H25" s="46" t="n">
        <f aca="false">'Input Data'!I19</f>
        <v>5</v>
      </c>
      <c r="I25" s="49" t="n">
        <f aca="false">'Input Data'!V19</f>
        <v>4.25462012320329</v>
      </c>
      <c r="J25" s="47" t="n">
        <f aca="false">'Input Data'!J19</f>
        <v>1300</v>
      </c>
      <c r="K25" s="47" t="n">
        <f aca="false">'Input Data'!S19</f>
        <v>1300</v>
      </c>
      <c r="L25" s="47" t="n">
        <f aca="false">'Input Data'!N19</f>
        <v>242424</v>
      </c>
      <c r="M25" s="47" t="n">
        <f aca="false">'Input Data'!L19</f>
        <v>-46176</v>
      </c>
      <c r="N25" s="47" t="n">
        <f aca="false">'Input Data'!M19</f>
        <v>1500</v>
      </c>
      <c r="O25" s="224" t="n">
        <f aca="false">'Input Data'!O19</f>
        <v>0</v>
      </c>
      <c r="P25" s="31" t="str">
        <f aca="false">'Input Data'!P19</f>
        <v>FIXED 3.75%</v>
      </c>
      <c r="Q25" s="45" t="n">
        <f aca="false">IFERROR('Input Data'!Q19,"")</f>
        <v>46296</v>
      </c>
      <c r="R25" s="31" t="str">
        <f aca="false">'Input Data'!R19</f>
        <v>Net</v>
      </c>
      <c r="S25" s="47" t="n">
        <f aca="false">'Input Data'!T19</f>
        <v>0</v>
      </c>
      <c r="T25" s="48" t="n">
        <f aca="false">'Input Data'!U19</f>
        <v>0</v>
      </c>
      <c r="U25" s="44" t="n">
        <f aca="false">'Input Data'!W19</f>
        <v>944.525667351129</v>
      </c>
      <c r="V25" s="31" t="n">
        <f aca="false">'Input Data'!X19</f>
        <v>0</v>
      </c>
    </row>
    <row r="26" customFormat="false" ht="15.75" hidden="false" customHeight="true" outlineLevel="0" collapsed="false">
      <c r="A26" s="53" t="str">
        <f aca="false">'Input Data'!B4</f>
        <v>GF</v>
      </c>
      <c r="B26" s="53" t="str">
        <f aca="false">'Input Data'!C4</f>
        <v>GROUND</v>
      </c>
      <c r="C26" s="54" t="str">
        <f aca="false">'Input Data'!D4</f>
        <v>RCVRI MARTIN PLACE PTY LTD</v>
      </c>
      <c r="D26" s="54" t="str">
        <f aca="false">'Input Data'!E4</f>
        <v>RECOVERIE</v>
      </c>
      <c r="E26" s="56" t="n">
        <f aca="false">'Input Data'!F4</f>
        <v>298.3</v>
      </c>
      <c r="F26" s="57" t="n">
        <f aca="false">IFERROR('Input Data'!G4,"")</f>
        <v>45678</v>
      </c>
      <c r="G26" s="57" t="n">
        <f aca="false">IFERROR('Input Data'!H4,"")</f>
        <v>48233</v>
      </c>
      <c r="H26" s="58" t="n">
        <f aca="false">'Input Data'!I4</f>
        <v>7</v>
      </c>
      <c r="I26" s="61" t="n">
        <f aca="false">'Input Data'!V4</f>
        <v>5.5605749486653</v>
      </c>
      <c r="J26" s="59" t="n">
        <f aca="false">'Input Data'!J4</f>
        <v>1150.52</v>
      </c>
      <c r="K26" s="59" t="n">
        <f aca="false">'Input Data'!S4</f>
        <v>1100</v>
      </c>
      <c r="L26" s="59" t="n">
        <f aca="false">'Input Data'!N4</f>
        <v>272485.796</v>
      </c>
      <c r="M26" s="59" t="n">
        <f aca="false">'Input Data'!L4</f>
        <v>-70714.32</v>
      </c>
      <c r="N26" s="59" t="n">
        <f aca="false">'Input Data'!M4</f>
        <v>10408.32</v>
      </c>
      <c r="O26" s="223" t="n">
        <f aca="false">'Input Data'!O4</f>
        <v>0</v>
      </c>
      <c r="P26" s="55" t="str">
        <f aca="false">'Input Data'!P4</f>
        <v>FIXED 4%</v>
      </c>
      <c r="Q26" s="57" t="n">
        <f aca="false">IFERROR('Input Data'!Q4,"")</f>
        <v>46408</v>
      </c>
      <c r="R26" s="55" t="str">
        <f aca="false">'Input Data'!R4</f>
        <v>Gross</v>
      </c>
      <c r="S26" s="59" t="n">
        <f aca="false">'Input Data'!T4</f>
        <v>50.52</v>
      </c>
      <c r="T26" s="60" t="n">
        <f aca="false">'Input Data'!U4</f>
        <v>0.0459272727272727</v>
      </c>
      <c r="U26" s="56" t="n">
        <f aca="false">'Input Data'!W4</f>
        <v>1658.71950718686</v>
      </c>
      <c r="V26" s="55" t="n">
        <f aca="false">'Input Data'!X4</f>
        <v>0</v>
      </c>
    </row>
    <row r="27" customFormat="false" ht="15.75" hidden="false" customHeight="true" outlineLevel="0" collapsed="false">
      <c r="A27" s="78" t="str">
        <f aca="false">'Input Data'!B27</f>
        <v>L11</v>
      </c>
      <c r="B27" s="87" t="str">
        <f aca="false">'Input Data'!C27</f>
        <v>1103</v>
      </c>
      <c r="C27" s="71" t="str">
        <f aca="false">'Input Data'!D27</f>
        <v>INFERNI SYSTEMS</v>
      </c>
      <c r="D27" s="71" t="str">
        <f aca="false">'Input Data'!E27</f>
        <v>INFERNI SYSTEMS</v>
      </c>
      <c r="E27" s="80" t="n">
        <f aca="false">'Input Data'!F27</f>
        <v>160.3</v>
      </c>
      <c r="F27" s="81" t="n">
        <f aca="false">IFERROR('Input Data'!G27,"")</f>
        <v>46218</v>
      </c>
      <c r="G27" s="81" t="n">
        <f aca="false">IFERROR('Input Data'!H27,"")</f>
        <v>47313</v>
      </c>
      <c r="H27" s="82" t="n">
        <f aca="false">'Input Data'!I27</f>
        <v>3</v>
      </c>
      <c r="I27" s="85" t="n">
        <f aca="false">'Input Data'!V27</f>
        <v>3.04175222450376</v>
      </c>
      <c r="J27" s="83" t="n">
        <f aca="false">'Input Data'!J27</f>
        <v>1150</v>
      </c>
      <c r="K27" s="83" t="n">
        <f aca="false">'Input Data'!S27</f>
        <v>1060</v>
      </c>
      <c r="L27" s="83" t="n">
        <f aca="false">'Input Data'!N27</f>
        <v>129041.5</v>
      </c>
      <c r="M27" s="83" t="n">
        <f aca="false">'Input Data'!L27</f>
        <v>-55303.5</v>
      </c>
      <c r="N27" s="83" t="n">
        <f aca="false">'Input Data'!M27</f>
        <v>0</v>
      </c>
      <c r="O27" s="221" t="n">
        <f aca="false">'Input Data'!O27</f>
        <v>0</v>
      </c>
      <c r="P27" s="79" t="str">
        <f aca="false">'Input Data'!P27</f>
        <v>FIXED 4.0%</v>
      </c>
      <c r="Q27" s="81" t="n">
        <f aca="false">IFERROR('Input Data'!Q27,"")</f>
        <v>46583</v>
      </c>
      <c r="R27" s="79" t="str">
        <f aca="false">'Input Data'!R27</f>
        <v>Net</v>
      </c>
      <c r="S27" s="83" t="n">
        <f aca="false">'Input Data'!T27</f>
        <v>90</v>
      </c>
      <c r="T27" s="84" t="n">
        <f aca="false">'Input Data'!U27</f>
        <v>0.0849056603773585</v>
      </c>
      <c r="U27" s="80" t="n">
        <f aca="false">'Input Data'!W27</f>
        <v>487.592881587954</v>
      </c>
      <c r="V27" s="71" t="str">
        <f aca="false">'Input Data'!X27</f>
        <v>Inferni Systems new lease commences 15/7/26, 3 yr term to 14/7/29, $1,150 psm. Outgoings/car parks TBC pending TS confirmation.</v>
      </c>
    </row>
  </sheetData>
  <mergeCells count="1">
    <mergeCell ref="A1:V1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" width="12"/>
    <col collapsed="false" customWidth="true" hidden="false" outlineLevel="0" max="2" min="2" style="7" width="28"/>
    <col collapsed="false" customWidth="true" hidden="false" outlineLevel="0" max="3" min="3" style="7" width="14"/>
    <col collapsed="false" customWidth="true" hidden="false" outlineLevel="0" max="5" min="4" style="7" width="10"/>
    <col collapsed="false" customWidth="true" hidden="false" outlineLevel="0" max="6" min="6" style="7" width="12"/>
    <col collapsed="false" customWidth="true" hidden="false" outlineLevel="0" max="7" min="7" style="7" width="10"/>
    <col collapsed="false" customWidth="true" hidden="false" outlineLevel="0" max="9" min="8" style="7" width="14"/>
    <col collapsed="false" customWidth="true" hidden="false" outlineLevel="0" max="10" min="10" style="7" width="10"/>
    <col collapsed="false" customWidth="true" hidden="false" outlineLevel="0" max="11" min="11" style="7" width="11"/>
    <col collapsed="false" customWidth="true" hidden="false" outlineLevel="0" max="13" min="12" style="7" width="14"/>
    <col collapsed="false" customWidth="true" hidden="false" outlineLevel="0" max="14" min="14" style="7" width="12"/>
    <col collapsed="false" customWidth="true" hidden="false" outlineLevel="0" max="15" min="15" style="7" width="30"/>
  </cols>
  <sheetData>
    <row r="1" customFormat="false" ht="27.75" hidden="false" customHeight="true" outlineLevel="0" collapsed="false">
      <c r="A1" s="205" t="s">
        <v>370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10"/>
    </row>
    <row r="2" customFormat="false" ht="27.75" hidden="false" customHeight="true" outlineLevel="0" collapsed="false">
      <c r="A2" s="40" t="s">
        <v>371</v>
      </c>
      <c r="B2" s="40" t="s">
        <v>62</v>
      </c>
      <c r="C2" s="40" t="s">
        <v>372</v>
      </c>
      <c r="D2" s="40" t="s">
        <v>231</v>
      </c>
      <c r="E2" s="40" t="s">
        <v>64</v>
      </c>
      <c r="F2" s="40" t="s">
        <v>373</v>
      </c>
      <c r="G2" s="40" t="s">
        <v>374</v>
      </c>
      <c r="H2" s="40" t="s">
        <v>375</v>
      </c>
      <c r="I2" s="40" t="s">
        <v>376</v>
      </c>
      <c r="J2" s="40" t="s">
        <v>377</v>
      </c>
      <c r="K2" s="40" t="s">
        <v>378</v>
      </c>
      <c r="L2" s="40" t="s">
        <v>379</v>
      </c>
      <c r="M2" s="40" t="s">
        <v>380</v>
      </c>
      <c r="N2" s="40" t="s">
        <v>381</v>
      </c>
      <c r="O2" s="40" t="s">
        <v>82</v>
      </c>
    </row>
    <row r="3" customFormat="false" ht="15.75" hidden="false" customHeight="true" outlineLevel="0" collapsed="false">
      <c r="A3" s="45" t="n">
        <v>45931</v>
      </c>
      <c r="B3" s="31" t="s">
        <v>382</v>
      </c>
      <c r="C3" s="144" t="s">
        <v>383</v>
      </c>
      <c r="D3" s="28" t="s">
        <v>384</v>
      </c>
      <c r="E3" s="44" t="n">
        <v>193.4</v>
      </c>
      <c r="F3" s="47" t="n">
        <v>900</v>
      </c>
      <c r="G3" s="29" t="n">
        <v>0.0375</v>
      </c>
      <c r="H3" s="45" t="n">
        <v>45931</v>
      </c>
      <c r="I3" s="45" t="n">
        <v>46660</v>
      </c>
      <c r="J3" s="28" t="s">
        <v>385</v>
      </c>
      <c r="K3" s="225" t="n">
        <v>0.31</v>
      </c>
      <c r="L3" s="47" t="n">
        <v>110228</v>
      </c>
      <c r="M3" s="47" t="n">
        <v>83849</v>
      </c>
      <c r="N3" s="47" t="n">
        <v>21758</v>
      </c>
      <c r="O3" s="197"/>
    </row>
    <row r="4" customFormat="false" ht="15.75" hidden="false" customHeight="true" outlineLevel="0" collapsed="false">
      <c r="A4" s="57" t="n">
        <v>45839</v>
      </c>
      <c r="B4" s="55" t="s">
        <v>386</v>
      </c>
      <c r="C4" s="144" t="s">
        <v>383</v>
      </c>
      <c r="D4" s="53" t="s">
        <v>387</v>
      </c>
      <c r="E4" s="56" t="n">
        <v>145.6</v>
      </c>
      <c r="F4" s="59" t="n">
        <v>1000</v>
      </c>
      <c r="G4" s="226" t="n">
        <v>0.0375</v>
      </c>
      <c r="H4" s="57" t="n">
        <v>45658</v>
      </c>
      <c r="I4" s="57" t="n">
        <v>47483</v>
      </c>
      <c r="J4" s="53" t="s">
        <v>388</v>
      </c>
      <c r="K4" s="227" t="n">
        <v>0.32</v>
      </c>
      <c r="L4" s="59" t="n">
        <v>144581</v>
      </c>
      <c r="M4" s="59" t="n">
        <v>88357</v>
      </c>
      <c r="N4" s="59" t="n">
        <v>0</v>
      </c>
      <c r="O4" s="153"/>
    </row>
    <row r="5" customFormat="false" ht="15.75" hidden="false" customHeight="true" outlineLevel="0" collapsed="false">
      <c r="A5" s="45" t="n">
        <v>45678</v>
      </c>
      <c r="B5" s="31" t="s">
        <v>389</v>
      </c>
      <c r="C5" s="144" t="s">
        <v>383</v>
      </c>
      <c r="D5" s="28" t="s">
        <v>94</v>
      </c>
      <c r="E5" s="44" t="n">
        <v>298.3</v>
      </c>
      <c r="F5" s="47" t="n">
        <v>1106.27</v>
      </c>
      <c r="G5" s="29" t="n">
        <v>0.04</v>
      </c>
      <c r="H5" s="45" t="n">
        <v>45678</v>
      </c>
      <c r="I5" s="45" t="n">
        <v>48233</v>
      </c>
      <c r="J5" s="28" t="s">
        <v>390</v>
      </c>
      <c r="K5" s="225" t="n">
        <v>0.25</v>
      </c>
      <c r="L5" s="47" t="n">
        <v>82500</v>
      </c>
      <c r="M5" s="47" t="n">
        <v>495000</v>
      </c>
      <c r="N5" s="47" t="n">
        <v>0</v>
      </c>
      <c r="O5" s="197"/>
    </row>
    <row r="6" customFormat="false" ht="15.75" hidden="false" customHeight="true" outlineLevel="0" collapsed="false">
      <c r="A6" s="57" t="n">
        <v>45292</v>
      </c>
      <c r="B6" s="55" t="s">
        <v>391</v>
      </c>
      <c r="C6" s="28" t="s">
        <v>392</v>
      </c>
      <c r="D6" s="53" t="s">
        <v>393</v>
      </c>
      <c r="E6" s="56" t="n">
        <v>303</v>
      </c>
      <c r="F6" s="59" t="n">
        <v>1100</v>
      </c>
      <c r="G6" s="226" t="n">
        <v>0.0375</v>
      </c>
      <c r="H6" s="57" t="n">
        <v>44562</v>
      </c>
      <c r="I6" s="57" t="n">
        <v>47573</v>
      </c>
      <c r="J6" s="53" t="s">
        <v>388</v>
      </c>
      <c r="K6" s="227" t="n">
        <v>0.34</v>
      </c>
      <c r="L6" s="59" t="n">
        <v>0</v>
      </c>
      <c r="M6" s="59" t="n">
        <v>533280</v>
      </c>
      <c r="N6" s="59" t="n">
        <v>33330</v>
      </c>
      <c r="O6" s="153"/>
    </row>
    <row r="7" customFormat="false" ht="15.75" hidden="false" customHeight="true" outlineLevel="0" collapsed="false">
      <c r="A7" s="45" t="n">
        <v>46189</v>
      </c>
      <c r="B7" s="31" t="s">
        <v>394</v>
      </c>
      <c r="C7" s="28" t="s">
        <v>392</v>
      </c>
      <c r="D7" s="28" t="n">
        <v>1.04</v>
      </c>
      <c r="E7" s="44" t="n">
        <v>162.4</v>
      </c>
      <c r="F7" s="47" t="n">
        <v>1012.37</v>
      </c>
      <c r="G7" s="29" t="n">
        <v>0.04</v>
      </c>
      <c r="H7" s="45" t="n">
        <v>42795</v>
      </c>
      <c r="I7" s="45" t="n">
        <v>46203</v>
      </c>
      <c r="J7" s="28" t="s">
        <v>395</v>
      </c>
      <c r="K7" s="225" t="n">
        <v>0.22</v>
      </c>
      <c r="L7" s="47" t="n">
        <v>0</v>
      </c>
      <c r="M7" s="47" t="n">
        <v>44690</v>
      </c>
      <c r="N7" s="47" t="n">
        <v>0</v>
      </c>
      <c r="O7" s="197"/>
    </row>
    <row r="8" customFormat="false" ht="15.75" hidden="false" customHeight="true" outlineLevel="0" collapsed="false">
      <c r="A8" s="45" t="n">
        <v>46058</v>
      </c>
      <c r="B8" s="31" t="s">
        <v>396</v>
      </c>
      <c r="C8" s="28" t="s">
        <v>392</v>
      </c>
      <c r="D8" s="28" t="s">
        <v>397</v>
      </c>
      <c r="E8" s="44" t="n">
        <v>96.3</v>
      </c>
      <c r="F8" s="47" t="n">
        <v>1022</v>
      </c>
      <c r="G8" s="29" t="n">
        <v>0.04</v>
      </c>
      <c r="H8" s="45" t="n">
        <v>44378</v>
      </c>
      <c r="I8" s="45" t="n">
        <v>46918</v>
      </c>
      <c r="J8" s="28" t="s">
        <v>398</v>
      </c>
      <c r="K8" s="29" t="n">
        <v>0.085</v>
      </c>
      <c r="L8" s="47" t="n">
        <v>0</v>
      </c>
      <c r="M8" s="47" t="n">
        <v>18043.21</v>
      </c>
      <c r="N8" s="47" t="n">
        <v>0</v>
      </c>
      <c r="O8" s="197"/>
    </row>
    <row r="9" customFormat="false" ht="14.25" hidden="false" customHeight="true" outlineLevel="0" collapsed="false">
      <c r="A9" s="211" t="n">
        <v>46176</v>
      </c>
      <c r="B9" s="39" t="s">
        <v>176</v>
      </c>
      <c r="C9" s="144" t="s">
        <v>383</v>
      </c>
      <c r="D9" s="209" t="n">
        <v>11.02</v>
      </c>
      <c r="E9" s="210" t="n">
        <v>133.1</v>
      </c>
      <c r="F9" s="214" t="n">
        <v>1271.1</v>
      </c>
      <c r="G9" s="228" t="n">
        <v>0.04</v>
      </c>
      <c r="H9" s="211" t="n">
        <v>46249</v>
      </c>
      <c r="I9" s="211" t="n">
        <v>46979</v>
      </c>
      <c r="J9" s="209" t="s">
        <v>398</v>
      </c>
      <c r="K9" s="229" t="n">
        <v>0.18</v>
      </c>
      <c r="L9" s="214" t="n">
        <v>0</v>
      </c>
      <c r="M9" s="214" t="n">
        <v>60906.02</v>
      </c>
      <c r="N9" s="214" t="n">
        <v>0</v>
      </c>
      <c r="O9" s="159"/>
    </row>
    <row r="10" s="7" customFormat="true" ht="14.25" hidden="false" customHeight="true" outlineLevel="0" collapsed="false">
      <c r="A10" s="45" t="n">
        <v>46192</v>
      </c>
      <c r="B10" s="31" t="s">
        <v>185</v>
      </c>
      <c r="C10" s="144" t="s">
        <v>383</v>
      </c>
      <c r="D10" s="28" t="n">
        <v>11.03</v>
      </c>
      <c r="E10" s="44" t="n">
        <v>160.3</v>
      </c>
      <c r="F10" s="47" t="n">
        <v>1150</v>
      </c>
      <c r="G10" s="29" t="n">
        <v>0.04</v>
      </c>
      <c r="H10" s="45" t="n">
        <v>46218</v>
      </c>
      <c r="I10" s="45" t="n">
        <v>47313</v>
      </c>
      <c r="J10" s="28" t="s">
        <v>395</v>
      </c>
      <c r="K10" s="225" t="n">
        <v>0.3</v>
      </c>
      <c r="L10" s="47" t="n">
        <v>0</v>
      </c>
      <c r="M10" s="47" t="n">
        <f aca="false">1035*E10</f>
        <v>165910.5</v>
      </c>
      <c r="N10" s="47" t="n">
        <v>0</v>
      </c>
      <c r="O10" s="197"/>
    </row>
    <row r="11" s="7" customFormat="true" ht="14.25" hidden="false" customHeight="true" outlineLevel="0" collapsed="false">
      <c r="A11" s="10"/>
      <c r="B11" s="10"/>
      <c r="C11" s="10"/>
      <c r="D11" s="10"/>
      <c r="E11" s="10"/>
      <c r="F11" s="230"/>
      <c r="G11" s="10"/>
      <c r="H11" s="10"/>
      <c r="I11" s="10"/>
      <c r="J11" s="10"/>
      <c r="K11" s="10"/>
      <c r="L11" s="10"/>
      <c r="M11" s="10"/>
      <c r="N11" s="10"/>
      <c r="O11" s="10"/>
    </row>
    <row r="12" customFormat="false" ht="14.2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  <row r="13" customFormat="false" ht="19.5" hidden="false" customHeight="true" outlineLevel="0" collapsed="false">
      <c r="A13" s="92" t="s">
        <v>399</v>
      </c>
      <c r="B13" s="92"/>
      <c r="C13" s="92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</row>
    <row r="14" customFormat="false" ht="15.75" hidden="false" customHeight="true" outlineLevel="0" collapsed="false">
      <c r="A14" s="43" t="str">
        <f aca="true">CONCATENATE("WALE by NLA (Current — ",TEXT(TODAY(),"mmm yyyy"),")")</f>
        <v>WALE by NLA (Current — Jun 2026)</v>
      </c>
      <c r="B14" s="43"/>
      <c r="C14" s="231" t="n">
        <f aca="false">Dashboard!D14</f>
        <v>2.54939270321053</v>
      </c>
      <c r="D14" s="10"/>
      <c r="E14" s="10"/>
      <c r="F14" s="232"/>
      <c r="G14" s="10"/>
      <c r="H14" s="10"/>
      <c r="I14" s="10"/>
      <c r="J14" s="10"/>
      <c r="K14" s="10"/>
      <c r="L14" s="10"/>
      <c r="M14" s="10"/>
      <c r="N14" s="10"/>
      <c r="O14" s="10"/>
    </row>
    <row r="15" customFormat="false" ht="15.75" hidden="false" customHeight="true" outlineLevel="0" collapsed="false">
      <c r="A15" s="200" t="str">
        <f aca="true">CONCATENATE("Occupancy (Current — ",TEXT(TODAY(),"mmm yyyy"),")")</f>
        <v>Occupancy (Current — Jun 2026)</v>
      </c>
      <c r="B15" s="200"/>
      <c r="C15" s="233" t="n">
        <f aca="false">Dashboard!H5</f>
        <v>0.965926240833245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customFormat="false" ht="15.75" hidden="false" customHeight="true" outlineLevel="0" collapsed="false">
      <c r="A16" s="43" t="s">
        <v>400</v>
      </c>
      <c r="B16" s="43"/>
      <c r="C16" s="234" t="s">
        <v>401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</row>
    <row r="17" customFormat="false" ht="15.75" hidden="false" customHeight="true" outlineLevel="0" collapsed="false">
      <c r="A17" s="200" t="s">
        <v>402</v>
      </c>
      <c r="B17" s="200"/>
      <c r="C17" s="38" t="s">
        <v>403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  <row r="18" customFormat="false" ht="15.75" hidden="false" customHeight="true" outlineLevel="0" collapsed="false">
      <c r="A18" s="43" t="s">
        <v>404</v>
      </c>
      <c r="B18" s="43"/>
      <c r="C18" s="234" t="s">
        <v>405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</row>
    <row r="19" customFormat="false" ht="15.75" hidden="false" customHeight="true" outlineLevel="0" collapsed="false">
      <c r="A19" s="200" t="s">
        <v>406</v>
      </c>
      <c r="B19" s="200"/>
      <c r="C19" s="38" t="s">
        <v>407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  <row r="20" customFormat="false" ht="14.2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  <row r="21" customFormat="false" ht="14.25" hidden="false" customHeight="true" outlineLevel="0" collapsed="false">
      <c r="A21" s="92" t="s">
        <v>408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</row>
    <row r="22" customFormat="false" ht="14.25" hidden="false" customHeight="true" outlineLevel="0" collapsed="false">
      <c r="A22" s="43" t="s">
        <v>409</v>
      </c>
      <c r="B22" s="10"/>
      <c r="C22" s="234" t="n">
        <f aca="false">COUNT(A3:A10)</f>
        <v>8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customFormat="false" ht="14.25" hidden="false" customHeight="true" outlineLevel="0" collapsed="false">
      <c r="A23" s="200" t="s">
        <v>410</v>
      </c>
      <c r="B23" s="10"/>
      <c r="C23" s="38" t="n">
        <f aca="false">COUNTIF(C3:C10,"New Lease")</f>
        <v>5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customFormat="false" ht="14.25" hidden="false" customHeight="true" outlineLevel="0" collapsed="false">
      <c r="A24" s="43" t="s">
        <v>411</v>
      </c>
      <c r="B24" s="10"/>
      <c r="C24" s="234" t="n">
        <f aca="false">COUNTIF(C3:C10,"Renewal")</f>
        <v>3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customFormat="false" ht="14.25" hidden="false" customHeight="true" outlineLevel="0" collapsed="false">
      <c r="A25" s="200" t="s">
        <v>412</v>
      </c>
      <c r="B25" s="10"/>
      <c r="C25" s="235" t="n">
        <f aca="false">SUM(E3:E10)</f>
        <v>1492.4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customFormat="false" ht="14.25" hidden="false" customHeight="true" outlineLevel="0" collapsed="false">
      <c r="A26" s="43" t="s">
        <v>413</v>
      </c>
      <c r="B26" s="10"/>
      <c r="C26" s="178" t="n">
        <f aca="false">AVERAGE(K3:K10)</f>
        <v>0.250625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customFormat="false" ht="14.25" hidden="false" customHeight="true" outlineLevel="0" collapsed="false">
      <c r="A27" s="200" t="s">
        <v>414</v>
      </c>
      <c r="B27" s="10"/>
      <c r="C27" s="236" t="n">
        <f aca="false">SUM(L3:L10)</f>
        <v>337309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customFormat="false" ht="14.25" hidden="false" customHeight="true" outlineLevel="0" collapsed="false">
      <c r="A28" s="43" t="s">
        <v>415</v>
      </c>
      <c r="B28" s="10"/>
      <c r="C28" s="237" t="n">
        <f aca="false">SUM(M3:M10)</f>
        <v>1490035.73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customFormat="false" ht="14.25" hidden="false" customHeight="true" outlineLevel="0" collapsed="false">
      <c r="A29" s="200" t="s">
        <v>416</v>
      </c>
      <c r="B29" s="10"/>
      <c r="C29" s="236" t="n">
        <f aca="false">SUM(N3:N10)</f>
        <v>55088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customFormat="false" ht="14.25" hidden="false" customHeight="true" outlineLevel="0" collapsed="false">
      <c r="A30" s="43" t="s">
        <v>417</v>
      </c>
      <c r="B30" s="10"/>
      <c r="C30" s="237" t="n">
        <f aca="false">SUM(L3:L10)+SUM(M3:M10)+SUM(N3:N10)</f>
        <v>1882432.73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mergeCells count="8">
    <mergeCell ref="A1:N1"/>
    <mergeCell ref="A13:C13"/>
    <mergeCell ref="A14:B14"/>
    <mergeCell ref="A15:B15"/>
    <mergeCell ref="A16:B16"/>
    <mergeCell ref="A17:B17"/>
    <mergeCell ref="A18:B18"/>
    <mergeCell ref="A19:B19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7" width="10"/>
    <col collapsed="false" customWidth="true" hidden="false" outlineLevel="0" max="3" min="3" style="7" width="28"/>
    <col collapsed="false" customWidth="true" hidden="false" outlineLevel="0" max="5" min="4" style="7" width="14"/>
    <col collapsed="false" customWidth="true" hidden="false" outlineLevel="0" max="6" min="6" style="7" width="12"/>
    <col collapsed="false" customWidth="true" hidden="false" outlineLevel="0" max="7" min="7" style="7" width="10"/>
    <col collapsed="false" customWidth="true" hidden="false" outlineLevel="0" max="8" min="8" style="7" width="12"/>
    <col collapsed="false" customWidth="true" hidden="false" outlineLevel="0" max="10" min="9" style="7" width="10"/>
    <col collapsed="false" customWidth="true" hidden="false" outlineLevel="0" max="11" min="11" style="7" width="12"/>
    <col collapsed="false" customWidth="true" hidden="false" outlineLevel="0" max="12" min="12" style="7" width="10"/>
  </cols>
  <sheetData>
    <row r="1" customFormat="false" ht="27.75" hidden="false" customHeight="true" outlineLevel="0" collapsed="false">
      <c r="A1" s="205" t="s">
        <v>418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</row>
    <row r="2" customFormat="false" ht="15.75" hidden="false" customHeight="true" outlineLevel="0" collapsed="false">
      <c r="A2" s="9" t="s">
        <v>419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customFormat="false" ht="31.5" hidden="false" customHeight="true" outlineLevel="0" collapsed="false">
      <c r="A3" s="40" t="s">
        <v>231</v>
      </c>
      <c r="B3" s="40" t="s">
        <v>420</v>
      </c>
      <c r="C3" s="40" t="s">
        <v>421</v>
      </c>
      <c r="D3" s="40" t="s">
        <v>272</v>
      </c>
      <c r="E3" s="40" t="s">
        <v>77</v>
      </c>
      <c r="F3" s="40" t="s">
        <v>236</v>
      </c>
      <c r="G3" s="40" t="s">
        <v>237</v>
      </c>
      <c r="H3" s="40" t="s">
        <v>422</v>
      </c>
      <c r="I3" s="40" t="s">
        <v>423</v>
      </c>
      <c r="J3" s="40" t="s">
        <v>424</v>
      </c>
      <c r="K3" s="40" t="s">
        <v>425</v>
      </c>
      <c r="L3" s="40" t="s">
        <v>424</v>
      </c>
    </row>
    <row r="4" customFormat="false" ht="15.75" hidden="false" customHeight="true" outlineLevel="0" collapsed="false">
      <c r="A4" s="173" t="s">
        <v>89</v>
      </c>
      <c r="B4" s="44" t="n">
        <f aca="false">IFERROR(INDEX('Input Data'!F:F,MATCH(A4,'Input Data'!$C:$C,0)),"")</f>
        <v>151.2</v>
      </c>
      <c r="C4" s="31" t="str">
        <f aca="false">IFERROR(INDEX('Input Data'!D:D,MATCH(A4,'Input Data'!$C:$C,0)),"")</f>
        <v>OPULENT TWO ENTERPRISES</v>
      </c>
      <c r="D4" s="47" t="n">
        <f aca="false">IFERROR(INDEX('Input Data'!J:J,MATCH(A4,'Input Data'!$C:$C,0)),0)</f>
        <v>1002.01</v>
      </c>
      <c r="E4" s="47" t="n">
        <v>930</v>
      </c>
      <c r="F4" s="47" t="n">
        <f aca="false">IFERROR(D4-E4,"")</f>
        <v>72.01</v>
      </c>
      <c r="G4" s="48" t="n">
        <f aca="false">IFERROR((D4-E4)/E4,"")</f>
        <v>0.0774301075268817</v>
      </c>
      <c r="H4" s="225" t="n">
        <v>0.23</v>
      </c>
      <c r="I4" s="225" t="n">
        <v>0.24</v>
      </c>
      <c r="J4" s="225" t="n">
        <v>0.25</v>
      </c>
      <c r="K4" s="225" t="n">
        <v>0.22</v>
      </c>
      <c r="L4" s="225" t="n">
        <v>0.25</v>
      </c>
    </row>
    <row r="5" customFormat="false" ht="15.75" hidden="false" customHeight="true" outlineLevel="0" collapsed="false">
      <c r="A5" s="238" t="s">
        <v>95</v>
      </c>
      <c r="B5" s="210" t="n">
        <f aca="false">IFERROR(INDEX('Input Data'!F:F,MATCH(A5,'Input Data'!$C:$C,0)),"")</f>
        <v>298.3</v>
      </c>
      <c r="C5" s="39" t="str">
        <f aca="false">IFERROR(INDEX('Input Data'!D:D,MATCH(A5,'Input Data'!$C:$C,0)),"")</f>
        <v>RCVRI MARTIN PLACE PTY LTD</v>
      </c>
      <c r="D5" s="214" t="n">
        <f aca="false">IFERROR(INDEX('Input Data'!J:J,MATCH(A5,'Input Data'!$C:$C,0)),0)</f>
        <v>1150.52</v>
      </c>
      <c r="E5" s="214" t="n">
        <v>1100</v>
      </c>
      <c r="F5" s="214" t="n">
        <f aca="false">IFERROR(D5-E5,"")</f>
        <v>50.52</v>
      </c>
      <c r="G5" s="239" t="n">
        <f aca="false">IFERROR((D5-E5)/E5,"")</f>
        <v>0.0459272727272727</v>
      </c>
      <c r="H5" s="229" t="n">
        <v>0.28</v>
      </c>
      <c r="I5" s="229" t="n">
        <v>0.3</v>
      </c>
      <c r="J5" s="229" t="n">
        <v>0.31</v>
      </c>
      <c r="K5" s="229" t="n">
        <v>0.26</v>
      </c>
      <c r="L5" s="229" t="n">
        <v>0.29</v>
      </c>
    </row>
    <row r="6" customFormat="false" ht="15.75" hidden="false" customHeight="true" outlineLevel="0" collapsed="false">
      <c r="A6" s="173" t="s">
        <v>100</v>
      </c>
      <c r="B6" s="44" t="n">
        <f aca="false">IFERROR(INDEX('Input Data'!F:F,MATCH(A6,'Input Data'!$C:$C,0)),"")</f>
        <v>162.4</v>
      </c>
      <c r="C6" s="31" t="str">
        <f aca="false">IFERROR(INDEX('Input Data'!D:D,MATCH(A6,'Input Data'!$C:$C,0)),"")</f>
        <v>BLITZEM PTY LTD</v>
      </c>
      <c r="D6" s="47" t="n">
        <f aca="false">IFERROR(INDEX('Input Data'!J:J,MATCH(A6,'Input Data'!$C:$C,0)),0)</f>
        <v>1012.37</v>
      </c>
      <c r="E6" s="47" t="n">
        <v>1115</v>
      </c>
      <c r="F6" s="47" t="n">
        <f aca="false">IFERROR(D6-E6,"")</f>
        <v>-102.63</v>
      </c>
      <c r="G6" s="48" t="n">
        <f aca="false">IFERROR((D6-E6)/E6,"")</f>
        <v>-0.0920448430493274</v>
      </c>
      <c r="H6" s="225" t="n">
        <v>0.26</v>
      </c>
      <c r="I6" s="225" t="n">
        <v>0.27</v>
      </c>
      <c r="J6" s="225" t="n">
        <v>0.29</v>
      </c>
      <c r="K6" s="225" t="n">
        <v>0.24</v>
      </c>
      <c r="L6" s="225" t="n">
        <v>0.27</v>
      </c>
    </row>
    <row r="7" customFormat="false" ht="15.75" hidden="false" customHeight="true" outlineLevel="0" collapsed="false">
      <c r="A7" s="238" t="s">
        <v>105</v>
      </c>
      <c r="B7" s="210" t="n">
        <f aca="false">IFERROR(INDEX('Input Data'!F:F,MATCH(A7,'Input Data'!$C:$C,0)),"")</f>
        <v>96.3</v>
      </c>
      <c r="C7" s="39" t="str">
        <f aca="false">IFERROR(INDEX('Input Data'!D:D,MATCH(A7,'Input Data'!$C:$C,0)),"")</f>
        <v>PU PRIME TRADING PTY LTD</v>
      </c>
      <c r="D7" s="214" t="n">
        <f aca="false">IFERROR(INDEX('Input Data'!J:J,MATCH(A7,'Input Data'!$C:$C,0)),0)</f>
        <v>1021.99</v>
      </c>
      <c r="E7" s="214" t="n">
        <v>960</v>
      </c>
      <c r="F7" s="214" t="n">
        <f aca="false">IFERROR(D7-E7,"")</f>
        <v>61.99</v>
      </c>
      <c r="G7" s="239" t="n">
        <f aca="false">IFERROR((D7-E7)/E7,"")</f>
        <v>0.0645729166666667</v>
      </c>
      <c r="H7" s="229" t="n">
        <v>0.23</v>
      </c>
      <c r="I7" s="229" t="n">
        <v>0.24</v>
      </c>
      <c r="J7" s="229" t="n">
        <v>0.25</v>
      </c>
      <c r="K7" s="229" t="n">
        <v>0.22</v>
      </c>
      <c r="L7" s="229" t="n">
        <v>0.24</v>
      </c>
    </row>
    <row r="8" customFormat="false" ht="15.75" hidden="false" customHeight="true" outlineLevel="0" collapsed="false">
      <c r="A8" s="173" t="s">
        <v>108</v>
      </c>
      <c r="B8" s="44" t="n">
        <f aca="false">IFERROR(INDEX('Input Data'!F:F,MATCH(A8,'Input Data'!$C:$C,0)),"")</f>
        <v>98.1</v>
      </c>
      <c r="C8" s="31" t="str">
        <f aca="false">IFERROR(INDEX('Input Data'!D:D,MATCH(A8,'Input Data'!$C:$C,0)),"")</f>
        <v>TJC#1 PTY LTD</v>
      </c>
      <c r="D8" s="47" t="n">
        <f aca="false">IFERROR(INDEX('Input Data'!J:J,MATCH(A8,'Input Data'!$C:$C,0)),0)</f>
        <v>973.44</v>
      </c>
      <c r="E8" s="47" t="n">
        <v>960</v>
      </c>
      <c r="F8" s="47" t="n">
        <f aca="false">IFERROR(D8-E8,"")</f>
        <v>13.4400000000001</v>
      </c>
      <c r="G8" s="48" t="n">
        <f aca="false">IFERROR((D8-E8)/E8,"")</f>
        <v>0.0140000000000001</v>
      </c>
      <c r="H8" s="225" t="n">
        <v>0.23</v>
      </c>
      <c r="I8" s="225" t="n">
        <v>0.24</v>
      </c>
      <c r="J8" s="225" t="n">
        <v>0.25</v>
      </c>
      <c r="K8" s="225" t="n">
        <v>0.22</v>
      </c>
      <c r="L8" s="225" t="n">
        <v>0.24</v>
      </c>
    </row>
    <row r="9" customFormat="false" ht="15.75" hidden="false" customHeight="true" outlineLevel="0" collapsed="false">
      <c r="A9" s="238" t="s">
        <v>113</v>
      </c>
      <c r="B9" s="210" t="n">
        <f aca="false">IFERROR(INDEX('Input Data'!F:F,MATCH(A9,'Input Data'!$C:$C,0)),"")</f>
        <v>393.2</v>
      </c>
      <c r="C9" s="39" t="str">
        <f aca="false">IFERROR(INDEX('Input Data'!D:D,MATCH(A9,'Input Data'!$C:$C,0)),"")</f>
        <v>PRINCETON FINANCIAL SERVICES</v>
      </c>
      <c r="D9" s="214" t="n">
        <f aca="false">IFERROR(INDEX('Input Data'!J:J,MATCH(A9,'Input Data'!$C:$C,0)),0)</f>
        <v>1081.6</v>
      </c>
      <c r="E9" s="214" t="n">
        <v>1095</v>
      </c>
      <c r="F9" s="214" t="n">
        <f aca="false">IFERROR(D9-E9,"")</f>
        <v>-13.4000000000001</v>
      </c>
      <c r="G9" s="239" t="n">
        <f aca="false">IFERROR((D9-E9)/E9,"")</f>
        <v>-0.0122374429223745</v>
      </c>
      <c r="H9" s="229" t="n">
        <v>0.3</v>
      </c>
      <c r="I9" s="229" t="n">
        <v>0.33</v>
      </c>
      <c r="J9" s="229" t="n">
        <v>0.35</v>
      </c>
      <c r="K9" s="229" t="n">
        <v>0.3</v>
      </c>
      <c r="L9" s="229" t="n">
        <v>0.35</v>
      </c>
    </row>
    <row r="10" customFormat="false" ht="15.75" hidden="false" customHeight="true" outlineLevel="0" collapsed="false">
      <c r="A10" s="173" t="s">
        <v>117</v>
      </c>
      <c r="B10" s="44" t="n">
        <f aca="false">IFERROR(INDEX('Input Data'!F:F,MATCH(A10,'Input Data'!$C:$C,0)),"")</f>
        <v>164.2</v>
      </c>
      <c r="C10" s="31" t="str">
        <f aca="false">IFERROR(INDEX('Input Data'!D:D,MATCH(A10,'Input Data'!$C:$C,0)),"")</f>
        <v>IPM RESIDENTIAL PTY LTD</v>
      </c>
      <c r="D10" s="47" t="n">
        <f aca="false">IFERROR(INDEX('Input Data'!J:J,MATCH(A10,'Input Data'!$C:$C,0)),0)</f>
        <v>1216.58</v>
      </c>
      <c r="E10" s="47" t="n">
        <v>1135</v>
      </c>
      <c r="F10" s="47" t="n">
        <f aca="false">IFERROR(D10-E10,"")</f>
        <v>81.5799999999999</v>
      </c>
      <c r="G10" s="48" t="n">
        <f aca="false">IFERROR((D10-E10)/E10,"")</f>
        <v>0.0718766519823788</v>
      </c>
      <c r="H10" s="225" t="n">
        <v>0.26</v>
      </c>
      <c r="I10" s="225" t="n">
        <v>0.27</v>
      </c>
      <c r="J10" s="225" t="n">
        <v>0.29</v>
      </c>
      <c r="K10" s="225" t="n">
        <v>0.24</v>
      </c>
      <c r="L10" s="225" t="n">
        <v>0.27</v>
      </c>
    </row>
    <row r="11" customFormat="false" ht="15.75" hidden="false" customHeight="true" outlineLevel="0" collapsed="false">
      <c r="A11" s="238" t="s">
        <v>120</v>
      </c>
      <c r="B11" s="210" t="n">
        <f aca="false">IFERROR(INDEX('Input Data'!F:F,MATCH(A11,'Input Data'!$C:$C,0)),"")</f>
        <v>193.4</v>
      </c>
      <c r="C11" s="39" t="str">
        <f aca="false">IFERROR(INDEX('Input Data'!D:D,MATCH(A11,'Input Data'!$C:$C,0)),"")</f>
        <v>BROADRIDGE (AUSTRALIA) PTY LTD</v>
      </c>
      <c r="D11" s="214" t="n">
        <f aca="false">IFERROR(INDEX('Input Data'!J:J,MATCH(A11,'Input Data'!$C:$C,0)),0)</f>
        <v>933.75</v>
      </c>
      <c r="E11" s="214" t="n">
        <v>920</v>
      </c>
      <c r="F11" s="214" t="n">
        <f aca="false">IFERROR(D11-E11,"")</f>
        <v>13.75</v>
      </c>
      <c r="G11" s="239" t="n">
        <f aca="false">IFERROR((D11-E11)/E11,"")</f>
        <v>0.014945652173913</v>
      </c>
      <c r="H11" s="229" t="n">
        <v>0.29</v>
      </c>
      <c r="I11" s="229" t="n">
        <v>0.31</v>
      </c>
      <c r="J11" s="229" t="n">
        <v>0.34</v>
      </c>
      <c r="K11" s="229" t="n">
        <v>0.28</v>
      </c>
      <c r="L11" s="229" t="n">
        <v>0.33</v>
      </c>
    </row>
    <row r="12" customFormat="false" ht="15.75" hidden="false" customHeight="true" outlineLevel="0" collapsed="false">
      <c r="A12" s="173" t="s">
        <v>125</v>
      </c>
      <c r="B12" s="44" t="n">
        <f aca="false">IFERROR(INDEX('Input Data'!F:F,MATCH(A12,'Input Data'!$C:$C,0)),"")</f>
        <v>214.1</v>
      </c>
      <c r="C12" s="31" t="str">
        <f aca="false">IFERROR(INDEX('Input Data'!D:D,MATCH(A12,'Input Data'!$C:$C,0)),"")</f>
        <v>B-W INTERNATIONAL AUSTRALIA PTY LTD</v>
      </c>
      <c r="D12" s="47" t="n">
        <f aca="false">IFERROR(INDEX('Input Data'!J:J,MATCH(A12,'Input Data'!$C:$C,0)),0)</f>
        <v>1135.61</v>
      </c>
      <c r="E12" s="47" t="n">
        <v>1145</v>
      </c>
      <c r="F12" s="47" t="n">
        <f aca="false">IFERROR(D12-E12,"")</f>
        <v>-9.3900000000001</v>
      </c>
      <c r="G12" s="48" t="n">
        <f aca="false">IFERROR((D12-E12)/E12,"")</f>
        <v>-0.0082008733624455</v>
      </c>
      <c r="H12" s="225" t="n">
        <v>0.28</v>
      </c>
      <c r="I12" s="225" t="n">
        <v>0.3</v>
      </c>
      <c r="J12" s="225" t="n">
        <v>0.31</v>
      </c>
      <c r="K12" s="225" t="n">
        <v>0.26</v>
      </c>
      <c r="L12" s="225" t="n">
        <v>0.29</v>
      </c>
    </row>
    <row r="13" customFormat="false" ht="15.75" hidden="false" customHeight="true" outlineLevel="0" collapsed="false">
      <c r="A13" s="238" t="s">
        <v>128</v>
      </c>
      <c r="B13" s="210" t="n">
        <f aca="false">IFERROR(INDEX('Input Data'!F:F,MATCH(A13,'Input Data'!$C:$C,0)),"")</f>
        <v>145.6</v>
      </c>
      <c r="C13" s="39" t="str">
        <f aca="false">IFERROR(INDEX('Input Data'!D:D,MATCH(A13,'Input Data'!$C:$C,0)),"")</f>
        <v>MP TRAVEL PTY LTD</v>
      </c>
      <c r="D13" s="214" t="n">
        <f aca="false">IFERROR(INDEX('Input Data'!J:J,MATCH(A13,'Input Data'!$C:$C,0)),0)</f>
        <v>1037.5</v>
      </c>
      <c r="E13" s="214" t="n">
        <v>1000</v>
      </c>
      <c r="F13" s="214" t="n">
        <f aca="false">IFERROR(D13-E13,"")</f>
        <v>37.5</v>
      </c>
      <c r="G13" s="239" t="n">
        <f aca="false">IFERROR((D13-E13)/E13,"")</f>
        <v>0.0375</v>
      </c>
      <c r="H13" s="229" t="n">
        <v>0.26</v>
      </c>
      <c r="I13" s="229" t="n">
        <v>0.27</v>
      </c>
      <c r="J13" s="229" t="n">
        <v>0.29</v>
      </c>
      <c r="K13" s="229" t="n">
        <v>0.24</v>
      </c>
      <c r="L13" s="229" t="n">
        <v>0.27</v>
      </c>
    </row>
    <row r="14" customFormat="false" ht="15.75" hidden="false" customHeight="true" outlineLevel="0" collapsed="false">
      <c r="A14" s="173" t="s">
        <v>132</v>
      </c>
      <c r="B14" s="44" t="n">
        <f aca="false">IFERROR(INDEX('Input Data'!F:F,MATCH(A14,'Input Data'!$C:$C,0)),"")</f>
        <v>212.3</v>
      </c>
      <c r="C14" s="31" t="str">
        <f aca="false">IFERROR(INDEX('Input Data'!D:D,MATCH(A14,'Input Data'!$C:$C,0)),"")</f>
        <v>MONTGOMERY INVESTMENT</v>
      </c>
      <c r="D14" s="47" t="n">
        <f aca="false">IFERROR(INDEX('Input Data'!J:J,MATCH(A14,'Input Data'!$C:$C,0)),0)</f>
        <v>1341.24</v>
      </c>
      <c r="E14" s="47" t="n">
        <v>1155</v>
      </c>
      <c r="F14" s="47" t="n">
        <f aca="false">IFERROR(D14-E14,"")</f>
        <v>186.24</v>
      </c>
      <c r="G14" s="48" t="n">
        <f aca="false">IFERROR((D14-E14)/E14,"")</f>
        <v>0.161246753246753</v>
      </c>
      <c r="H14" s="225" t="n">
        <v>0.28</v>
      </c>
      <c r="I14" s="225" t="n">
        <v>0.3</v>
      </c>
      <c r="J14" s="225" t="n">
        <v>0.31</v>
      </c>
      <c r="K14" s="225" t="n">
        <v>0.26</v>
      </c>
      <c r="L14" s="225" t="n">
        <v>0.29</v>
      </c>
    </row>
    <row r="15" customFormat="false" ht="15.75" hidden="false" customHeight="true" outlineLevel="0" collapsed="false">
      <c r="A15" s="238" t="s">
        <v>135</v>
      </c>
      <c r="B15" s="210" t="n">
        <f aca="false">IFERROR(INDEX('Input Data'!F:F,MATCH(A15,'Input Data'!$C:$C,0)),"")</f>
        <v>163.8</v>
      </c>
      <c r="C15" s="39" t="str">
        <f aca="false">IFERROR(INDEX('Input Data'!D:D,MATCH(A15,'Input Data'!$C:$C,0)),"")</f>
        <v>THREAT DEFENCE</v>
      </c>
      <c r="D15" s="214" t="n">
        <f aca="false">IFERROR(INDEX('Input Data'!J:J,MATCH(A15,'Input Data'!$C:$C,0)),0)</f>
        <v>1054.88</v>
      </c>
      <c r="E15" s="214" t="n">
        <v>1020</v>
      </c>
      <c r="F15" s="214" t="n">
        <f aca="false">IFERROR(D15-E15,"")</f>
        <v>34.8800000000001</v>
      </c>
      <c r="G15" s="239" t="n">
        <f aca="false">IFERROR((D15-E15)/E15,"")</f>
        <v>0.0341960784313727</v>
      </c>
      <c r="H15" s="229" t="n">
        <v>0.26</v>
      </c>
      <c r="I15" s="229" t="n">
        <v>0.27</v>
      </c>
      <c r="J15" s="229" t="n">
        <v>0.29</v>
      </c>
      <c r="K15" s="229" t="n">
        <v>0.24</v>
      </c>
      <c r="L15" s="229" t="n">
        <v>0.27</v>
      </c>
    </row>
    <row r="16" customFormat="false" ht="15.75" hidden="false" customHeight="true" outlineLevel="0" collapsed="false">
      <c r="A16" s="173" t="s">
        <v>139</v>
      </c>
      <c r="B16" s="44" t="n">
        <f aca="false">IFERROR(INDEX('Input Data'!F:F,MATCH(A16,'Input Data'!$C:$C,0)),"")</f>
        <v>226.1</v>
      </c>
      <c r="C16" s="31" t="str">
        <f aca="false">IFERROR(INDEX('Input Data'!D:D,MATCH(A16,'Input Data'!$C:$C,0)),"")</f>
        <v>FULLCRM PTY LTD</v>
      </c>
      <c r="D16" s="47" t="n">
        <f aca="false">IFERROR(INDEX('Input Data'!J:J,MATCH(A16,'Input Data'!$C:$C,0)),0)</f>
        <v>1251.34</v>
      </c>
      <c r="E16" s="47" t="n">
        <v>1165</v>
      </c>
      <c r="F16" s="47" t="n">
        <f aca="false">IFERROR(D16-E16,"")</f>
        <v>86.3399999999999</v>
      </c>
      <c r="G16" s="48" t="n">
        <f aca="false">IFERROR((D16-E16)/E16,"")</f>
        <v>0.0741115879828325</v>
      </c>
      <c r="H16" s="225" t="n">
        <v>0.28</v>
      </c>
      <c r="I16" s="225" t="n">
        <v>0.3</v>
      </c>
      <c r="J16" s="225" t="n">
        <v>0.31</v>
      </c>
      <c r="K16" s="225" t="n">
        <v>0.26</v>
      </c>
      <c r="L16" s="225" t="n">
        <v>0.29</v>
      </c>
    </row>
    <row r="17" customFormat="false" ht="15.75" hidden="false" customHeight="true" outlineLevel="0" collapsed="false">
      <c r="A17" s="238" t="s">
        <v>142</v>
      </c>
      <c r="B17" s="210" t="n">
        <f aca="false">IFERROR(INDEX('Input Data'!F:F,MATCH(A17,'Input Data'!$C:$C,0)),"")</f>
        <v>152.1</v>
      </c>
      <c r="C17" s="39" t="str">
        <f aca="false">IFERROR(INDEX('Input Data'!D:D,MATCH(A17,'Input Data'!$C:$C,0)),"")</f>
        <v>VACANT</v>
      </c>
      <c r="D17" s="214" t="n">
        <f aca="false">IFERROR(INDEX('Input Data'!J:J,MATCH(A17,'Input Data'!$C:$C,0)),0)</f>
        <v>0</v>
      </c>
      <c r="E17" s="214" t="n">
        <v>1030</v>
      </c>
      <c r="F17" s="214" t="n">
        <f aca="false">IFERROR(D17-E17,"")</f>
        <v>-1030</v>
      </c>
      <c r="G17" s="239" t="n">
        <f aca="false">IFERROR((D17-E17)/E17,"")</f>
        <v>-1</v>
      </c>
      <c r="H17" s="229" t="n">
        <v>0.26</v>
      </c>
      <c r="I17" s="229" t="n">
        <v>0.27</v>
      </c>
      <c r="J17" s="229" t="n">
        <v>0.29</v>
      </c>
      <c r="K17" s="229" t="n">
        <v>0.24</v>
      </c>
      <c r="L17" s="229" t="n">
        <v>0.27</v>
      </c>
    </row>
    <row r="18" customFormat="false" ht="15.75" hidden="false" customHeight="true" outlineLevel="0" collapsed="false">
      <c r="A18" s="173" t="s">
        <v>145</v>
      </c>
      <c r="B18" s="44" t="n">
        <f aca="false">IFERROR(INDEX('Input Data'!F:F,MATCH(A18,'Input Data'!$C:$C,0)),"")</f>
        <v>210.5</v>
      </c>
      <c r="C18" s="31" t="str">
        <f aca="false">IFERROR(INDEX('Input Data'!D:D,MATCH(A18,'Input Data'!$C:$C,0)),"")</f>
        <v>PINPOINT TALENT PTY LTD</v>
      </c>
      <c r="D18" s="47" t="n">
        <f aca="false">IFERROR(INDEX('Input Data'!J:J,MATCH(A18,'Input Data'!$C:$C,0)),0)</f>
        <v>1173.54</v>
      </c>
      <c r="E18" s="47" t="n">
        <v>1175</v>
      </c>
      <c r="F18" s="47" t="n">
        <f aca="false">IFERROR(D18-E18,"")</f>
        <v>-1.46000000000004</v>
      </c>
      <c r="G18" s="48" t="n">
        <f aca="false">IFERROR((D18-E18)/E18,"")</f>
        <v>-0.00124255319148939</v>
      </c>
      <c r="H18" s="225" t="n">
        <v>0.28</v>
      </c>
      <c r="I18" s="225" t="n">
        <v>0.3</v>
      </c>
      <c r="J18" s="225" t="n">
        <v>0.31</v>
      </c>
      <c r="K18" s="225" t="n">
        <v>0.26</v>
      </c>
      <c r="L18" s="225" t="n">
        <v>0.29</v>
      </c>
    </row>
    <row r="19" customFormat="false" ht="15.75" hidden="false" customHeight="true" outlineLevel="0" collapsed="false">
      <c r="A19" s="238" t="s">
        <v>148</v>
      </c>
      <c r="B19" s="210" t="n">
        <f aca="false">IFERROR(INDEX('Input Data'!F:F,MATCH(A19,'Input Data'!$C:$C,0)),"")</f>
        <v>163.9</v>
      </c>
      <c r="C19" s="39" t="str">
        <f aca="false">IFERROR(INDEX('Input Data'!D:D,MATCH(A19,'Input Data'!$C:$C,0)),"")</f>
        <v>SATELLITE OFFICE PTY LTD</v>
      </c>
      <c r="D19" s="214" t="n">
        <f aca="false">IFERROR(INDEX('Input Data'!J:J,MATCH(A19,'Input Data'!$C:$C,0)),0)</f>
        <v>1054.88</v>
      </c>
      <c r="E19" s="214" t="n">
        <v>1040</v>
      </c>
      <c r="F19" s="214" t="n">
        <f aca="false">IFERROR(D19-E19,"")</f>
        <v>14.8800000000001</v>
      </c>
      <c r="G19" s="239" t="n">
        <f aca="false">IFERROR((D19-E19)/E19,"")</f>
        <v>0.0143076923076924</v>
      </c>
      <c r="H19" s="229" t="n">
        <v>0.26</v>
      </c>
      <c r="I19" s="229" t="n">
        <v>0.27</v>
      </c>
      <c r="J19" s="229" t="n">
        <v>0.29</v>
      </c>
      <c r="K19" s="229" t="n">
        <v>0.24</v>
      </c>
      <c r="L19" s="229" t="n">
        <v>0.29</v>
      </c>
    </row>
    <row r="20" customFormat="false" ht="15.75" hidden="false" customHeight="true" outlineLevel="0" collapsed="false">
      <c r="A20" s="173" t="s">
        <v>152</v>
      </c>
      <c r="B20" s="44" t="n">
        <f aca="false">IFERROR(INDEX('Input Data'!F:F,MATCH(A20,'Input Data'!$C:$C,0)),"")</f>
        <v>222</v>
      </c>
      <c r="C20" s="31" t="str">
        <f aca="false">IFERROR(INDEX('Input Data'!D:D,MATCH(A20,'Input Data'!$C:$C,0)),"")</f>
        <v>ARKANCE AUSTRALIA PTY LTD</v>
      </c>
      <c r="D20" s="47" t="n">
        <f aca="false">IFERROR(INDEX('Input Data'!J:J,MATCH(A20,'Input Data'!$C:$C,0)),0)</f>
        <v>1300</v>
      </c>
      <c r="E20" s="47" t="n">
        <v>1300</v>
      </c>
      <c r="F20" s="47" t="n">
        <f aca="false">IFERROR(D20-E20,"")</f>
        <v>0</v>
      </c>
      <c r="G20" s="48" t="n">
        <f aca="false">IFERROR((D20-E20)/E20,"")</f>
        <v>0</v>
      </c>
      <c r="H20" s="225" t="n">
        <v>0.28</v>
      </c>
      <c r="I20" s="225" t="n">
        <v>0.3</v>
      </c>
      <c r="J20" s="225" t="n">
        <v>0.31</v>
      </c>
      <c r="K20" s="225" t="n">
        <v>0.26</v>
      </c>
      <c r="L20" s="225" t="n">
        <v>0.29</v>
      </c>
    </row>
    <row r="21" customFormat="false" ht="15.75" hidden="false" customHeight="true" outlineLevel="0" collapsed="false">
      <c r="A21" s="238" t="s">
        <v>155</v>
      </c>
      <c r="B21" s="210" t="n">
        <f aca="false">IFERROR(INDEX('Input Data'!F:F,MATCH(A21,'Input Data'!$C:$C,0)),"")</f>
        <v>138.5</v>
      </c>
      <c r="C21" s="39" t="str">
        <f aca="false">IFERROR(INDEX('Input Data'!D:D,MATCH(A21,'Input Data'!$C:$C,0)),"")</f>
        <v>HILLIARD &amp; BERRY</v>
      </c>
      <c r="D21" s="214" t="n">
        <f aca="false">IFERROR(INDEX('Input Data'!J:J,MATCH(A21,'Input Data'!$C:$C,0)),0)</f>
        <v>843.65</v>
      </c>
      <c r="E21" s="214" t="n">
        <v>1030</v>
      </c>
      <c r="F21" s="214" t="n">
        <f aca="false">IFERROR(D21-E21,"")</f>
        <v>-186.35</v>
      </c>
      <c r="G21" s="239" t="n">
        <f aca="false">IFERROR((D21-E21)/E21,"")</f>
        <v>-0.180922330097087</v>
      </c>
      <c r="H21" s="229" t="n">
        <v>0.26</v>
      </c>
      <c r="I21" s="229" t="n">
        <v>0.27</v>
      </c>
      <c r="J21" s="229" t="n">
        <v>0.29</v>
      </c>
      <c r="K21" s="229" t="n">
        <v>0.24</v>
      </c>
      <c r="L21" s="229" t="n">
        <v>0.26</v>
      </c>
    </row>
    <row r="22" customFormat="false" ht="15.75" hidden="false" customHeight="true" outlineLevel="0" collapsed="false">
      <c r="A22" s="173" t="s">
        <v>159</v>
      </c>
      <c r="B22" s="44" t="n">
        <f aca="false">IFERROR(INDEX('Input Data'!F:F,MATCH(A22,'Input Data'!$C:$C,0)),"")</f>
        <v>52.8</v>
      </c>
      <c r="C22" s="31" t="str">
        <f aca="false">IFERROR(INDEX('Input Data'!D:D,MATCH(A22,'Input Data'!$C:$C,0)),"")</f>
        <v>AITKEN INVESTMENT MANAGEMENT PTY LTD</v>
      </c>
      <c r="D22" s="47" t="n">
        <f aca="false">IFERROR(INDEX('Input Data'!J:J,MATCH(A22,'Input Data'!$C:$C,0)),0)</f>
        <v>1338.88</v>
      </c>
      <c r="E22" s="47" t="n">
        <v>1350</v>
      </c>
      <c r="F22" s="47" t="n">
        <f aca="false">IFERROR(D22-E22,"")</f>
        <v>-11.1199999999999</v>
      </c>
      <c r="G22" s="48" t="n">
        <f aca="false">IFERROR((D22-E22)/E22,"")</f>
        <v>-0.00823703703703696</v>
      </c>
      <c r="H22" s="225" t="n">
        <v>0.23</v>
      </c>
      <c r="I22" s="225" t="n">
        <v>0.24</v>
      </c>
      <c r="J22" s="225" t="n">
        <v>0.25</v>
      </c>
      <c r="K22" s="225" t="n">
        <v>0.22</v>
      </c>
      <c r="L22" s="225" t="n">
        <v>0.24</v>
      </c>
    </row>
    <row r="23" customFormat="false" ht="15.75" hidden="false" customHeight="true" outlineLevel="0" collapsed="false">
      <c r="A23" s="238" t="s">
        <v>162</v>
      </c>
      <c r="B23" s="210" t="n">
        <f aca="false">IFERROR(INDEX('Input Data'!F:F,MATCH(A23,'Input Data'!$C:$C,0)),"")</f>
        <v>303</v>
      </c>
      <c r="C23" s="39" t="str">
        <f aca="false">IFERROR(INDEX('Input Data'!D:D,MATCH(A23,'Input Data'!$C:$C,0)),"")</f>
        <v>CAPITAL E MARKETING AND EVENTS PTY LTD</v>
      </c>
      <c r="D23" s="214" t="n">
        <f aca="false">IFERROR(INDEX('Input Data'!J:J,MATCH(A23,'Input Data'!$C:$C,0)),0)</f>
        <v>1141.25</v>
      </c>
      <c r="E23" s="214" t="n">
        <v>1125</v>
      </c>
      <c r="F23" s="214" t="n">
        <f aca="false">IFERROR(D23-E23,"")</f>
        <v>16.25</v>
      </c>
      <c r="G23" s="239" t="n">
        <f aca="false">IFERROR((D23-E23)/E23,"")</f>
        <v>0.0144444444444444</v>
      </c>
      <c r="H23" s="229" t="n">
        <v>0.3</v>
      </c>
      <c r="I23" s="229" t="n">
        <v>0.33</v>
      </c>
      <c r="J23" s="229" t="n">
        <v>0.35</v>
      </c>
      <c r="K23" s="229" t="n">
        <v>0.3</v>
      </c>
      <c r="L23" s="229" t="n">
        <v>0.35</v>
      </c>
    </row>
    <row r="24" customFormat="false" ht="15.75" hidden="false" customHeight="true" outlineLevel="0" collapsed="false">
      <c r="A24" s="173" t="s">
        <v>166</v>
      </c>
      <c r="B24" s="44" t="n">
        <f aca="false">IFERROR(INDEX('Input Data'!F:F,MATCH(A24,'Input Data'!$C:$C,0)),"")</f>
        <v>363.2</v>
      </c>
      <c r="C24" s="31" t="str">
        <f aca="false">IFERROR(INDEX('Input Data'!D:D,MATCH(A24,'Input Data'!$C:$C,0)),"")</f>
        <v>CONNECTUS SERVICES PTY LTD</v>
      </c>
      <c r="D24" s="47" t="n">
        <f aca="false">IFERROR(INDEX('Input Data'!J:J,MATCH(A24,'Input Data'!$C:$C,0)),0)</f>
        <v>1189.67</v>
      </c>
      <c r="E24" s="47" t="n">
        <v>1200</v>
      </c>
      <c r="F24" s="47" t="n">
        <f aca="false">IFERROR(D24-E24,"")</f>
        <v>-10.3299999999999</v>
      </c>
      <c r="G24" s="48" t="n">
        <f aca="false">IFERROR((D24-E24)/E24,"")</f>
        <v>-0.00860833333333327</v>
      </c>
      <c r="H24" s="225" t="n">
        <v>0.3</v>
      </c>
      <c r="I24" s="225" t="n">
        <v>0.33</v>
      </c>
      <c r="J24" s="225" t="n">
        <v>0.35</v>
      </c>
      <c r="K24" s="225" t="n">
        <v>0.3</v>
      </c>
      <c r="L24" s="225" t="n">
        <v>0.35</v>
      </c>
    </row>
    <row r="25" customFormat="false" ht="15.75" hidden="false" customHeight="true" outlineLevel="0" collapsed="false">
      <c r="A25" s="238" t="s">
        <v>171</v>
      </c>
      <c r="B25" s="210" t="n">
        <f aca="false">IFERROR(INDEX('Input Data'!F:F,MATCH(A25,'Input Data'!$C:$C,0)),"")</f>
        <v>62.4</v>
      </c>
      <c r="C25" s="39" t="str">
        <f aca="false">IFERROR(INDEX('Input Data'!D:D,MATCH(A25,'Input Data'!$C:$C,0)),"")</f>
        <v>MICHAEL FLEGG PTY LTD</v>
      </c>
      <c r="D25" s="214" t="n">
        <f aca="false">IFERROR(INDEX('Input Data'!J:J,MATCH(A25,'Input Data'!$C:$C,0)),0)</f>
        <v>1368.73</v>
      </c>
      <c r="E25" s="214" t="n">
        <v>1405</v>
      </c>
      <c r="F25" s="214" t="n">
        <f aca="false">IFERROR(D25-E25,"")</f>
        <v>-36.27</v>
      </c>
      <c r="G25" s="239" t="n">
        <f aca="false">IFERROR((D25-E25)/E25,"")</f>
        <v>-0.0258149466192171</v>
      </c>
      <c r="H25" s="229" t="n">
        <v>0.23</v>
      </c>
      <c r="I25" s="229" t="n">
        <v>0.24</v>
      </c>
      <c r="J25" s="229" t="n">
        <v>0.25</v>
      </c>
      <c r="K25" s="229" t="n">
        <v>0.22</v>
      </c>
      <c r="L25" s="229" t="n">
        <v>0.24</v>
      </c>
    </row>
    <row r="26" customFormat="false" ht="15.75" hidden="false" customHeight="true" outlineLevel="0" collapsed="false">
      <c r="A26" s="173" t="s">
        <v>174</v>
      </c>
      <c r="B26" s="44" t="n">
        <f aca="false">IFERROR(INDEX('Input Data'!F:F,MATCH(A26,'Input Data'!$C:$C,0)),"")</f>
        <v>133.1</v>
      </c>
      <c r="C26" s="31" t="str">
        <f aca="false">IFERROR(INDEX('Input Data'!D:D,MATCH(A26,'Input Data'!$C:$C,0)),"")</f>
        <v>LEWIS WOOLCOTT</v>
      </c>
      <c r="D26" s="47" t="n">
        <f aca="false">IFERROR(INDEX('Input Data'!J:J,MATCH(A26,'Input Data'!$C:$C,0)),0)</f>
        <v>1271.1</v>
      </c>
      <c r="E26" s="47" t="n">
        <v>1250</v>
      </c>
      <c r="F26" s="47" t="n">
        <f aca="false">IFERROR(D26-E26,"")</f>
        <v>21.0999999999999</v>
      </c>
      <c r="G26" s="48" t="n">
        <f aca="false">IFERROR((D26-E26)/E26,"")</f>
        <v>0.0168799999999999</v>
      </c>
      <c r="H26" s="225" t="n">
        <v>0.25</v>
      </c>
      <c r="I26" s="225" t="n">
        <v>0.27</v>
      </c>
      <c r="J26" s="225" t="n">
        <v>0.28</v>
      </c>
      <c r="K26" s="225" t="n">
        <v>0.24</v>
      </c>
      <c r="L26" s="225" t="n">
        <v>0.26</v>
      </c>
    </row>
    <row r="27" customFormat="false" ht="15.75" hidden="false" customHeight="true" outlineLevel="0" collapsed="false">
      <c r="A27" s="238" t="s">
        <v>183</v>
      </c>
      <c r="B27" s="210" t="n">
        <f aca="false">IFERROR(INDEX('Input Data'!F:F,MATCH(A27,'Input Data'!$C:$C,0)),"")</f>
        <v>160.3</v>
      </c>
      <c r="C27" s="39" t="str">
        <f aca="false">IFERROR(INDEX('Input Data'!D:D,MATCH(A27,'Input Data'!$C:$C,0)),"")</f>
        <v>INFERNI SYSTEMS</v>
      </c>
      <c r="D27" s="214" t="n">
        <f aca="false">IFERROR(INDEX('Input Data'!J:J,MATCH(A27,'Input Data'!$C:$C,0)),0)</f>
        <v>1150</v>
      </c>
      <c r="E27" s="214" t="n">
        <v>1060</v>
      </c>
      <c r="F27" s="214" t="n">
        <f aca="false">IFERROR(D27-E27,"")</f>
        <v>90</v>
      </c>
      <c r="G27" s="239" t="n">
        <f aca="false">IFERROR((D27-E27)/E27,"")</f>
        <v>0.0849056603773585</v>
      </c>
      <c r="H27" s="229" t="n">
        <v>0.26</v>
      </c>
      <c r="I27" s="229" t="n">
        <v>0.27</v>
      </c>
      <c r="J27" s="229" t="n">
        <v>0.29</v>
      </c>
      <c r="K27" s="229" t="n">
        <v>0.24</v>
      </c>
      <c r="L27" s="229" t="n">
        <v>0.26</v>
      </c>
    </row>
    <row r="28" customFormat="false" ht="15.75" hidden="false" customHeight="true" outlineLevel="0" collapsed="false">
      <c r="A28" s="173" t="s">
        <v>178</v>
      </c>
      <c r="B28" s="44" t="n">
        <f aca="false">IFERROR(INDEX('Input Data'!F:F,MATCH(A28,'Input Data'!$C:$C,0)),"")</f>
        <v>223.7</v>
      </c>
      <c r="C28" s="31" t="str">
        <f aca="false">IFERROR(INDEX('Input Data'!D:D,MATCH(A28,'Input Data'!$C:$C,0)),"")</f>
        <v>DAKOTA CORPORATION</v>
      </c>
      <c r="D28" s="47" t="n">
        <f aca="false">IFERROR(INDEX('Input Data'!J:J,MATCH(A28,'Input Data'!$C:$C,0)),0)</f>
        <v>0</v>
      </c>
      <c r="E28" s="47" t="n">
        <v>384</v>
      </c>
      <c r="F28" s="47" t="n">
        <f aca="false">IFERROR(D28-E28,"")</f>
        <v>-384</v>
      </c>
      <c r="G28" s="48" t="n">
        <f aca="false">IFERROR((D28-E28)/E28,"")</f>
        <v>-1</v>
      </c>
      <c r="H28" s="225" t="n">
        <v>0</v>
      </c>
      <c r="I28" s="225" t="n">
        <v>0</v>
      </c>
      <c r="J28" s="225" t="n">
        <v>0</v>
      </c>
      <c r="K28" s="225" t="n">
        <v>0</v>
      </c>
      <c r="L28" s="225" t="n">
        <v>0</v>
      </c>
    </row>
    <row r="29" customFormat="false" ht="14.2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</row>
    <row r="30" customFormat="false" ht="19.5" hidden="false" customHeight="true" outlineLevel="0" collapsed="false">
      <c r="A30" s="92" t="s">
        <v>426</v>
      </c>
      <c r="B30" s="92"/>
      <c r="C30" s="92"/>
      <c r="D30" s="240" t="n">
        <f aca="false">IFERROR(SUMIF('Input Data'!K3:K27,"&gt;0",'Input Data'!J3:J27)/SUMIF('Input Data'!K3:K27,"&gt;0",'Input Data'!F3:F27),0)</f>
        <v>6.01670940467115</v>
      </c>
      <c r="E30" s="241" t="n">
        <v>1118.58826086957</v>
      </c>
      <c r="F30" s="241" t="n">
        <v>-14.725652173913</v>
      </c>
      <c r="G30" s="242" t="n">
        <v>-0.0131644973302917</v>
      </c>
      <c r="H30" s="117"/>
      <c r="I30" s="117"/>
      <c r="J30" s="117"/>
      <c r="K30" s="117"/>
      <c r="L30" s="117"/>
    </row>
    <row r="31" customFormat="false" ht="14.2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</row>
    <row r="32" customFormat="false" ht="15" hidden="false" customHeight="true" outlineLevel="0" collapsed="false">
      <c r="A32" s="98" t="s">
        <v>187</v>
      </c>
      <c r="B32" s="99"/>
      <c r="C32" s="243" t="s">
        <v>427</v>
      </c>
      <c r="D32" s="116"/>
      <c r="E32" s="244" t="s">
        <v>428</v>
      </c>
      <c r="F32" s="117"/>
      <c r="G32" s="100" t="s">
        <v>429</v>
      </c>
      <c r="H32" s="10"/>
      <c r="I32" s="10"/>
      <c r="J32" s="10"/>
      <c r="K32" s="10"/>
      <c r="L32" s="10"/>
    </row>
  </sheetData>
  <mergeCells count="3">
    <mergeCell ref="A1:L1"/>
    <mergeCell ref="A2:L2"/>
    <mergeCell ref="A30:C30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" width="1.54"/>
    <col collapsed="false" customWidth="true" hidden="false" outlineLevel="0" max="2" min="2" style="7" width="8"/>
    <col collapsed="false" customWidth="true" hidden="false" outlineLevel="0" max="3" min="3" style="7" width="10"/>
    <col collapsed="false" customWidth="true" hidden="false" outlineLevel="0" max="4" min="4" style="7" width="34"/>
    <col collapsed="false" customWidth="true" hidden="false" outlineLevel="0" max="5" min="5" style="7" width="10"/>
    <col collapsed="false" customWidth="true" hidden="false" outlineLevel="0" max="7" min="6" style="7" width="12"/>
    <col collapsed="false" customWidth="true" hidden="false" outlineLevel="0" max="9" min="8" style="7" width="11"/>
    <col collapsed="false" customWidth="true" hidden="false" outlineLevel="0" max="10" min="10" style="7" width="15"/>
    <col collapsed="false" customWidth="true" hidden="false" outlineLevel="0" max="11" min="11" style="7" width="10"/>
    <col collapsed="false" customWidth="true" hidden="false" outlineLevel="0" max="12" min="12" style="7" width="9"/>
    <col collapsed="false" customWidth="true" hidden="false" outlineLevel="0" max="13" min="13" style="7" width="22"/>
  </cols>
  <sheetData>
    <row r="1" customFormat="false" ht="30" hidden="false" customHeight="true" outlineLevel="0" collapsed="false">
      <c r="A1" s="8" t="s">
        <v>430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15.75" hidden="false" customHeight="true" outlineLevel="0" collapsed="false">
      <c r="A2" s="206" t="s">
        <v>431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</row>
    <row r="3" customFormat="false" ht="31.5" hidden="false" customHeight="true" outlineLevel="0" collapsed="false">
      <c r="A3" s="10"/>
      <c r="B3" s="41" t="s">
        <v>60</v>
      </c>
      <c r="C3" s="41" t="s">
        <v>231</v>
      </c>
      <c r="D3" s="41" t="s">
        <v>347</v>
      </c>
      <c r="E3" s="41" t="s">
        <v>348</v>
      </c>
      <c r="F3" s="41" t="s">
        <v>349</v>
      </c>
      <c r="G3" s="41" t="s">
        <v>350</v>
      </c>
      <c r="H3" s="41" t="s">
        <v>432</v>
      </c>
      <c r="I3" s="41" t="s">
        <v>353</v>
      </c>
      <c r="J3" s="41" t="s">
        <v>354</v>
      </c>
      <c r="K3" s="41" t="s">
        <v>355</v>
      </c>
      <c r="L3" s="41" t="s">
        <v>356</v>
      </c>
      <c r="M3" s="41" t="s">
        <v>82</v>
      </c>
    </row>
    <row r="4" customFormat="false" ht="18" hidden="false" customHeight="true" outlineLevel="0" collapsed="false">
      <c r="A4" s="10"/>
      <c r="B4" s="11" t="s">
        <v>433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</row>
    <row r="5" customFormat="false" ht="18" hidden="false" customHeight="true" outlineLevel="0" collapsed="false">
      <c r="A5" s="10"/>
      <c r="B5" s="28" t="str">
        <f aca="false">'Input Data'!B26</f>
        <v>L12</v>
      </c>
      <c r="C5" s="28" t="str">
        <f aca="false">'Input Data'!C26</f>
        <v>L12</v>
      </c>
      <c r="D5" s="43" t="str">
        <f aca="false">'Input Data'!D26</f>
        <v>DAKOTA CORPORATION</v>
      </c>
      <c r="E5" s="44" t="n">
        <f aca="false">'Input Data'!F26</f>
        <v>223.7</v>
      </c>
      <c r="F5" s="45" t="n">
        <f aca="false">IFERROR('Input Data'!G26,"")</f>
        <v>42736</v>
      </c>
      <c r="G5" s="45" t="n">
        <f aca="false">IFERROR('Input Data'!H26,"")</f>
        <v>47118</v>
      </c>
      <c r="H5" s="49" t="n">
        <f aca="false">'Input Data'!V26</f>
        <v>2.50787132101301</v>
      </c>
      <c r="I5" s="47" t="n">
        <f aca="false">'Input Data'!J26</f>
        <v>0</v>
      </c>
      <c r="J5" s="47" t="n">
        <f aca="false">'Input Data'!N26</f>
        <v>0</v>
      </c>
      <c r="K5" s="28" t="str">
        <f aca="true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28" t="n">
        <f aca="false">'Input Data'!O26</f>
        <v>0</v>
      </c>
      <c r="M5" s="31" t="str">
        <f aca="false"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customFormat="false" ht="3.75" hidden="false" customHeight="true" outlineLevel="0" collapsed="false">
      <c r="A6" s="10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</row>
    <row r="7" customFormat="false" ht="18" hidden="false" customHeight="true" outlineLevel="0" collapsed="false">
      <c r="A7" s="10"/>
      <c r="B7" s="11" t="s">
        <v>434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</row>
    <row r="8" customFormat="false" ht="18" hidden="false" customHeight="true" outlineLevel="0" collapsed="false">
      <c r="A8" s="10"/>
      <c r="B8" s="63" t="str">
        <f aca="false">'Input Data'!B24</f>
        <v>L11</v>
      </c>
      <c r="C8" s="63" t="str">
        <f aca="false">'Input Data'!C24</f>
        <v>1101</v>
      </c>
      <c r="D8" s="64" t="str">
        <f aca="false">'Input Data'!D24</f>
        <v>MICHAEL FLEGG PTY LTD</v>
      </c>
      <c r="E8" s="65" t="n">
        <f aca="false">'Input Data'!F24</f>
        <v>62.4</v>
      </c>
      <c r="F8" s="26" t="n">
        <f aca="false">IFERROR('Input Data'!G24,"")</f>
        <v>44531</v>
      </c>
      <c r="G8" s="26" t="n">
        <f aca="false">IFERROR('Input Data'!H24,"")</f>
        <v>46356</v>
      </c>
      <c r="H8" s="69" t="n">
        <f aca="false">'Input Data'!V24</f>
        <v>0.421629021218344</v>
      </c>
      <c r="I8" s="67" t="n">
        <f aca="false">'Input Data'!J24</f>
        <v>1368.73</v>
      </c>
      <c r="J8" s="67" t="n">
        <f aca="false">'Input Data'!N24</f>
        <v>85408.752</v>
      </c>
      <c r="K8" s="63" t="str">
        <f aca="true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63" t="n">
        <f aca="false">'Input Data'!O24</f>
        <v>0</v>
      </c>
      <c r="M8" s="37" t="str">
        <f aca="false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customFormat="false" ht="18" hidden="false" customHeight="true" outlineLevel="0" collapsed="false">
      <c r="A9" s="10"/>
      <c r="B9" s="63" t="str">
        <f aca="false">'Input Data'!B25</f>
        <v>L11</v>
      </c>
      <c r="C9" s="63" t="str">
        <f aca="false">'Input Data'!C25</f>
        <v>1102</v>
      </c>
      <c r="D9" s="64" t="str">
        <f aca="false">'Input Data'!D25</f>
        <v>LEWIS WOOLCOTT</v>
      </c>
      <c r="E9" s="65" t="n">
        <f aca="false">'Input Data'!F25</f>
        <v>133.1</v>
      </c>
      <c r="F9" s="26" t="n">
        <f aca="false">IFERROR('Input Data'!G25,"")</f>
        <v>46249</v>
      </c>
      <c r="G9" s="26" t="n">
        <f aca="false">IFERROR('Input Data'!H25,"")</f>
        <v>46979</v>
      </c>
      <c r="H9" s="69" t="n">
        <f aca="false">'Input Data'!V25</f>
        <v>2.12731006160164</v>
      </c>
      <c r="I9" s="67" t="n">
        <f aca="false">'Input Data'!J25</f>
        <v>1271.1</v>
      </c>
      <c r="J9" s="67" t="n">
        <f aca="false">'Input Data'!N25</f>
        <v>138730.4</v>
      </c>
      <c r="K9" s="63" t="str">
        <f aca="true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2028</v>
      </c>
      <c r="L9" s="63" t="n">
        <f aca="false">'Input Data'!O25</f>
        <v>0</v>
      </c>
      <c r="M9" s="37" t="str">
        <f aca="false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customFormat="false" ht="18" hidden="false" customHeight="true" outlineLevel="0" collapsed="false">
      <c r="A10" s="10"/>
      <c r="B10" s="78" t="str">
        <f aca="false">'Input Data'!B27</f>
        <v>L11</v>
      </c>
      <c r="C10" s="78" t="str">
        <f aca="false">'Input Data'!C27</f>
        <v>1103</v>
      </c>
      <c r="D10" s="71" t="str">
        <f aca="false">'Input Data'!D27</f>
        <v>INFERNI SYSTEMS</v>
      </c>
      <c r="E10" s="80" t="n">
        <f aca="false">'Input Data'!F27</f>
        <v>160.3</v>
      </c>
      <c r="F10" s="81" t="n">
        <f aca="false">IFERROR('Input Data'!G27,"")</f>
        <v>46218</v>
      </c>
      <c r="G10" s="81" t="n">
        <f aca="false">IFERROR('Input Data'!H27,"")</f>
        <v>47313</v>
      </c>
      <c r="H10" s="85" t="n">
        <f aca="false">'Input Data'!V27</f>
        <v>3.04175222450376</v>
      </c>
      <c r="I10" s="83" t="n">
        <f aca="false">'Input Data'!J27</f>
        <v>1150</v>
      </c>
      <c r="J10" s="83" t="n">
        <f aca="false">'Input Data'!N27</f>
        <v>129041.5</v>
      </c>
      <c r="K10" s="78" t="str">
        <f aca="true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2029</v>
      </c>
      <c r="L10" s="78" t="n">
        <f aca="false">'Input Data'!O27</f>
        <v>0</v>
      </c>
      <c r="M10" s="79" t="str">
        <f aca="false">IF(AND('Input Data'!J27&gt;0,'Input Data'!S27&gt;0),IF(('Input Data'!J27-'Input Data'!S27)/'Input Data'!S27&gt;0.05,"▲ Above Mkt",IF(('Input Data'!J27-'Input Data'!S27)/'Input Data'!S27&lt;-0.05,"▼ Below Mkt","≈ At Market")),"—")</f>
        <v>▲ Above Mkt</v>
      </c>
    </row>
    <row r="11" customFormat="false" ht="3.75" hidden="false" customHeight="true" outlineLevel="0" collapsed="false">
      <c r="A11" s="10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</row>
    <row r="12" customFormat="false" ht="18" hidden="false" customHeight="true" outlineLevel="0" collapsed="false">
      <c r="A12" s="10"/>
      <c r="B12" s="11" t="s">
        <v>435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customFormat="false" ht="18" hidden="false" customHeight="true" outlineLevel="0" collapsed="false">
      <c r="A13" s="10"/>
      <c r="B13" s="209" t="str">
        <f aca="false">'Input Data'!B23</f>
        <v>L10</v>
      </c>
      <c r="C13" s="209" t="str">
        <f aca="false">'Input Data'!C23</f>
        <v>1001&amp;2</v>
      </c>
      <c r="D13" s="200" t="str">
        <f aca="false">'Input Data'!D23</f>
        <v>CONNECTUS SERVICES PTY LTD</v>
      </c>
      <c r="E13" s="210" t="n">
        <f aca="false">'Input Data'!F23</f>
        <v>363.2</v>
      </c>
      <c r="F13" s="211" t="n">
        <f aca="false">IFERROR('Input Data'!G23,"")</f>
        <v>45261</v>
      </c>
      <c r="G13" s="211" t="n">
        <f aca="false">IFERROR('Input Data'!H23,"")</f>
        <v>47452</v>
      </c>
      <c r="H13" s="213" t="n">
        <f aca="false">'Input Data'!V23</f>
        <v>3.42231348391513</v>
      </c>
      <c r="I13" s="214" t="n">
        <f aca="false">'Input Data'!J23</f>
        <v>1189.67</v>
      </c>
      <c r="J13" s="214" t="n">
        <f aca="false">'Input Data'!N23</f>
        <v>317550.184</v>
      </c>
      <c r="K13" s="209" t="str">
        <f aca="true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209" t="n">
        <f aca="false">'Input Data'!O23</f>
        <v>48</v>
      </c>
      <c r="M13" s="39" t="str">
        <f aca="false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customFormat="false" ht="3.75" hidden="false" customHeight="true" outlineLevel="0" collapsed="false">
      <c r="A14" s="10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</row>
    <row r="15" customFormat="false" ht="18" hidden="false" customHeight="true" outlineLevel="0" collapsed="false">
      <c r="A15" s="10"/>
      <c r="B15" s="11" t="s">
        <v>436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customFormat="false" ht="18" hidden="false" customHeight="true" outlineLevel="0" collapsed="false">
      <c r="A16" s="10"/>
      <c r="B16" s="63" t="str">
        <f aca="false">'Input Data'!B21</f>
        <v>L09</v>
      </c>
      <c r="C16" s="63" t="str">
        <f aca="false">'Input Data'!C21</f>
        <v>901</v>
      </c>
      <c r="D16" s="64" t="str">
        <f aca="false">'Input Data'!D21</f>
        <v>AITKEN INVESTMENT MANAGEMENT PTY LTD</v>
      </c>
      <c r="E16" s="65" t="n">
        <f aca="false">'Input Data'!F21</f>
        <v>52.8</v>
      </c>
      <c r="F16" s="26" t="n">
        <f aca="false">IFERROR('Input Data'!G21,"")</f>
        <v>45823</v>
      </c>
      <c r="G16" s="26" t="n">
        <f aca="false">IFERROR('Input Data'!H21,"")</f>
        <v>46918</v>
      </c>
      <c r="H16" s="69" t="n">
        <f aca="false">'Input Data'!V21</f>
        <v>1.96030116358658</v>
      </c>
      <c r="I16" s="67" t="n">
        <f aca="false">'Input Data'!J21</f>
        <v>1338.88</v>
      </c>
      <c r="J16" s="67" t="n">
        <f aca="false">'Input Data'!N21</f>
        <v>54298.464</v>
      </c>
      <c r="K16" s="63" t="str">
        <f aca="true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2028</v>
      </c>
      <c r="L16" s="63" t="n">
        <f aca="false">'Input Data'!O21</f>
        <v>0</v>
      </c>
      <c r="M16" s="37" t="str">
        <f aca="false"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customFormat="false" ht="18" hidden="false" customHeight="true" outlineLevel="0" collapsed="false">
      <c r="A17" s="10"/>
      <c r="B17" s="144" t="str">
        <f aca="false">'Input Data'!B22</f>
        <v>L09</v>
      </c>
      <c r="C17" s="144" t="str">
        <f aca="false">'Input Data'!C22</f>
        <v>902&amp;3</v>
      </c>
      <c r="D17" s="216" t="str">
        <f aca="false">'Input Data'!D22</f>
        <v>CAPITAL E MARKETING AND EVENTS PTY LTD</v>
      </c>
      <c r="E17" s="146" t="n">
        <f aca="false">'Input Data'!F22</f>
        <v>303</v>
      </c>
      <c r="F17" s="77" t="n">
        <f aca="false">IFERROR('Input Data'!G22,"")</f>
        <v>44562</v>
      </c>
      <c r="G17" s="77" t="n">
        <f aca="false">IFERROR('Input Data'!H22,"")</f>
        <v>47573</v>
      </c>
      <c r="H17" s="218" t="n">
        <f aca="false">'Input Data'!V22</f>
        <v>3.75359342915811</v>
      </c>
      <c r="I17" s="147" t="n">
        <f aca="false">'Input Data'!J22</f>
        <v>1141.25</v>
      </c>
      <c r="J17" s="147" t="n">
        <f aca="false">'Input Data'!N22</f>
        <v>255323.07</v>
      </c>
      <c r="K17" s="144" t="str">
        <f aca="true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144" t="n">
        <f aca="false">'Input Data'!O22</f>
        <v>0</v>
      </c>
      <c r="M17" s="145" t="str">
        <f aca="false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customFormat="false" ht="3.75" hidden="false" customHeight="true" outlineLevel="0" collapsed="false">
      <c r="A18" s="10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</row>
    <row r="19" customFormat="false" ht="18" hidden="false" customHeight="true" outlineLevel="0" collapsed="false">
      <c r="A19" s="10"/>
      <c r="B19" s="11" t="s">
        <v>437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customFormat="false" ht="18" hidden="false" customHeight="true" outlineLevel="0" collapsed="false">
      <c r="A20" s="10"/>
      <c r="B20" s="144" t="str">
        <f aca="false">'Input Data'!B19</f>
        <v>L08</v>
      </c>
      <c r="C20" s="144" t="str">
        <f aca="false">'Input Data'!C19</f>
        <v>801</v>
      </c>
      <c r="D20" s="216" t="str">
        <f aca="false">'Input Data'!D19</f>
        <v>ARKANCE AUSTRALIA PTY LTD</v>
      </c>
      <c r="E20" s="146" t="n">
        <f aca="false">'Input Data'!F19</f>
        <v>222</v>
      </c>
      <c r="F20" s="77" t="n">
        <f aca="false">IFERROR('Input Data'!G19,"")</f>
        <v>45931</v>
      </c>
      <c r="G20" s="77" t="n">
        <f aca="false">IFERROR('Input Data'!H19,"")</f>
        <v>47756</v>
      </c>
      <c r="H20" s="218" t="n">
        <f aca="false">'Input Data'!V19</f>
        <v>4.25462012320329</v>
      </c>
      <c r="I20" s="147" t="n">
        <f aca="false">'Input Data'!J19</f>
        <v>1300</v>
      </c>
      <c r="J20" s="147" t="n">
        <f aca="false">'Input Data'!N19</f>
        <v>242424</v>
      </c>
      <c r="K20" s="144" t="str">
        <f aca="true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144" t="n">
        <f aca="false">'Input Data'!O19</f>
        <v>0</v>
      </c>
      <c r="M20" s="145" t="str">
        <f aca="false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customFormat="false" ht="18" hidden="false" customHeight="true" outlineLevel="0" collapsed="false">
      <c r="A21" s="10"/>
      <c r="B21" s="28" t="str">
        <f aca="false">'Input Data'!B20</f>
        <v>L08</v>
      </c>
      <c r="C21" s="28" t="str">
        <f aca="false">'Input Data'!C20</f>
        <v>802</v>
      </c>
      <c r="D21" s="43" t="str">
        <f aca="false">'Input Data'!D20</f>
        <v>HILLIARD &amp; BERRY</v>
      </c>
      <c r="E21" s="44" t="n">
        <f aca="false">'Input Data'!F20</f>
        <v>138.5</v>
      </c>
      <c r="F21" s="45" t="n">
        <f aca="false">IFERROR('Input Data'!G20,"")</f>
        <v>41654</v>
      </c>
      <c r="G21" s="45" t="n">
        <f aca="false">IFERROR('Input Data'!H20,"")</f>
        <v>46965</v>
      </c>
      <c r="H21" s="49" t="n">
        <f aca="false">'Input Data'!V20</f>
        <v>2.08898015058179</v>
      </c>
      <c r="I21" s="47" t="n">
        <f aca="false">'Input Data'!J20</f>
        <v>843.65</v>
      </c>
      <c r="J21" s="47" t="n">
        <f aca="false">'Input Data'!N20</f>
        <v>116845.525</v>
      </c>
      <c r="K21" s="28" t="str">
        <f aca="true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28" t="n">
        <f aca="false">'Input Data'!O20</f>
        <v>0</v>
      </c>
      <c r="M21" s="31" t="str">
        <f aca="false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customFormat="false" ht="3.75" hidden="false" customHeight="true" outlineLevel="0" collapsed="false">
      <c r="A22" s="10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</row>
    <row r="23" customFormat="false" ht="18" hidden="false" customHeight="true" outlineLevel="0" collapsed="false">
      <c r="A23" s="10"/>
      <c r="B23" s="11" t="s">
        <v>438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customFormat="false" ht="18" hidden="false" customHeight="true" outlineLevel="0" collapsed="false">
      <c r="A24" s="10"/>
      <c r="B24" s="28" t="str">
        <f aca="false">'Input Data'!B17</f>
        <v>L07</v>
      </c>
      <c r="C24" s="28" t="str">
        <f aca="false">'Input Data'!C17</f>
        <v>701</v>
      </c>
      <c r="D24" s="43" t="str">
        <f aca="false">'Input Data'!D17</f>
        <v>PINPOINT TALENT PTY LTD</v>
      </c>
      <c r="E24" s="44" t="n">
        <f aca="false">'Input Data'!F17</f>
        <v>210.5</v>
      </c>
      <c r="F24" s="45" t="n">
        <f aca="false">IFERROR('Input Data'!G17,"")</f>
        <v>45145</v>
      </c>
      <c r="G24" s="45" t="n">
        <f aca="false">IFERROR('Input Data'!H17,"")</f>
        <v>46605</v>
      </c>
      <c r="H24" s="49" t="n">
        <f aca="false">'Input Data'!V17</f>
        <v>1.10335386721424</v>
      </c>
      <c r="I24" s="47" t="n">
        <f aca="false">'Input Data'!J17</f>
        <v>1173.54</v>
      </c>
      <c r="J24" s="47" t="n">
        <f aca="false">'Input Data'!N17</f>
        <v>178512.45</v>
      </c>
      <c r="K24" s="28" t="str">
        <f aca="true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28" t="n">
        <f aca="false">'Input Data'!O17</f>
        <v>0</v>
      </c>
      <c r="M24" s="31" t="str">
        <f aca="false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customFormat="false" ht="18" hidden="false" customHeight="true" outlineLevel="0" collapsed="false">
      <c r="A25" s="10"/>
      <c r="B25" s="28" t="str">
        <f aca="false">'Input Data'!B18</f>
        <v>L07</v>
      </c>
      <c r="C25" s="28" t="str">
        <f aca="false">'Input Data'!C18</f>
        <v>702</v>
      </c>
      <c r="D25" s="43" t="str">
        <f aca="false">'Input Data'!D18</f>
        <v>SATELLITE OFFICE PTY LTD</v>
      </c>
      <c r="E25" s="44" t="n">
        <f aca="false">'Input Data'!F18</f>
        <v>163.9</v>
      </c>
      <c r="F25" s="45" t="n">
        <f aca="false">IFERROR('Input Data'!G18,"")</f>
        <v>45444</v>
      </c>
      <c r="G25" s="45" t="n">
        <f aca="false">IFERROR('Input Data'!H18,"")</f>
        <v>46904</v>
      </c>
      <c r="H25" s="49" t="n">
        <f aca="false">'Input Data'!V18</f>
        <v>1.92197125256674</v>
      </c>
      <c r="I25" s="47" t="n">
        <f aca="false">'Input Data'!J18</f>
        <v>1054.88</v>
      </c>
      <c r="J25" s="47" t="n">
        <f aca="false">'Input Data'!N18</f>
        <v>132633.272</v>
      </c>
      <c r="K25" s="28" t="str">
        <f aca="true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28" t="n">
        <f aca="false">'Input Data'!O18</f>
        <v>24</v>
      </c>
      <c r="M25" s="31" t="str">
        <f aca="false"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customFormat="false" ht="3.75" hidden="false" customHeight="true" outlineLevel="0" collapsed="false">
      <c r="A26" s="10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</row>
    <row r="27" customFormat="false" ht="18" hidden="false" customHeight="true" outlineLevel="0" collapsed="false">
      <c r="A27" s="10"/>
      <c r="B27" s="11" t="s">
        <v>439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customFormat="false" ht="18" hidden="false" customHeight="true" outlineLevel="0" collapsed="false">
      <c r="A28" s="10"/>
      <c r="B28" s="28" t="str">
        <f aca="false">'Input Data'!B15</f>
        <v>L06</v>
      </c>
      <c r="C28" s="28" t="str">
        <f aca="false">'Input Data'!C15</f>
        <v>601</v>
      </c>
      <c r="D28" s="43" t="str">
        <f aca="false">'Input Data'!D15</f>
        <v>FULLCRM PTY LTD</v>
      </c>
      <c r="E28" s="44" t="n">
        <f aca="false">'Input Data'!F15</f>
        <v>226.1</v>
      </c>
      <c r="F28" s="45" t="n">
        <f aca="false">IFERROR('Input Data'!G15,"")</f>
        <v>44531</v>
      </c>
      <c r="G28" s="45" t="n">
        <f aca="false">IFERROR('Input Data'!H15,"")</f>
        <v>46418</v>
      </c>
      <c r="H28" s="49" t="n">
        <f aca="false">'Input Data'!V15</f>
        <v>0.591375770020534</v>
      </c>
      <c r="I28" s="47" t="n">
        <f aca="false">'Input Data'!J15</f>
        <v>1251.34</v>
      </c>
      <c r="J28" s="47" t="n">
        <f aca="false">'Input Data'!N15</f>
        <v>251183.534</v>
      </c>
      <c r="K28" s="28" t="str">
        <f aca="true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28" t="n">
        <f aca="false">'Input Data'!O15</f>
        <v>0</v>
      </c>
      <c r="M28" s="31" t="str">
        <f aca="false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customFormat="false" ht="18" hidden="false" customHeight="true" outlineLevel="0" collapsed="false">
      <c r="A29" s="10"/>
      <c r="B29" s="63" t="str">
        <f aca="false">'Input Data'!B16</f>
        <v>L06</v>
      </c>
      <c r="C29" s="63" t="str">
        <f aca="false">'Input Data'!C16</f>
        <v>602</v>
      </c>
      <c r="D29" s="64" t="str">
        <f aca="false">'Input Data'!D16</f>
        <v>VACANT</v>
      </c>
      <c r="E29" s="65" t="n">
        <f aca="false">'Input Data'!F16</f>
        <v>152.1</v>
      </c>
      <c r="F29" s="26" t="n">
        <f aca="false">IFERROR('Input Data'!G16,"")</f>
        <v>0</v>
      </c>
      <c r="G29" s="26" t="str">
        <f aca="false">IFERROR('Input Data'!H16,"")</f>
        <v/>
      </c>
      <c r="H29" s="69" t="n">
        <f aca="false">'Input Data'!V16</f>
        <v>0</v>
      </c>
      <c r="I29" s="67" t="n">
        <f aca="false">'Input Data'!J16</f>
        <v>0</v>
      </c>
      <c r="J29" s="67" t="n">
        <f aca="false">'Input Data'!N16</f>
        <v>0</v>
      </c>
      <c r="K29" s="63" t="str">
        <f aca="true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63" t="n">
        <f aca="false">'Input Data'!O16</f>
        <v>0</v>
      </c>
      <c r="M29" s="37" t="str">
        <f aca="false"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customFormat="false" ht="3.75" hidden="false" customHeight="true" outlineLevel="0" collapsed="false">
      <c r="A30" s="10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</row>
    <row r="31" customFormat="false" ht="18" hidden="false" customHeight="true" outlineLevel="0" collapsed="false">
      <c r="A31" s="10"/>
      <c r="B31" s="11" t="s">
        <v>440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customFormat="false" ht="18" hidden="false" customHeight="true" outlineLevel="0" collapsed="false">
      <c r="A32" s="10"/>
      <c r="B32" s="28" t="str">
        <f aca="false">'Input Data'!B13</f>
        <v>L05</v>
      </c>
      <c r="C32" s="28" t="str">
        <f aca="false">'Input Data'!C13</f>
        <v>501</v>
      </c>
      <c r="D32" s="43" t="str">
        <f aca="false">'Input Data'!D13</f>
        <v>MONTGOMERY INVESTMENT</v>
      </c>
      <c r="E32" s="44" t="n">
        <f aca="false">'Input Data'!F13</f>
        <v>212.3</v>
      </c>
      <c r="F32" s="45" t="n">
        <f aca="false">IFERROR('Input Data'!G13,"")</f>
        <v>43770</v>
      </c>
      <c r="G32" s="45" t="n">
        <f aca="false">IFERROR('Input Data'!H13,"")</f>
        <v>46691</v>
      </c>
      <c r="H32" s="49" t="n">
        <f aca="false">'Input Data'!V13</f>
        <v>1.3388090349076</v>
      </c>
      <c r="I32" s="47" t="n">
        <f aca="false">'Input Data'!J13</f>
        <v>1341.24</v>
      </c>
      <c r="J32" s="47" t="n">
        <f aca="false">'Input Data'!N13</f>
        <v>235383.492</v>
      </c>
      <c r="K32" s="28" t="str">
        <f aca="true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28" t="n">
        <f aca="false">'Input Data'!O13</f>
        <v>36</v>
      </c>
      <c r="M32" s="31" t="str">
        <f aca="false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customFormat="false" ht="18" hidden="false" customHeight="true" outlineLevel="0" collapsed="false">
      <c r="A33" s="10"/>
      <c r="B33" s="28" t="str">
        <f aca="false">'Input Data'!B14</f>
        <v>L05</v>
      </c>
      <c r="C33" s="28" t="str">
        <f aca="false">'Input Data'!C14</f>
        <v>502</v>
      </c>
      <c r="D33" s="43" t="str">
        <f aca="false">'Input Data'!D14</f>
        <v>THREAT DEFENCE</v>
      </c>
      <c r="E33" s="44" t="n">
        <f aca="false">'Input Data'!F14</f>
        <v>163.8</v>
      </c>
      <c r="F33" s="45" t="n">
        <f aca="false">IFERROR('Input Data'!G14,"")</f>
        <v>45474</v>
      </c>
      <c r="G33" s="45" t="n">
        <f aca="false">IFERROR('Input Data'!H14,"")</f>
        <v>46568</v>
      </c>
      <c r="H33" s="49" t="n">
        <f aca="false">'Input Data'!V14</f>
        <v>1.00205338809035</v>
      </c>
      <c r="I33" s="47" t="n">
        <f aca="false">'Input Data'!J14</f>
        <v>1054.88</v>
      </c>
      <c r="J33" s="47" t="n">
        <f aca="false">'Input Data'!N14</f>
        <v>131053.104</v>
      </c>
      <c r="K33" s="28" t="str">
        <f aca="true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28" t="n">
        <f aca="false">'Input Data'!O14</f>
        <v>0</v>
      </c>
      <c r="M33" s="31" t="str">
        <f aca="false"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customFormat="false" ht="3.75" hidden="false" customHeight="true" outlineLevel="0" collapsed="false">
      <c r="A34" s="10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</row>
    <row r="35" customFormat="false" ht="18" hidden="false" customHeight="true" outlineLevel="0" collapsed="false">
      <c r="A35" s="10"/>
      <c r="B35" s="11" t="s">
        <v>441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customFormat="false" ht="18" hidden="false" customHeight="true" outlineLevel="0" collapsed="false">
      <c r="A36" s="10"/>
      <c r="B36" s="53" t="str">
        <f aca="false">'Input Data'!B11</f>
        <v>L04</v>
      </c>
      <c r="C36" s="53" t="str">
        <f aca="false">'Input Data'!C11</f>
        <v>401</v>
      </c>
      <c r="D36" s="54" t="str">
        <f aca="false">'Input Data'!D11</f>
        <v>B-W INTERNATIONAL AUSTRALIA PTY LTD</v>
      </c>
      <c r="E36" s="56" t="n">
        <f aca="false">'Input Data'!F11</f>
        <v>214.1</v>
      </c>
      <c r="F36" s="57" t="n">
        <f aca="false">IFERROR('Input Data'!G11,"")</f>
        <v>45352</v>
      </c>
      <c r="G36" s="57" t="n">
        <f aca="false">IFERROR('Input Data'!H11,"")</f>
        <v>47177</v>
      </c>
      <c r="H36" s="61" t="n">
        <f aca="false">'Input Data'!V11</f>
        <v>2.6694045174538</v>
      </c>
      <c r="I36" s="59" t="n">
        <f aca="false">'Input Data'!J11</f>
        <v>1135.61</v>
      </c>
      <c r="J36" s="59" t="n">
        <f aca="false">'Input Data'!N11</f>
        <v>188930.341</v>
      </c>
      <c r="K36" s="53" t="str">
        <f aca="true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53" t="n">
        <f aca="false">'Input Data'!O11</f>
        <v>0</v>
      </c>
      <c r="M36" s="55" t="str">
        <f aca="false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customFormat="false" ht="18" hidden="false" customHeight="true" outlineLevel="0" collapsed="false">
      <c r="A37" s="10"/>
      <c r="B37" s="209" t="str">
        <f aca="false">'Input Data'!B12</f>
        <v>L04</v>
      </c>
      <c r="C37" s="209" t="str">
        <f aca="false">'Input Data'!C12</f>
        <v>402</v>
      </c>
      <c r="D37" s="200" t="str">
        <f aca="false">'Input Data'!D12</f>
        <v>MP TRAVEL PTY LTD</v>
      </c>
      <c r="E37" s="210" t="n">
        <f aca="false">'Input Data'!F12</f>
        <v>145.6</v>
      </c>
      <c r="F37" s="211" t="n">
        <f aca="false">IFERROR('Input Data'!G12,"")</f>
        <v>45658</v>
      </c>
      <c r="G37" s="211" t="n">
        <f aca="false">IFERROR('Input Data'!H12,"")</f>
        <v>47483</v>
      </c>
      <c r="H37" s="213" t="n">
        <f aca="false">'Input Data'!V12</f>
        <v>3.50718685831622</v>
      </c>
      <c r="I37" s="214" t="n">
        <f aca="false">'Input Data'!J12</f>
        <v>1037.5</v>
      </c>
      <c r="J37" s="214" t="n">
        <f aca="false">'Input Data'!N12</f>
        <v>133384.12</v>
      </c>
      <c r="K37" s="209" t="str">
        <f aca="true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209" t="n">
        <f aca="false">'Input Data'!O12</f>
        <v>0</v>
      </c>
      <c r="M37" s="39" t="str">
        <f aca="false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customFormat="false" ht="3.75" hidden="false" customHeight="true" outlineLevel="0" collapsed="false">
      <c r="A38" s="10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</row>
    <row r="39" customFormat="false" ht="18" hidden="false" customHeight="true" outlineLevel="0" collapsed="false">
      <c r="A39" s="10"/>
      <c r="B39" s="11" t="s">
        <v>442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customFormat="false" ht="18" hidden="false" customHeight="true" outlineLevel="0" collapsed="false">
      <c r="A40" s="10"/>
      <c r="B40" s="28" t="str">
        <f aca="false">'Input Data'!B9</f>
        <v>L03</v>
      </c>
      <c r="C40" s="28" t="str">
        <f aca="false">'Input Data'!C9</f>
        <v>301&amp;2</v>
      </c>
      <c r="D40" s="43" t="str">
        <f aca="false">'Input Data'!D9</f>
        <v>IPM RESIDENTIAL PTY LTD</v>
      </c>
      <c r="E40" s="44" t="n">
        <f aca="false">'Input Data'!F9</f>
        <v>164.2</v>
      </c>
      <c r="F40" s="45" t="n">
        <f aca="false">IFERROR('Input Data'!G9,"")</f>
        <v>44713</v>
      </c>
      <c r="G40" s="45" t="n">
        <f aca="false">IFERROR('Input Data'!H9,"")</f>
        <v>46538</v>
      </c>
      <c r="H40" s="49" t="n">
        <f aca="false">'Input Data'!V9</f>
        <v>0.919917864476386</v>
      </c>
      <c r="I40" s="47" t="n">
        <f aca="false">'Input Data'!J9</f>
        <v>1216.58</v>
      </c>
      <c r="J40" s="47" t="n">
        <f aca="false">'Input Data'!N9</f>
        <v>184245.476</v>
      </c>
      <c r="K40" s="28" t="str">
        <f aca="true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28" t="n">
        <f aca="false">'Input Data'!O9</f>
        <v>2</v>
      </c>
      <c r="M40" s="31" t="str">
        <f aca="false">IF(AND('Input Data'!J9&gt;0,'Input Data'!S9&gt;0),IF(('Input Data'!J9-'Input Data'!S9)/'Input Data'!S9&gt;0.05,"▲ Above Mkt",IF(('Input Data'!J9-'Input Data'!S9)/'Input Data'!S9&lt;-0.05,"▼ Below Mkt","≈ At Market")),"—")</f>
        <v>▲ Above Mkt</v>
      </c>
    </row>
    <row r="41" customFormat="false" ht="18" hidden="false" customHeight="true" outlineLevel="0" collapsed="false">
      <c r="A41" s="10"/>
      <c r="B41" s="28" t="str">
        <f aca="false">'Input Data'!B10</f>
        <v>L03</v>
      </c>
      <c r="C41" s="28" t="str">
        <f aca="false">'Input Data'!C10</f>
        <v>303&amp;4</v>
      </c>
      <c r="D41" s="43" t="str">
        <f aca="false">'Input Data'!D10</f>
        <v>BROADRIDGE (AUSTRALIA) PTY LTD</v>
      </c>
      <c r="E41" s="44" t="n">
        <f aca="false">'Input Data'!F10</f>
        <v>193.4</v>
      </c>
      <c r="F41" s="45" t="n">
        <f aca="false">IFERROR('Input Data'!G10,"")</f>
        <v>45566</v>
      </c>
      <c r="G41" s="45" t="n">
        <f aca="false">IFERROR('Input Data'!H10,"")</f>
        <v>47026</v>
      </c>
      <c r="H41" s="49" t="n">
        <f aca="false">'Input Data'!V10</f>
        <v>2.25598904859685</v>
      </c>
      <c r="I41" s="47" t="n">
        <f aca="false">'Input Data'!J10</f>
        <v>933.75</v>
      </c>
      <c r="J41" s="47" t="n">
        <f aca="false">'Input Data'!N10</f>
        <v>159625.05</v>
      </c>
      <c r="K41" s="28" t="str">
        <f aca="true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28" t="n">
        <f aca="false">'Input Data'!O10</f>
        <v>0</v>
      </c>
      <c r="M41" s="31" t="str">
        <f aca="false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customFormat="false" ht="3.75" hidden="false" customHeight="true" outlineLevel="0" collapsed="false">
      <c r="A42" s="10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</row>
    <row r="43" customFormat="false" ht="18" hidden="false" customHeight="true" outlineLevel="0" collapsed="false">
      <c r="A43" s="10"/>
      <c r="B43" s="11" t="s">
        <v>443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customFormat="false" ht="18" hidden="false" customHeight="true" outlineLevel="0" collapsed="false">
      <c r="A44" s="10"/>
      <c r="B44" s="28" t="str">
        <f aca="false">'Input Data'!B8</f>
        <v>L02</v>
      </c>
      <c r="C44" s="28" t="str">
        <f aca="false">'Input Data'!C8</f>
        <v>WHOLE</v>
      </c>
      <c r="D44" s="43" t="str">
        <f aca="false">'Input Data'!D8</f>
        <v>PRINCETON FINANCIAL SERVICES</v>
      </c>
      <c r="E44" s="44" t="n">
        <f aca="false">'Input Data'!F8</f>
        <v>393.2</v>
      </c>
      <c r="F44" s="45" t="n">
        <f aca="false">IFERROR('Input Data'!G8,"")</f>
        <v>45292</v>
      </c>
      <c r="G44" s="45" t="n">
        <f aca="false">IFERROR('Input Data'!H8,"")</f>
        <v>47118</v>
      </c>
      <c r="H44" s="49" t="n">
        <f aca="false">'Input Data'!V8</f>
        <v>2.50787132101301</v>
      </c>
      <c r="I44" s="47" t="n">
        <f aca="false">'Input Data'!J8</f>
        <v>1081.6</v>
      </c>
      <c r="J44" s="47" t="n">
        <f aca="false">'Input Data'!N8</f>
        <v>401703.32</v>
      </c>
      <c r="K44" s="28" t="str">
        <f aca="true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28" t="n">
        <f aca="false">'Input Data'!O8</f>
        <v>0</v>
      </c>
      <c r="M44" s="31" t="str">
        <f aca="false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customFormat="false" ht="3.75" hidden="false" customHeight="true" outlineLevel="0" collapsed="false">
      <c r="A45" s="10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</row>
    <row r="46" customFormat="false" ht="18" hidden="false" customHeight="true" outlineLevel="0" collapsed="false">
      <c r="A46" s="10"/>
      <c r="B46" s="11" t="s">
        <v>444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customFormat="false" ht="18" hidden="false" customHeight="true" outlineLevel="0" collapsed="false">
      <c r="A47" s="10"/>
      <c r="B47" s="63" t="str">
        <f aca="false">'Input Data'!B5</f>
        <v>L01</v>
      </c>
      <c r="C47" s="63" t="str">
        <f aca="false">'Input Data'!C5</f>
        <v>101&amp;2</v>
      </c>
      <c r="D47" s="64" t="str">
        <f aca="false">'Input Data'!D5</f>
        <v>BLITZEM PTY LTD</v>
      </c>
      <c r="E47" s="65" t="n">
        <f aca="false">'Input Data'!F5</f>
        <v>162.4</v>
      </c>
      <c r="F47" s="26" t="n">
        <f aca="false">IFERROR('Input Data'!G5,"")</f>
        <v>42795</v>
      </c>
      <c r="G47" s="26" t="n">
        <f aca="false">IFERROR('Input Data'!H5,"")</f>
        <v>47299</v>
      </c>
      <c r="H47" s="69" t="n">
        <f aca="false">'Input Data'!V5</f>
        <v>3.00342231348392</v>
      </c>
      <c r="I47" s="67" t="n">
        <f aca="false">'Input Data'!J5</f>
        <v>1012.37</v>
      </c>
      <c r="J47" s="67" t="n">
        <f aca="false">'Input Data'!N5</f>
        <v>164408.888</v>
      </c>
      <c r="K47" s="63" t="str">
        <f aca="true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2029</v>
      </c>
      <c r="L47" s="63" t="n">
        <f aca="false">'Input Data'!O5</f>
        <v>0</v>
      </c>
      <c r="M47" s="37" t="str">
        <f aca="false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customFormat="false" ht="18" hidden="false" customHeight="true" outlineLevel="0" collapsed="false">
      <c r="A48" s="10"/>
      <c r="B48" s="28" t="str">
        <f aca="false">'Input Data'!B6</f>
        <v>L01</v>
      </c>
      <c r="C48" s="28" t="str">
        <f aca="false">'Input Data'!C6</f>
        <v>103</v>
      </c>
      <c r="D48" s="43" t="str">
        <f aca="false">'Input Data'!D6</f>
        <v>PU PRIME TRADING PTY LTD</v>
      </c>
      <c r="E48" s="44" t="n">
        <f aca="false">'Input Data'!F6</f>
        <v>96.3</v>
      </c>
      <c r="F48" s="45" t="n">
        <f aca="false">IFERROR('Input Data'!G6,"")</f>
        <v>44378</v>
      </c>
      <c r="G48" s="45" t="n">
        <f aca="false">IFERROR('Input Data'!H6,"")</f>
        <v>46918</v>
      </c>
      <c r="H48" s="49" t="n">
        <f aca="false">'Input Data'!V6</f>
        <v>1.96030116358658</v>
      </c>
      <c r="I48" s="47" t="n">
        <f aca="false">'Input Data'!J6</f>
        <v>1021.99</v>
      </c>
      <c r="J48" s="47" t="n">
        <f aca="false">'Input Data'!N6</f>
        <v>89396.037</v>
      </c>
      <c r="K48" s="28" t="str">
        <f aca="true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28" t="n">
        <f aca="false">'Input Data'!O6</f>
        <v>0</v>
      </c>
      <c r="M48" s="31" t="str">
        <f aca="false">IF(AND('Input Data'!J6&gt;0,'Input Data'!S6&gt;0),IF(('Input Data'!J6-'Input Data'!S6)/'Input Data'!S6&gt;0.05,"▲ Above Mkt",IF(('Input Data'!J6-'Input Data'!S6)/'Input Data'!S6&lt;-0.05,"▼ Below Mkt","≈ At Market")),"—")</f>
        <v>▲ Above Mkt</v>
      </c>
    </row>
    <row r="49" customFormat="false" ht="18" hidden="false" customHeight="true" outlineLevel="0" collapsed="false">
      <c r="A49" s="10"/>
      <c r="B49" s="63" t="str">
        <f aca="false">'Input Data'!B7</f>
        <v>L01</v>
      </c>
      <c r="C49" s="63" t="str">
        <f aca="false">'Input Data'!C7</f>
        <v>104</v>
      </c>
      <c r="D49" s="64" t="str">
        <f aca="false">'Input Data'!D7</f>
        <v>TJC#1 PTY LTD</v>
      </c>
      <c r="E49" s="65" t="n">
        <f aca="false">'Input Data'!F7</f>
        <v>98.1</v>
      </c>
      <c r="F49" s="26" t="n">
        <f aca="false">IFERROR('Input Data'!G7,"")</f>
        <v>45139</v>
      </c>
      <c r="G49" s="26" t="n">
        <f aca="false">IFERROR('Input Data'!H7,"")</f>
        <v>46234</v>
      </c>
      <c r="H49" s="69" t="n">
        <f aca="false">'Input Data'!V7</f>
        <v>0.0876112251882272</v>
      </c>
      <c r="I49" s="67" t="n">
        <f aca="false">'Input Data'!J7</f>
        <v>973.44</v>
      </c>
      <c r="J49" s="67" t="n">
        <f aca="false">'Input Data'!N7</f>
        <v>76070.664</v>
      </c>
      <c r="K49" s="63" t="str">
        <f aca="true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2026</v>
      </c>
      <c r="L49" s="63" t="n">
        <f aca="false">'Input Data'!O7</f>
        <v>0</v>
      </c>
      <c r="M49" s="37" t="str">
        <f aca="false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customFormat="false" ht="3.75" hidden="false" customHeight="true" outlineLevel="0" collapsed="false">
      <c r="A50" s="10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</row>
    <row r="51" customFormat="false" ht="18" hidden="false" customHeight="true" outlineLevel="0" collapsed="false">
      <c r="A51" s="10"/>
      <c r="B51" s="11" t="s">
        <v>445</v>
      </c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</row>
    <row r="52" customFormat="false" ht="18" hidden="false" customHeight="true" outlineLevel="0" collapsed="false">
      <c r="A52" s="10"/>
      <c r="B52" s="28" t="str">
        <f aca="false">'Input Data'!B4</f>
        <v>GF</v>
      </c>
      <c r="C52" s="28" t="str">
        <f aca="false">'Input Data'!C4</f>
        <v>GROUND</v>
      </c>
      <c r="D52" s="43" t="str">
        <f aca="false">'Input Data'!D4</f>
        <v>RCVRI MARTIN PLACE PTY LTD</v>
      </c>
      <c r="E52" s="44" t="n">
        <f aca="false">'Input Data'!F4</f>
        <v>298.3</v>
      </c>
      <c r="F52" s="45" t="n">
        <f aca="false">IFERROR('Input Data'!G4,"")</f>
        <v>45678</v>
      </c>
      <c r="G52" s="45" t="n">
        <f aca="false">IFERROR('Input Data'!H4,"")</f>
        <v>48233</v>
      </c>
      <c r="H52" s="49" t="n">
        <f aca="false">'Input Data'!V4</f>
        <v>5.5605749486653</v>
      </c>
      <c r="I52" s="47" t="n">
        <f aca="false">'Input Data'!J4</f>
        <v>1150.52</v>
      </c>
      <c r="J52" s="47" t="n">
        <f aca="false">'Input Data'!N4</f>
        <v>272485.796</v>
      </c>
      <c r="K52" s="28" t="str">
        <f aca="true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28" t="n">
        <f aca="false">'Input Data'!O4</f>
        <v>0</v>
      </c>
      <c r="M52" s="31" t="str">
        <f aca="false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customFormat="false" ht="3.75" hidden="false" customHeight="true" outlineLevel="0" collapsed="false">
      <c r="A53" s="10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</row>
    <row r="54" customFormat="false" ht="18" hidden="false" customHeight="true" outlineLevel="0" collapsed="false">
      <c r="A54" s="10"/>
      <c r="B54" s="11" t="s">
        <v>446</v>
      </c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</row>
    <row r="55" customFormat="false" ht="18" hidden="false" customHeight="true" outlineLevel="0" collapsed="false">
      <c r="A55" s="10"/>
      <c r="B55" s="209" t="str">
        <f aca="false">'Input Data'!B3</f>
        <v>BSMT</v>
      </c>
      <c r="C55" s="209" t="str">
        <f aca="false">'Input Data'!C3</f>
        <v>LWR GROUND</v>
      </c>
      <c r="D55" s="200" t="str">
        <f aca="false">'Input Data'!D3</f>
        <v>OPULENT TWO ENTERPRISES</v>
      </c>
      <c r="E55" s="210" t="n">
        <f aca="false">'Input Data'!F3</f>
        <v>151.2</v>
      </c>
      <c r="F55" s="211" t="n">
        <f aca="false">IFERROR('Input Data'!G3,"")</f>
        <v>42401</v>
      </c>
      <c r="G55" s="211" t="n">
        <f aca="false">IFERROR('Input Data'!H3,"")</f>
        <v>47149</v>
      </c>
      <c r="H55" s="213" t="n">
        <f aca="false">'Input Data'!V3</f>
        <v>2.5927446954141</v>
      </c>
      <c r="I55" s="214" t="n">
        <f aca="false">'Input Data'!J3</f>
        <v>1002.01</v>
      </c>
      <c r="J55" s="214" t="n">
        <f aca="false">'Input Data'!N3</f>
        <v>123489.072</v>
      </c>
      <c r="K55" s="209" t="str">
        <f aca="true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209" t="n">
        <f aca="false">'Input Data'!O3</f>
        <v>0</v>
      </c>
      <c r="M55" s="39" t="str">
        <f aca="false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customFormat="false" ht="3.75" hidden="false" customHeight="true" outlineLevel="0" collapsed="false">
      <c r="A56" s="10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</row>
    <row r="57" customFormat="false" ht="7.5" hidden="false" customHeight="tru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</row>
    <row r="58" customFormat="false" ht="18" hidden="false" customHeight="true" outlineLevel="0" collapsed="false">
      <c r="A58" s="10"/>
      <c r="B58" s="11" t="s">
        <v>447</v>
      </c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</row>
    <row r="59" customFormat="false" ht="13.5" hidden="false" customHeight="true" outlineLevel="0" collapsed="false">
      <c r="A59" s="10"/>
      <c r="B59" s="101"/>
      <c r="C59" s="34"/>
      <c r="D59" s="117"/>
      <c r="E59" s="34"/>
      <c r="F59" s="116"/>
      <c r="G59" s="245"/>
      <c r="H59" s="99"/>
      <c r="I59" s="34"/>
      <c r="J59" s="10"/>
      <c r="K59" s="10"/>
      <c r="L59" s="10"/>
      <c r="M59" s="10"/>
    </row>
    <row r="60" customFormat="false" ht="24" hidden="false" customHeight="true" outlineLevel="0" collapsed="false">
      <c r="A60" s="10"/>
      <c r="B60" s="246" t="s">
        <v>448</v>
      </c>
      <c r="C60" s="247" t="s">
        <v>449</v>
      </c>
      <c r="D60" s="248" t="s">
        <v>450</v>
      </c>
      <c r="E60" s="247" t="s">
        <v>451</v>
      </c>
      <c r="F60" s="249" t="s">
        <v>452</v>
      </c>
      <c r="G60" s="248" t="s">
        <v>453</v>
      </c>
      <c r="H60" s="250" t="s">
        <v>454</v>
      </c>
      <c r="I60" s="247" t="s">
        <v>455</v>
      </c>
      <c r="J60" s="10"/>
      <c r="K60" s="10"/>
      <c r="L60" s="10"/>
      <c r="M60" s="10"/>
    </row>
    <row r="61" customFormat="false" ht="14.2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</row>
    <row r="62" customFormat="false" ht="18" hidden="false" customHeight="true" outlineLevel="0" collapsed="false">
      <c r="A62" s="10"/>
      <c r="B62" s="204" t="s">
        <v>456</v>
      </c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</row>
  </sheetData>
  <mergeCells count="18">
    <mergeCell ref="A1:M1"/>
    <mergeCell ref="A2:M2"/>
    <mergeCell ref="B4:M4"/>
    <mergeCell ref="B7:M7"/>
    <mergeCell ref="B12:M12"/>
    <mergeCell ref="B15:M15"/>
    <mergeCell ref="B19:M19"/>
    <mergeCell ref="B23:M23"/>
    <mergeCell ref="B27:M27"/>
    <mergeCell ref="B31:M31"/>
    <mergeCell ref="B35:M35"/>
    <mergeCell ref="B39:M39"/>
    <mergeCell ref="B43:M43"/>
    <mergeCell ref="B46:M46"/>
    <mergeCell ref="B51:M51"/>
    <mergeCell ref="B54:M54"/>
    <mergeCell ref="B58:M58"/>
    <mergeCell ref="B62:M62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P27" activeCellId="0" sqref="P2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" width="1.54"/>
    <col collapsed="false" customWidth="true" hidden="false" outlineLevel="0" max="2" min="2" style="7" width="8"/>
    <col collapsed="false" customWidth="true" hidden="false" outlineLevel="0" max="3" min="3" style="7" width="14.63"/>
    <col collapsed="false" customWidth="true" hidden="false" outlineLevel="0" max="4" min="4" style="7" width="28"/>
    <col collapsed="false" customWidth="true" hidden="false" outlineLevel="0" max="6" min="5" style="7" width="12"/>
    <col collapsed="false" customWidth="true" hidden="false" outlineLevel="0" max="8" min="7" style="7" width="14"/>
    <col collapsed="false" customWidth="true" hidden="false" outlineLevel="0" max="9" min="9" style="7" width="12"/>
    <col collapsed="false" customWidth="true" hidden="false" outlineLevel="0" max="13" min="10" style="7" width="14"/>
    <col collapsed="false" customWidth="true" hidden="false" outlineLevel="0" max="14" min="14" style="7" width="42.36"/>
    <col collapsed="false" customWidth="true" hidden="false" outlineLevel="0" max="15" min="15" style="7" width="1.54"/>
    <col collapsed="false" customWidth="true" hidden="false" outlineLevel="0" max="16" min="16" style="7" width="50.27"/>
  </cols>
  <sheetData>
    <row r="1" customFormat="false" ht="30" hidden="false" customHeight="true" outlineLevel="0" collapsed="false">
      <c r="A1" s="8" t="s">
        <v>457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10"/>
      <c r="P1" s="10"/>
    </row>
    <row r="2" customFormat="false" ht="15.75" hidden="false" customHeight="true" outlineLevel="0" collapsed="false">
      <c r="A2" s="206" t="s">
        <v>458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10"/>
      <c r="P2" s="10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</row>
    <row r="4" customFormat="false" ht="19.5" hidden="false" customHeight="true" outlineLevel="0" collapsed="false">
      <c r="A4" s="10"/>
      <c r="B4" s="11" t="s">
        <v>459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0"/>
      <c r="O4" s="10"/>
      <c r="P4" s="10"/>
    </row>
    <row r="5" customFormat="false" ht="21.75" hidden="false" customHeight="true" outlineLevel="0" collapsed="false">
      <c r="A5" s="10"/>
      <c r="B5" s="43" t="s">
        <v>460</v>
      </c>
      <c r="C5" s="43"/>
      <c r="D5" s="10"/>
      <c r="E5" s="43" t="s">
        <v>461</v>
      </c>
      <c r="F5" s="43"/>
      <c r="G5" s="10"/>
      <c r="H5" s="43" t="s">
        <v>462</v>
      </c>
      <c r="I5" s="43"/>
      <c r="J5" s="10"/>
      <c r="K5" s="43" t="s">
        <v>463</v>
      </c>
      <c r="L5" s="43"/>
      <c r="M5" s="10"/>
      <c r="N5" s="10"/>
      <c r="O5" s="10"/>
      <c r="P5" s="10"/>
    </row>
    <row r="6" customFormat="false" ht="21.75" hidden="false" customHeight="true" outlineLevel="0" collapsed="false">
      <c r="A6" s="10"/>
      <c r="B6" s="251" t="s">
        <v>464</v>
      </c>
      <c r="C6" s="251"/>
      <c r="D6" s="10"/>
      <c r="E6" s="251" t="s">
        <v>464</v>
      </c>
      <c r="F6" s="251"/>
      <c r="G6" s="10"/>
      <c r="H6" s="251" t="s">
        <v>464</v>
      </c>
      <c r="I6" s="251"/>
      <c r="J6" s="10"/>
      <c r="K6" s="251" t="s">
        <v>465</v>
      </c>
      <c r="L6" s="251"/>
      <c r="M6" s="10"/>
      <c r="N6" s="10"/>
      <c r="O6" s="10"/>
      <c r="P6" s="10"/>
    </row>
    <row r="7" customFormat="false" ht="7.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customFormat="false" ht="19.5" hidden="false" customHeight="true" outlineLevel="0" collapsed="false">
      <c r="A8" s="10"/>
      <c r="B8" s="252" t="s">
        <v>466</v>
      </c>
      <c r="C8" s="252"/>
      <c r="D8" s="252"/>
      <c r="E8" s="252"/>
      <c r="F8" s="252"/>
      <c r="G8" s="252"/>
      <c r="H8" s="252"/>
      <c r="I8" s="252"/>
      <c r="J8" s="252"/>
      <c r="K8" s="252"/>
      <c r="L8" s="252"/>
      <c r="M8" s="252"/>
      <c r="N8" s="252"/>
      <c r="O8" s="252"/>
      <c r="P8" s="252"/>
    </row>
    <row r="9" customFormat="false" ht="36" hidden="false" customHeight="true" outlineLevel="0" collapsed="false">
      <c r="A9" s="10"/>
      <c r="B9" s="41" t="s">
        <v>60</v>
      </c>
      <c r="C9" s="41" t="s">
        <v>231</v>
      </c>
      <c r="D9" s="41" t="s">
        <v>62</v>
      </c>
      <c r="E9" s="41" t="s">
        <v>350</v>
      </c>
      <c r="F9" s="41" t="s">
        <v>467</v>
      </c>
      <c r="G9" s="41" t="s">
        <v>468</v>
      </c>
      <c r="H9" s="41" t="s">
        <v>469</v>
      </c>
      <c r="I9" s="41" t="s">
        <v>470</v>
      </c>
      <c r="J9" s="41" t="s">
        <v>471</v>
      </c>
      <c r="K9" s="41" t="s">
        <v>472</v>
      </c>
      <c r="L9" s="41" t="s">
        <v>473</v>
      </c>
      <c r="M9" s="41" t="s">
        <v>474</v>
      </c>
      <c r="N9" s="41" t="s">
        <v>475</v>
      </c>
      <c r="O9" s="41"/>
      <c r="P9" s="41" t="s">
        <v>476</v>
      </c>
    </row>
    <row r="10" customFormat="false" ht="26.25" hidden="false" customHeight="true" outlineLevel="0" collapsed="false">
      <c r="A10" s="10"/>
      <c r="B10" s="28" t="s">
        <v>274</v>
      </c>
      <c r="C10" s="28" t="s">
        <v>274</v>
      </c>
      <c r="D10" s="31" t="str">
        <f aca="false">IFERROR(INDEX('Input Data'!D:D,MATCH("LWR GROUND",'Input Data'!$C:$C,0)),"")</f>
        <v>OPULENT TWO ENTERPRISES</v>
      </c>
      <c r="E10" s="45" t="n">
        <f aca="false">IFERROR(INDEX('Input Data'!H:H,MATCH("LWR GROUND",'Input Data'!$C:$C,0)),"")</f>
        <v>47149</v>
      </c>
      <c r="F10" s="28" t="s">
        <v>477</v>
      </c>
      <c r="G10" s="28" t="s">
        <v>478</v>
      </c>
      <c r="H10" s="70"/>
      <c r="I10" s="67" t="n">
        <f aca="false">IFERROR(H10/INDEX('Input Data'!F:F,MATCH("LWR GROUND",'Input Data'!$C:$C,0)),"")</f>
        <v>0</v>
      </c>
      <c r="J10" s="70"/>
      <c r="K10" s="28" t="s">
        <v>479</v>
      </c>
      <c r="L10" s="28" t="str">
        <f aca="true">IF(OR(E10="—",E10="N/A",E10=""),"N/A",IF(NOT(ISNUMBER(E10)),"N/A",IF(E10&lt;TODAY(),"Overdue",IF(E10&lt;TODAY()+183,"Due &lt; 6 Mths",IF(E10&lt;TODAY()+365,"Due &lt; 12 Mths","Not Due")))))</f>
        <v>Not Due</v>
      </c>
      <c r="M10" s="28" t="s">
        <v>480</v>
      </c>
      <c r="N10" s="134" t="s">
        <v>481</v>
      </c>
      <c r="O10" s="10"/>
      <c r="P10" s="10"/>
    </row>
    <row r="11" customFormat="false" ht="19.5" hidden="false" customHeight="true" outlineLevel="0" collapsed="false">
      <c r="A11" s="10"/>
      <c r="B11" s="209" t="s">
        <v>94</v>
      </c>
      <c r="C11" s="209" t="s">
        <v>94</v>
      </c>
      <c r="D11" s="39" t="str">
        <f aca="false">IFERROR(INDEX('Input Data'!D:D,MATCH("GROUND",'Input Data'!$C:$C,0)),"")</f>
        <v>RCVRI MARTIN PLACE PTY LTD</v>
      </c>
      <c r="E11" s="211" t="n">
        <f aca="false">IFERROR(INDEX('Input Data'!H:H,MATCH("GROUND",'Input Data'!$C:$C,0)),"")</f>
        <v>48233</v>
      </c>
      <c r="F11" s="209" t="s">
        <v>482</v>
      </c>
      <c r="G11" s="209" t="s">
        <v>478</v>
      </c>
      <c r="H11" s="70"/>
      <c r="I11" s="67" t="n">
        <f aca="false">IFERROR(H11/INDEX('Input Data'!F:F,MATCH("GROUND",'Input Data'!$C:$C,0)),"")</f>
        <v>0</v>
      </c>
      <c r="J11" s="70"/>
      <c r="K11" s="209" t="s">
        <v>479</v>
      </c>
      <c r="L11" s="209" t="str">
        <f aca="true">IF(OR(E11="—",E11="N/A",E11=""),"N/A",IF(NOT(ISNUMBER(E11)),"N/A",IF(E11&lt;TODAY(),"Overdue",IF(E11&lt;TODAY()+183,"Due &lt; 6 Mths",IF(E11&lt;TODAY()+365,"Due &lt; 12 Mths","Not Due")))))</f>
        <v>Not Due</v>
      </c>
      <c r="M11" s="209" t="s">
        <v>480</v>
      </c>
      <c r="N11" s="253" t="s">
        <v>483</v>
      </c>
      <c r="O11" s="10"/>
      <c r="P11" s="209" t="s">
        <v>484</v>
      </c>
    </row>
    <row r="12" customFormat="false" ht="19.5" hidden="false" customHeight="true" outlineLevel="0" collapsed="false">
      <c r="A12" s="10"/>
      <c r="B12" s="63" t="s">
        <v>99</v>
      </c>
      <c r="C12" s="63" t="s">
        <v>100</v>
      </c>
      <c r="D12" s="37" t="str">
        <f aca="false">IFERROR(INDEX('Input Data'!D:D,MATCH("101&amp;2",'Input Data'!$C:$C,0)),"")</f>
        <v>BLITZEM PTY LTD</v>
      </c>
      <c r="E12" s="26" t="n">
        <f aca="false">IFERROR(INDEX('Input Data'!H:H,MATCH("101&amp;2",'Input Data'!$C:$C,0)),"")</f>
        <v>47299</v>
      </c>
      <c r="F12" s="63" t="s">
        <v>485</v>
      </c>
      <c r="G12" s="63" t="s">
        <v>478</v>
      </c>
      <c r="H12" s="70"/>
      <c r="I12" s="67" t="n">
        <f aca="false">IFERROR(H12/INDEX('Input Data'!F:F,MATCH("101&amp;2",'Input Data'!$C:$C,0)),"")</f>
        <v>0</v>
      </c>
      <c r="J12" s="70"/>
      <c r="K12" s="63" t="s">
        <v>479</v>
      </c>
      <c r="L12" s="63" t="str">
        <f aca="true">IF(OR(E12="—",E12="N/A",E12=""),"N/A",IF(NOT(ISNUMBER(E12)),"N/A",IF(E12&lt;TODAY(),"Overdue",IF(E12&lt;TODAY()+183,"Due &lt; 6 Mths",IF(E12&lt;TODAY()+365,"Due &lt; 12 Mths","Not Due")))))</f>
        <v>Not Due</v>
      </c>
      <c r="M12" s="63" t="s">
        <v>480</v>
      </c>
      <c r="N12" s="254" t="s">
        <v>486</v>
      </c>
      <c r="O12" s="10"/>
      <c r="P12" s="10"/>
    </row>
    <row r="13" customFormat="false" ht="19.5" hidden="false" customHeight="true" outlineLevel="0" collapsed="false">
      <c r="A13" s="10"/>
      <c r="B13" s="209" t="s">
        <v>99</v>
      </c>
      <c r="C13" s="209" t="s">
        <v>105</v>
      </c>
      <c r="D13" s="39" t="str">
        <f aca="false">IFERROR(INDEX('Input Data'!D:D,MATCH("103",'Input Data'!$C:$C,0)),"")</f>
        <v>PU PRIME TRADING PTY LTD</v>
      </c>
      <c r="E13" s="211" t="n">
        <f aca="false">IFERROR(INDEX('Input Data'!H:H,MATCH("103",'Input Data'!$C:$C,0)),"")</f>
        <v>46918</v>
      </c>
      <c r="F13" s="209" t="s">
        <v>477</v>
      </c>
      <c r="G13" s="209" t="s">
        <v>478</v>
      </c>
      <c r="H13" s="70"/>
      <c r="I13" s="67" t="n">
        <f aca="false">IFERROR(H13/INDEX('Input Data'!F:F,MATCH("103",'Input Data'!$C:$C,0)),"")</f>
        <v>0</v>
      </c>
      <c r="J13" s="70"/>
      <c r="K13" s="209" t="s">
        <v>479</v>
      </c>
      <c r="L13" s="209" t="str">
        <f aca="true">IF(OR(E13="—",E13="N/A",E13=""),"N/A",IF(NOT(ISNUMBER(E13)),"N/A",IF(E13&lt;TODAY(),"Overdue",IF(E13&lt;TODAY()+183,"Due &lt; 6 Mths",IF(E13&lt;TODAY()+365,"Due &lt; 12 Mths","Not Due")))))</f>
        <v>Not Due</v>
      </c>
      <c r="M13" s="209" t="s">
        <v>480</v>
      </c>
      <c r="N13" s="253" t="s">
        <v>487</v>
      </c>
      <c r="O13" s="10"/>
      <c r="P13" s="209" t="s">
        <v>488</v>
      </c>
    </row>
    <row r="14" customFormat="false" ht="115.5" hidden="false" customHeight="true" outlineLevel="0" collapsed="false">
      <c r="A14" s="10"/>
      <c r="B14" s="63" t="s">
        <v>99</v>
      </c>
      <c r="C14" s="63" t="s">
        <v>108</v>
      </c>
      <c r="D14" s="37" t="str">
        <f aca="false">IFERROR(INDEX('Input Data'!D:D,MATCH("104",'Input Data'!$C:$C,0)),"")</f>
        <v>TJC#1 PTY LTD</v>
      </c>
      <c r="E14" s="26" t="n">
        <f aca="false">IFERROR(INDEX('Input Data'!H:H,MATCH("104",'Input Data'!$C:$C,0)),"")</f>
        <v>46234</v>
      </c>
      <c r="F14" s="63" t="s">
        <v>477</v>
      </c>
      <c r="G14" s="63" t="s">
        <v>478</v>
      </c>
      <c r="H14" s="70"/>
      <c r="I14" s="67" t="n">
        <f aca="false">IFERROR(H14/INDEX('Input Data'!F:F,MATCH("104",'Input Data'!$C:$C,0)),"")</f>
        <v>0</v>
      </c>
      <c r="J14" s="70"/>
      <c r="K14" s="63" t="s">
        <v>479</v>
      </c>
      <c r="L14" s="63" t="str">
        <f aca="true">IF(OR(E14="—",E14="N/A",E14=""),"N/A",IF(NOT(ISNUMBER(E14)),"N/A",IF(E14&lt;TODAY(),"Overdue",IF(E14&lt;TODAY()+183,"Due &lt; 6 Mths",IF(E14&lt;TODAY()+365,"Due &lt; 12 Mths","Not Due")))))</f>
        <v>Due &lt; 6 Mths</v>
      </c>
      <c r="M14" s="63" t="s">
        <v>480</v>
      </c>
      <c r="N14" s="254" t="s">
        <v>489</v>
      </c>
      <c r="O14" s="10"/>
      <c r="P14" s="255" t="s">
        <v>490</v>
      </c>
    </row>
    <row r="15" customFormat="false" ht="22.5" hidden="false" customHeight="true" outlineLevel="0" collapsed="false">
      <c r="A15" s="10"/>
      <c r="B15" s="209" t="s">
        <v>112</v>
      </c>
      <c r="C15" s="209" t="s">
        <v>113</v>
      </c>
      <c r="D15" s="39" t="str">
        <f aca="false">IFERROR(INDEX('Input Data'!D:D,MATCH("WHOLE",'Input Data'!$C:$C,0)),"")</f>
        <v>PRINCETON FINANCIAL SERVICES</v>
      </c>
      <c r="E15" s="211" t="n">
        <f aca="false">IFERROR(INDEX('Input Data'!H:H,MATCH("WHOLE",'Input Data'!$C:$C,0)),"")</f>
        <v>47118</v>
      </c>
      <c r="F15" s="209" t="s">
        <v>491</v>
      </c>
      <c r="G15" s="209" t="s">
        <v>478</v>
      </c>
      <c r="H15" s="70"/>
      <c r="I15" s="67" t="n">
        <f aca="false">IFERROR(H15/INDEX('Input Data'!F:F,MATCH("WHOLE",'Input Data'!$C:$C,0)),"")</f>
        <v>0</v>
      </c>
      <c r="J15" s="70"/>
      <c r="K15" s="209" t="s">
        <v>479</v>
      </c>
      <c r="L15" s="209" t="str">
        <f aca="true">IF(OR(E15="—",E15="N/A",E15=""),"N/A",IF(NOT(ISNUMBER(E15)),"N/A",IF(E15&lt;TODAY(),"Overdue",IF(E15&lt;TODAY()+183,"Due &lt; 6 Mths",IF(E15&lt;TODAY()+365,"Due &lt; 12 Mths","Not Due")))))</f>
        <v>Not Due</v>
      </c>
      <c r="M15" s="209" t="s">
        <v>480</v>
      </c>
      <c r="N15" s="253" t="s">
        <v>492</v>
      </c>
      <c r="O15" s="10"/>
      <c r="P15" s="256" t="s">
        <v>493</v>
      </c>
    </row>
    <row r="16" customFormat="false" ht="19.5" hidden="false" customHeight="true" outlineLevel="0" collapsed="false">
      <c r="A16" s="10"/>
      <c r="B16" s="28" t="s">
        <v>116</v>
      </c>
      <c r="C16" s="28" t="s">
        <v>117</v>
      </c>
      <c r="D16" s="31" t="str">
        <f aca="false">IFERROR(INDEX('Input Data'!D:D,MATCH("301&amp;2",'Input Data'!$C:$C,0)),"")</f>
        <v>IPM RESIDENTIAL PTY LTD</v>
      </c>
      <c r="E16" s="45" t="n">
        <f aca="false">IFERROR(INDEX('Input Data'!H:H,MATCH("301&amp;2",'Input Data'!$C:$C,0)),"")</f>
        <v>46538</v>
      </c>
      <c r="F16" s="28" t="s">
        <v>477</v>
      </c>
      <c r="G16" s="28" t="s">
        <v>478</v>
      </c>
      <c r="H16" s="70"/>
      <c r="I16" s="67" t="n">
        <f aca="false">IFERROR(H16/INDEX('Input Data'!F:F,MATCH("301&amp;2",'Input Data'!$C:$C,0)),"")</f>
        <v>0</v>
      </c>
      <c r="J16" s="70"/>
      <c r="K16" s="28" t="s">
        <v>479</v>
      </c>
      <c r="L16" s="28" t="str">
        <f aca="true">IF(OR(E16="—",E16="N/A",E16=""),"N/A",IF(NOT(ISNUMBER(E16)),"N/A",IF(E16&lt;TODAY(),"Overdue",IF(E16&lt;TODAY()+183,"Due &lt; 6 Mths",IF(E16&lt;TODAY()+365,"Due &lt; 12 Mths","Not Due")))))</f>
        <v>Due &lt; 12 Mths</v>
      </c>
      <c r="M16" s="28" t="s">
        <v>480</v>
      </c>
      <c r="N16" s="134" t="s">
        <v>494</v>
      </c>
      <c r="O16" s="10"/>
      <c r="P16" s="28" t="s">
        <v>495</v>
      </c>
    </row>
    <row r="17" customFormat="false" ht="19.5" hidden="false" customHeight="true" outlineLevel="0" collapsed="false">
      <c r="A17" s="10"/>
      <c r="B17" s="209" t="s">
        <v>116</v>
      </c>
      <c r="C17" s="209" t="s">
        <v>120</v>
      </c>
      <c r="D17" s="39" t="str">
        <f aca="false">IFERROR(INDEX('Input Data'!D:D,MATCH("303&amp;4",'Input Data'!$C:$C,0)),"")</f>
        <v>BROADRIDGE (AUSTRALIA) PTY LTD</v>
      </c>
      <c r="E17" s="211" t="n">
        <f aca="false">IFERROR(INDEX('Input Data'!H:H,MATCH("303&amp;4",'Input Data'!$C:$C,0)),"")</f>
        <v>47026</v>
      </c>
      <c r="F17" s="209" t="s">
        <v>477</v>
      </c>
      <c r="G17" s="209" t="s">
        <v>478</v>
      </c>
      <c r="H17" s="70"/>
      <c r="I17" s="67" t="n">
        <f aca="false">IFERROR(H17/INDEX('Input Data'!F:F,MATCH("303&amp;4",'Input Data'!$C:$C,0)),"")</f>
        <v>0</v>
      </c>
      <c r="J17" s="70"/>
      <c r="K17" s="209" t="s">
        <v>479</v>
      </c>
      <c r="L17" s="209" t="str">
        <f aca="true">IF(OR(E17="—",E17="N/A",E17=""),"N/A",IF(NOT(ISNUMBER(E17)),"N/A",IF(E17&lt;TODAY(),"Overdue",IF(E17&lt;TODAY()+183,"Due &lt; 6 Mths",IF(E17&lt;TODAY()+365,"Due &lt; 12 Mths","Not Due")))))</f>
        <v>Not Due</v>
      </c>
      <c r="M17" s="209" t="s">
        <v>480</v>
      </c>
      <c r="N17" s="253" t="s">
        <v>496</v>
      </c>
      <c r="O17" s="10"/>
      <c r="P17" s="209" t="s">
        <v>497</v>
      </c>
    </row>
    <row r="18" customFormat="false" ht="19.5" hidden="false" customHeight="true" outlineLevel="0" collapsed="false">
      <c r="A18" s="10"/>
      <c r="B18" s="28" t="s">
        <v>124</v>
      </c>
      <c r="C18" s="28" t="s">
        <v>125</v>
      </c>
      <c r="D18" s="31" t="str">
        <f aca="false">IFERROR(INDEX('Input Data'!D:D,MATCH("401",'Input Data'!$C:$C,0)),"")</f>
        <v>B-W INTERNATIONAL AUSTRALIA PTY LTD</v>
      </c>
      <c r="E18" s="45" t="n">
        <f aca="false">IFERROR(INDEX('Input Data'!H:H,MATCH("401",'Input Data'!$C:$C,0)),"")</f>
        <v>47177</v>
      </c>
      <c r="F18" s="28" t="s">
        <v>477</v>
      </c>
      <c r="G18" s="28" t="s">
        <v>478</v>
      </c>
      <c r="H18" s="70"/>
      <c r="I18" s="67" t="n">
        <f aca="false">IFERROR(H18/INDEX('Input Data'!F:F,MATCH("401",'Input Data'!$C:$C,0)),"")</f>
        <v>0</v>
      </c>
      <c r="J18" s="70"/>
      <c r="K18" s="28" t="s">
        <v>479</v>
      </c>
      <c r="L18" s="28" t="str">
        <f aca="true">IF(OR(E18="—",E18="N/A",E18=""),"N/A",IF(NOT(ISNUMBER(E18)),"N/A",IF(E18&lt;TODAY(),"Overdue",IF(E18&lt;TODAY()+183,"Due &lt; 6 Mths",IF(E18&lt;TODAY()+365,"Due &lt; 12 Mths","Not Due")))))</f>
        <v>Not Due</v>
      </c>
      <c r="M18" s="28" t="s">
        <v>480</v>
      </c>
      <c r="N18" s="134" t="s">
        <v>498</v>
      </c>
      <c r="O18" s="10"/>
      <c r="P18" s="10"/>
    </row>
    <row r="19" customFormat="false" ht="19.5" hidden="false" customHeight="true" outlineLevel="0" collapsed="false">
      <c r="A19" s="10"/>
      <c r="B19" s="209" t="s">
        <v>124</v>
      </c>
      <c r="C19" s="209" t="s">
        <v>128</v>
      </c>
      <c r="D19" s="39" t="str">
        <f aca="false">IFERROR(INDEX('Input Data'!D:D,MATCH("402",'Input Data'!$C:$C,0)),"")</f>
        <v>MP TRAVEL PTY LTD</v>
      </c>
      <c r="E19" s="211" t="n">
        <f aca="false">IFERROR(INDEX('Input Data'!H:H,MATCH("402",'Input Data'!$C:$C,0)),"")</f>
        <v>47483</v>
      </c>
      <c r="F19" s="209" t="s">
        <v>477</v>
      </c>
      <c r="G19" s="209" t="s">
        <v>478</v>
      </c>
      <c r="H19" s="70"/>
      <c r="I19" s="67" t="n">
        <f aca="false">IFERROR(H19/INDEX('Input Data'!F:F,MATCH("402",'Input Data'!$C:$C,0)),"")</f>
        <v>0</v>
      </c>
      <c r="J19" s="70"/>
      <c r="K19" s="209" t="s">
        <v>479</v>
      </c>
      <c r="L19" s="209" t="str">
        <f aca="true">IF(OR(E19="—",E19="N/A",E19=""),"N/A",IF(NOT(ISNUMBER(E19)),"N/A",IF(E19&lt;TODAY(),"Overdue",IF(E19&lt;TODAY()+183,"Due &lt; 6 Mths",IF(E19&lt;TODAY()+365,"Due &lt; 12 Mths","Not Due")))))</f>
        <v>Not Due</v>
      </c>
      <c r="M19" s="209" t="s">
        <v>480</v>
      </c>
      <c r="N19" s="253" t="s">
        <v>499</v>
      </c>
      <c r="O19" s="10"/>
      <c r="P19" s="209" t="s">
        <v>500</v>
      </c>
    </row>
    <row r="20" customFormat="false" ht="19.5" hidden="false" customHeight="true" outlineLevel="0" collapsed="false">
      <c r="A20" s="10"/>
      <c r="B20" s="28" t="s">
        <v>131</v>
      </c>
      <c r="C20" s="28" t="s">
        <v>132</v>
      </c>
      <c r="D20" s="31" t="str">
        <f aca="false">IFERROR(INDEX('Input Data'!D:D,MATCH("501",'Input Data'!$C:$C,0)),"")</f>
        <v>MONTGOMERY INVESTMENT</v>
      </c>
      <c r="E20" s="45" t="n">
        <f aca="false">IFERROR(INDEX('Input Data'!H:H,MATCH("501",'Input Data'!$C:$C,0)),"")</f>
        <v>46691</v>
      </c>
      <c r="F20" s="28" t="s">
        <v>477</v>
      </c>
      <c r="G20" s="28" t="s">
        <v>478</v>
      </c>
      <c r="H20" s="70"/>
      <c r="I20" s="67" t="n">
        <f aca="false">IFERROR(H20/INDEX('Input Data'!F:F,MATCH("501",'Input Data'!$C:$C,0)),"")</f>
        <v>0</v>
      </c>
      <c r="J20" s="70"/>
      <c r="K20" s="28" t="s">
        <v>479</v>
      </c>
      <c r="L20" s="28" t="str">
        <f aca="true">IF(OR(E20="—",E20="N/A",E20=""),"N/A",IF(NOT(ISNUMBER(E20)),"N/A",IF(E20&lt;TODAY(),"Overdue",IF(E20&lt;TODAY()+183,"Due &lt; 6 Mths",IF(E20&lt;TODAY()+365,"Due &lt; 12 Mths","Not Due")))))</f>
        <v>Not Due</v>
      </c>
      <c r="M20" s="28" t="s">
        <v>480</v>
      </c>
      <c r="N20" s="134" t="s">
        <v>501</v>
      </c>
      <c r="O20" s="10"/>
      <c r="P20" s="28" t="s">
        <v>502</v>
      </c>
    </row>
    <row r="21" customFormat="false" ht="19.5" hidden="false" customHeight="true" outlineLevel="0" collapsed="false">
      <c r="A21" s="10"/>
      <c r="B21" s="209" t="s">
        <v>131</v>
      </c>
      <c r="C21" s="209" t="s">
        <v>135</v>
      </c>
      <c r="D21" s="39" t="str">
        <f aca="false">IFERROR(INDEX('Input Data'!D:D,MATCH("502",'Input Data'!$C:$C,0)),"")</f>
        <v>THREAT DEFENCE</v>
      </c>
      <c r="E21" s="211" t="n">
        <f aca="false">IFERROR(INDEX('Input Data'!H:H,MATCH("502",'Input Data'!$C:$C,0)),"")</f>
        <v>46568</v>
      </c>
      <c r="F21" s="209" t="s">
        <v>491</v>
      </c>
      <c r="G21" s="209" t="s">
        <v>478</v>
      </c>
      <c r="H21" s="70"/>
      <c r="I21" s="67" t="n">
        <f aca="false">IFERROR(H21/INDEX('Input Data'!F:F,MATCH("502",'Input Data'!$C:$C,0)),"")</f>
        <v>0</v>
      </c>
      <c r="J21" s="70"/>
      <c r="K21" s="209" t="s">
        <v>479</v>
      </c>
      <c r="L21" s="209" t="str">
        <f aca="true">IF(OR(E21="—",E21="N/A",E21=""),"N/A",IF(NOT(ISNUMBER(E21)),"N/A",IF(E21&lt;TODAY(),"Overdue",IF(E21&lt;TODAY()+183,"Due &lt; 6 Mths",IF(E21&lt;TODAY()+365,"Due &lt; 12 Mths","Not Due")))))</f>
        <v>Not Due</v>
      </c>
      <c r="M21" s="209" t="s">
        <v>480</v>
      </c>
      <c r="N21" s="253" t="s">
        <v>503</v>
      </c>
      <c r="O21" s="10"/>
      <c r="P21" s="28" t="s">
        <v>504</v>
      </c>
    </row>
    <row r="22" customFormat="false" ht="19.5" hidden="false" customHeight="true" outlineLevel="0" collapsed="false">
      <c r="A22" s="10"/>
      <c r="B22" s="63" t="s">
        <v>138</v>
      </c>
      <c r="C22" s="63" t="s">
        <v>139</v>
      </c>
      <c r="D22" s="37" t="str">
        <f aca="false">IFERROR(INDEX('Input Data'!D:D,MATCH("601",'Input Data'!$C:$C,0)),"")</f>
        <v>FULLCRM PTY LTD</v>
      </c>
      <c r="E22" s="26" t="n">
        <f aca="false">IFERROR(INDEX('Input Data'!H:H,MATCH("601",'Input Data'!$C:$C,0)),"")</f>
        <v>46418</v>
      </c>
      <c r="F22" s="63" t="s">
        <v>477</v>
      </c>
      <c r="G22" s="63" t="s">
        <v>478</v>
      </c>
      <c r="H22" s="70"/>
      <c r="I22" s="67" t="n">
        <f aca="false">IFERROR(H22/INDEX('Input Data'!F:F,MATCH("601",'Input Data'!$C:$C,0)),"")</f>
        <v>0</v>
      </c>
      <c r="J22" s="70"/>
      <c r="K22" s="63" t="s">
        <v>479</v>
      </c>
      <c r="L22" s="63" t="str">
        <f aca="true">IF(OR(E22="—",E22="N/A",E22=""),"N/A",IF(NOT(ISNUMBER(E22)),"N/A",IF(E22&lt;TODAY(),"Overdue",IF(E22&lt;TODAY()+183,"Due &lt; 6 Mths",IF(E22&lt;TODAY()+365,"Due &lt; 12 Mths","Not Due")))))</f>
        <v>Due &lt; 12 Mths</v>
      </c>
      <c r="M22" s="63" t="s">
        <v>480</v>
      </c>
      <c r="N22" s="254" t="s">
        <v>505</v>
      </c>
      <c r="O22" s="10"/>
      <c r="P22" s="10"/>
    </row>
    <row r="23" customFormat="false" ht="19.5" hidden="false" customHeight="true" outlineLevel="0" collapsed="false">
      <c r="A23" s="10"/>
      <c r="B23" s="63" t="s">
        <v>138</v>
      </c>
      <c r="C23" s="63" t="s">
        <v>142</v>
      </c>
      <c r="D23" s="37" t="str">
        <f aca="false">IFERROR(INDEX('Input Data'!D:D,MATCH("602",'Input Data'!$C:$C,0)),"")</f>
        <v>VACANT</v>
      </c>
      <c r="E23" s="26" t="str">
        <f aca="false">IFERROR(INDEX('Input Data'!H:H,MATCH("602",'Input Data'!$C:$C,0)),"")</f>
        <v/>
      </c>
      <c r="F23" s="63" t="s">
        <v>477</v>
      </c>
      <c r="G23" s="63" t="s">
        <v>478</v>
      </c>
      <c r="H23" s="257" t="n">
        <v>14000</v>
      </c>
      <c r="I23" s="67" t="n">
        <f aca="false">IFERROR(H23/INDEX('Input Data'!F:F,MATCH("602",'Input Data'!$C:$C,0)),"")</f>
        <v>92.0447074293228</v>
      </c>
      <c r="J23" s="26" t="n">
        <v>46146</v>
      </c>
      <c r="K23" s="63" t="s">
        <v>479</v>
      </c>
      <c r="L23" s="63" t="str">
        <f aca="true">IF(OR(E23="—",E23="N/A",E23=""),"N/A",IF(NOT(ISNUMBER(E23)),"N/A",IF(E23&lt;TODAY(),"Overdue",IF(E23&lt;TODAY()+183,"Due &lt; 6 Mths",IF(E23&lt;TODAY()+365,"Due &lt; 12 Mths","Not Due")))))</f>
        <v>N/A</v>
      </c>
      <c r="M23" s="63" t="s">
        <v>480</v>
      </c>
      <c r="N23" s="254" t="s">
        <v>506</v>
      </c>
      <c r="O23" s="10"/>
      <c r="P23" s="10"/>
    </row>
    <row r="24" customFormat="false" ht="31.5" hidden="false" customHeight="true" outlineLevel="0" collapsed="false">
      <c r="A24" s="10"/>
      <c r="B24" s="28" t="s">
        <v>144</v>
      </c>
      <c r="C24" s="28" t="s">
        <v>145</v>
      </c>
      <c r="D24" s="31" t="str">
        <f aca="false">IFERROR(INDEX('Input Data'!D:D,MATCH("701",'Input Data'!$C:$C,0)),"")</f>
        <v>PINPOINT TALENT PTY LTD</v>
      </c>
      <c r="E24" s="45" t="n">
        <f aca="false">IFERROR(INDEX('Input Data'!H:H,MATCH("701",'Input Data'!$C:$C,0)),"")</f>
        <v>46605</v>
      </c>
      <c r="F24" s="28" t="s">
        <v>477</v>
      </c>
      <c r="G24" s="28" t="s">
        <v>478</v>
      </c>
      <c r="H24" s="70"/>
      <c r="I24" s="67" t="n">
        <f aca="false">IFERROR(H24/INDEX('Input Data'!F:F,MATCH("701",'Input Data'!$C:$C,0)),"")</f>
        <v>0</v>
      </c>
      <c r="J24" s="70"/>
      <c r="K24" s="28" t="s">
        <v>479</v>
      </c>
      <c r="L24" s="28" t="str">
        <f aca="true">IF(OR(E24="—",E24="N/A",E24=""),"N/A",IF(NOT(ISNUMBER(E24)),"N/A",IF(E24&lt;TODAY(),"Overdue",IF(E24&lt;TODAY()+183,"Due &lt; 6 Mths",IF(E24&lt;TODAY()+365,"Due &lt; 12 Mths","Not Due")))))</f>
        <v>Not Due</v>
      </c>
      <c r="M24" s="28" t="s">
        <v>480</v>
      </c>
      <c r="N24" s="134" t="s">
        <v>507</v>
      </c>
      <c r="O24" s="10"/>
      <c r="P24" s="258" t="s">
        <v>508</v>
      </c>
    </row>
    <row r="25" customFormat="false" ht="19.5" hidden="false" customHeight="true" outlineLevel="0" collapsed="false">
      <c r="A25" s="10"/>
      <c r="B25" s="209" t="s">
        <v>144</v>
      </c>
      <c r="C25" s="209" t="s">
        <v>148</v>
      </c>
      <c r="D25" s="39" t="str">
        <f aca="false">IFERROR(INDEX('Input Data'!D:D,MATCH("702",'Input Data'!$C:$C,0)),"")</f>
        <v>SATELLITE OFFICE PTY LTD</v>
      </c>
      <c r="E25" s="211" t="n">
        <f aca="false">IFERROR(INDEX('Input Data'!H:H,MATCH("702",'Input Data'!$C:$C,0)),"")</f>
        <v>46904</v>
      </c>
      <c r="F25" s="209" t="s">
        <v>477</v>
      </c>
      <c r="G25" s="209" t="s">
        <v>478</v>
      </c>
      <c r="H25" s="70"/>
      <c r="I25" s="67" t="n">
        <f aca="false">IFERROR(H25/INDEX('Input Data'!F:F,MATCH("702",'Input Data'!$C:$C,0)),"")</f>
        <v>0</v>
      </c>
      <c r="J25" s="70"/>
      <c r="K25" s="209" t="s">
        <v>479</v>
      </c>
      <c r="L25" s="209" t="str">
        <f aca="true">IF(OR(E25="—",E25="N/A",E25=""),"N/A",IF(NOT(ISNUMBER(E25)),"N/A",IF(E25&lt;TODAY(),"Overdue",IF(E25&lt;TODAY()+183,"Due &lt; 6 Mths",IF(E25&lt;TODAY()+365,"Due &lt; 12 Mths","Not Due")))))</f>
        <v>Not Due</v>
      </c>
      <c r="M25" s="209" t="s">
        <v>480</v>
      </c>
      <c r="N25" s="253" t="s">
        <v>499</v>
      </c>
      <c r="O25" s="10"/>
      <c r="P25" s="10"/>
    </row>
    <row r="26" customFormat="false" ht="19.5" hidden="false" customHeight="true" outlineLevel="0" collapsed="false">
      <c r="A26" s="10"/>
      <c r="B26" s="28" t="s">
        <v>151</v>
      </c>
      <c r="C26" s="28" t="s">
        <v>152</v>
      </c>
      <c r="D26" s="31" t="str">
        <f aca="false">IFERROR(INDEX('Input Data'!D:D,MATCH("801",'Input Data'!$C:$C,0)),"")</f>
        <v>ARKANCE AUSTRALIA PTY LTD</v>
      </c>
      <c r="E26" s="45" t="n">
        <f aca="false">IFERROR(INDEX('Input Data'!H:H,MATCH("801",'Input Data'!$C:$C,0)),"")</f>
        <v>47756</v>
      </c>
      <c r="F26" s="28" t="s">
        <v>482</v>
      </c>
      <c r="G26" s="28" t="s">
        <v>478</v>
      </c>
      <c r="H26" s="70"/>
      <c r="I26" s="67" t="n">
        <f aca="false">IFERROR(H26/INDEX('Input Data'!F:F,MATCH("801",'Input Data'!$C:$C,0)),"")</f>
        <v>0</v>
      </c>
      <c r="J26" s="70"/>
      <c r="K26" s="28" t="s">
        <v>479</v>
      </c>
      <c r="L26" s="28" t="str">
        <f aca="true">IF(OR(E26="—",E26="N/A",E26=""),"N/A",IF(NOT(ISNUMBER(E26)),"N/A",IF(E26&lt;TODAY(),"Overdue",IF(E26&lt;TODAY()+183,"Due &lt; 6 Mths",IF(E26&lt;TODAY()+365,"Due &lt; 12 Mths","Not Due")))))</f>
        <v>Not Due</v>
      </c>
      <c r="M26" s="28" t="s">
        <v>480</v>
      </c>
      <c r="N26" s="134" t="s">
        <v>509</v>
      </c>
      <c r="O26" s="10"/>
      <c r="P26" s="10"/>
    </row>
    <row r="27" customFormat="false" ht="19.5" hidden="false" customHeight="true" outlineLevel="0" collapsed="false">
      <c r="A27" s="10"/>
      <c r="B27" s="209" t="s">
        <v>151</v>
      </c>
      <c r="C27" s="209" t="s">
        <v>155</v>
      </c>
      <c r="D27" s="39" t="str">
        <f aca="false">IFERROR(INDEX('Input Data'!D:D,MATCH("802",'Input Data'!$C:$C,0)),"")</f>
        <v>HILLIARD &amp; BERRY</v>
      </c>
      <c r="E27" s="211" t="n">
        <f aca="false">IFERROR(INDEX('Input Data'!H:H,MATCH("802",'Input Data'!$C:$C,0)),"")</f>
        <v>46965</v>
      </c>
      <c r="F27" s="209" t="s">
        <v>477</v>
      </c>
      <c r="G27" s="209" t="s">
        <v>478</v>
      </c>
      <c r="H27" s="70"/>
      <c r="I27" s="67" t="n">
        <f aca="false">IFERROR(H27/INDEX('Input Data'!F:F,MATCH("802",'Input Data'!$C:$C,0)),"")</f>
        <v>0</v>
      </c>
      <c r="J27" s="70"/>
      <c r="K27" s="209" t="s">
        <v>479</v>
      </c>
      <c r="L27" s="209" t="str">
        <f aca="true">IF(OR(E27="—",E27="N/A",E27=""),"N/A",IF(NOT(ISNUMBER(E27)),"N/A",IF(E27&lt;TODAY(),"Overdue",IF(E27&lt;TODAY()+183,"Due &lt; 6 Mths",IF(E27&lt;TODAY()+365,"Due &lt; 12 Mths","Not Due")))))</f>
        <v>Not Due</v>
      </c>
      <c r="M27" s="209" t="s">
        <v>480</v>
      </c>
      <c r="N27" s="253" t="s">
        <v>510</v>
      </c>
      <c r="O27" s="10"/>
      <c r="P27" s="10"/>
    </row>
    <row r="28" customFormat="false" ht="19.5" hidden="false" customHeight="true" outlineLevel="0" collapsed="false">
      <c r="A28" s="10"/>
      <c r="B28" s="78" t="s">
        <v>158</v>
      </c>
      <c r="C28" s="78" t="s">
        <v>159</v>
      </c>
      <c r="D28" s="79" t="str">
        <f aca="false">IFERROR(INDEX('Input Data'!D:D,MATCH("901",'Input Data'!$C:$C,0)),"")</f>
        <v>AITKEN INVESTMENT MANAGEMENT PTY LTD</v>
      </c>
      <c r="E28" s="81" t="n">
        <f aca="false">IFERROR(INDEX('Input Data'!H:H,MATCH("901",'Input Data'!$C:$C,0)),"")</f>
        <v>46918</v>
      </c>
      <c r="F28" s="78" t="s">
        <v>477</v>
      </c>
      <c r="G28" s="78" t="s">
        <v>478</v>
      </c>
      <c r="H28" s="70"/>
      <c r="I28" s="67" t="n">
        <f aca="false">IFERROR(H28/INDEX('Input Data'!F:F,MATCH("901",'Input Data'!$C:$C,0)),"")</f>
        <v>0</v>
      </c>
      <c r="J28" s="70"/>
      <c r="K28" s="78" t="s">
        <v>479</v>
      </c>
      <c r="L28" s="78" t="str">
        <f aca="true">IF(OR(E28="—",E28="N/A",E28=""),"N/A",IF(NOT(ISNUMBER(E28)),"N/A",IF(E28&lt;TODAY(),"Overdue",IF(E28&lt;TODAY()+183,"Due &lt; 6 Mths",IF(E28&lt;TODAY()+365,"Due &lt; 12 Mths","Not Due")))))</f>
        <v>Not Due</v>
      </c>
      <c r="M28" s="78" t="s">
        <v>480</v>
      </c>
      <c r="N28" s="259" t="s">
        <v>511</v>
      </c>
      <c r="O28" s="10"/>
      <c r="P28" s="10"/>
    </row>
    <row r="29" customFormat="false" ht="19.5" hidden="false" customHeight="true" outlineLevel="0" collapsed="false">
      <c r="A29" s="10"/>
      <c r="B29" s="209" t="s">
        <v>158</v>
      </c>
      <c r="C29" s="209" t="s">
        <v>162</v>
      </c>
      <c r="D29" s="39" t="str">
        <f aca="false">IFERROR(INDEX('Input Data'!D:D,MATCH("902&amp;3",'Input Data'!$C:$C,0)),"")</f>
        <v>CAPITAL E MARKETING AND EVENTS PTY LTD</v>
      </c>
      <c r="E29" s="211" t="n">
        <f aca="false">IFERROR(INDEX('Input Data'!H:H,MATCH("902&amp;3",'Input Data'!$C:$C,0)),"")</f>
        <v>47573</v>
      </c>
      <c r="F29" s="209" t="s">
        <v>482</v>
      </c>
      <c r="G29" s="209" t="s">
        <v>478</v>
      </c>
      <c r="H29" s="70"/>
      <c r="I29" s="67" t="n">
        <f aca="false">IFERROR(H29/INDEX('Input Data'!F:F,MATCH("902&amp;3",'Input Data'!$C:$C,0)),"")</f>
        <v>0</v>
      </c>
      <c r="J29" s="70"/>
      <c r="K29" s="209" t="s">
        <v>479</v>
      </c>
      <c r="L29" s="209" t="str">
        <f aca="true">IF(OR(E29="—",E29="N/A",E29=""),"N/A",IF(NOT(ISNUMBER(E29)),"N/A",IF(E29&lt;TODAY(),"Overdue",IF(E29&lt;TODAY()+183,"Due &lt; 6 Mths",IF(E29&lt;TODAY()+365,"Due &lt; 12 Mths","Not Due")))))</f>
        <v>Not Due</v>
      </c>
      <c r="M29" s="209" t="s">
        <v>480</v>
      </c>
      <c r="N29" s="253" t="s">
        <v>512</v>
      </c>
      <c r="O29" s="10"/>
      <c r="P29" s="10"/>
    </row>
    <row r="30" customFormat="false" ht="19.5" hidden="false" customHeight="true" outlineLevel="0" collapsed="false">
      <c r="A30" s="10"/>
      <c r="B30" s="28" t="s">
        <v>165</v>
      </c>
      <c r="C30" s="28" t="s">
        <v>166</v>
      </c>
      <c r="D30" s="31" t="str">
        <f aca="false">IFERROR(INDEX('Input Data'!D:D,MATCH("1001&amp;2",'Input Data'!$C:$C,0)),"")</f>
        <v>CONNECTUS SERVICES PTY LTD</v>
      </c>
      <c r="E30" s="45" t="n">
        <f aca="false">IFERROR(INDEX('Input Data'!H:H,MATCH("1001&amp;2",'Input Data'!$C:$C,0)),"")</f>
        <v>47452</v>
      </c>
      <c r="F30" s="28" t="s">
        <v>482</v>
      </c>
      <c r="G30" s="28" t="s">
        <v>478</v>
      </c>
      <c r="H30" s="70"/>
      <c r="I30" s="67" t="n">
        <f aca="false">IFERROR(H30/INDEX('Input Data'!F:F,MATCH("1001&amp;2",'Input Data'!$C:$C,0)),"")</f>
        <v>0</v>
      </c>
      <c r="J30" s="70"/>
      <c r="K30" s="28" t="s">
        <v>479</v>
      </c>
      <c r="L30" s="28" t="str">
        <f aca="true">IF(OR(E30="—",E30="N/A",E30=""),"N/A",IF(NOT(ISNUMBER(E30)),"N/A",IF(E30&lt;TODAY(),"Overdue",IF(E30&lt;TODAY()+183,"Due &lt; 6 Mths",IF(E30&lt;TODAY()+365,"Due &lt; 12 Mths","Not Due")))))</f>
        <v>Not Due</v>
      </c>
      <c r="M30" s="28" t="s">
        <v>480</v>
      </c>
      <c r="N30" s="134" t="s">
        <v>513</v>
      </c>
      <c r="O30" s="10"/>
      <c r="P30" s="260" t="s">
        <v>514</v>
      </c>
    </row>
    <row r="31" customFormat="false" ht="19.5" hidden="false" customHeight="true" outlineLevel="0" collapsed="false">
      <c r="A31" s="10"/>
      <c r="B31" s="63" t="s">
        <v>170</v>
      </c>
      <c r="C31" s="63" t="s">
        <v>171</v>
      </c>
      <c r="D31" s="37" t="str">
        <f aca="false">IFERROR(INDEX('Input Data'!D:D,MATCH("1101",'Input Data'!$C:$C,0)),"")</f>
        <v>MICHAEL FLEGG PTY LTD</v>
      </c>
      <c r="E31" s="26" t="n">
        <f aca="false">IFERROR(INDEX('Input Data'!H:H,MATCH("1101",'Input Data'!$C:$C,0)),"")</f>
        <v>46356</v>
      </c>
      <c r="F31" s="63" t="s">
        <v>477</v>
      </c>
      <c r="G31" s="63" t="s">
        <v>478</v>
      </c>
      <c r="H31" s="70"/>
      <c r="I31" s="67" t="n">
        <f aca="false">IFERROR(H31/INDEX('Input Data'!F:F,MATCH("1101",'Input Data'!$C:$C,0)),"")</f>
        <v>0</v>
      </c>
      <c r="J31" s="70"/>
      <c r="K31" s="63" t="s">
        <v>479</v>
      </c>
      <c r="L31" s="63" t="str">
        <f aca="true">IF(OR(E31="—",E31="N/A",E31=""),"N/A",IF(NOT(ISNUMBER(E31)),"N/A",IF(E31&lt;TODAY(),"Overdue",IF(E31&lt;TODAY()+183,"Due &lt; 6 Mths",IF(E31&lt;TODAY()+365,"Due &lt; 12 Mths","Not Due")))))</f>
        <v>Due &lt; 6 Mths</v>
      </c>
      <c r="M31" s="63" t="s">
        <v>480</v>
      </c>
      <c r="N31" s="254" t="s">
        <v>515</v>
      </c>
      <c r="O31" s="10"/>
      <c r="P31" s="28" t="s">
        <v>516</v>
      </c>
    </row>
    <row r="32" customFormat="false" ht="19.5" hidden="false" customHeight="true" outlineLevel="0" collapsed="false">
      <c r="A32" s="10"/>
      <c r="B32" s="63" t="s">
        <v>170</v>
      </c>
      <c r="C32" s="63" t="s">
        <v>174</v>
      </c>
      <c r="D32" s="37" t="str">
        <f aca="false">IFERROR(INDEX('Input Data'!D:D,MATCH("1102",'Input Data'!$C:$C,0)),"")</f>
        <v>LEWIS WOOLCOTT</v>
      </c>
      <c r="E32" s="26" t="n">
        <f aca="false">IFERROR(INDEX('Input Data'!H:H,MATCH("1102",'Input Data'!$C:$C,0)),"")</f>
        <v>46979</v>
      </c>
      <c r="F32" s="63" t="s">
        <v>477</v>
      </c>
      <c r="G32" s="63" t="s">
        <v>478</v>
      </c>
      <c r="H32" s="70"/>
      <c r="I32" s="67" t="n">
        <f aca="false">IFERROR(H32/INDEX('Input Data'!F:F,MATCH("1102",'Input Data'!$C:$C,0)),"")</f>
        <v>0</v>
      </c>
      <c r="J32" s="70"/>
      <c r="K32" s="63" t="s">
        <v>479</v>
      </c>
      <c r="L32" s="63" t="str">
        <f aca="true">IF(OR(E32="—",E32="N/A",E32=""),"N/A",IF(NOT(ISNUMBER(E32)),"N/A",IF(E32&lt;TODAY(),"Overdue",IF(E32&lt;TODAY()+183,"Due &lt; 6 Mths",IF(E32&lt;TODAY()+365,"Due &lt; 12 Mths","Not Due")))))</f>
        <v>Not Due</v>
      </c>
      <c r="M32" s="63" t="s">
        <v>480</v>
      </c>
      <c r="N32" s="254" t="s">
        <v>517</v>
      </c>
      <c r="O32" s="10"/>
      <c r="P32" s="10"/>
    </row>
    <row r="33" customFormat="false" ht="19.5" hidden="false" customHeight="true" outlineLevel="0" collapsed="false">
      <c r="A33" s="10"/>
      <c r="B33" s="28" t="s">
        <v>170</v>
      </c>
      <c r="C33" s="28" t="s">
        <v>183</v>
      </c>
      <c r="D33" s="31" t="str">
        <f aca="false">IFERROR(INDEX('Input Data'!D:D,MATCH("1103",'Input Data'!$C:$C,0)),"")</f>
        <v>INFERNI SYSTEMS</v>
      </c>
      <c r="E33" s="28" t="s">
        <v>4</v>
      </c>
      <c r="F33" s="28" t="s">
        <v>4</v>
      </c>
      <c r="G33" s="28" t="s">
        <v>4</v>
      </c>
      <c r="H33" s="70"/>
      <c r="I33" s="67" t="n">
        <f aca="false">IFERROR(H33/INDEX('Input Data'!F:F,MATCH("1103",'Input Data'!$C:$C,0)),"")</f>
        <v>0</v>
      </c>
      <c r="J33" s="70"/>
      <c r="K33" s="28" t="s">
        <v>479</v>
      </c>
      <c r="L33" s="28" t="str">
        <f aca="true">IF(OR(E33="—",E33="N/A",E33=""),"N/A",IF(NOT(ISNUMBER(E33)),"N/A",IF(E33&lt;TODAY(),"Overdue",IF(E33&lt;TODAY()+183,"Due &lt; 6 Mths",IF(E33&lt;TODAY()+365,"Due &lt; 12 Mths","Not Due")))))</f>
        <v>N/A</v>
      </c>
      <c r="M33" s="28" t="s">
        <v>480</v>
      </c>
      <c r="N33" s="134" t="s">
        <v>518</v>
      </c>
      <c r="O33" s="10"/>
      <c r="P33" s="10"/>
    </row>
    <row r="34" customFormat="false" ht="19.5" hidden="false" customHeight="true" outlineLevel="0" collapsed="false">
      <c r="A34" s="10"/>
      <c r="B34" s="28" t="s">
        <v>178</v>
      </c>
      <c r="C34" s="28" t="s">
        <v>178</v>
      </c>
      <c r="D34" s="31" t="str">
        <f aca="false">IFERROR(INDEX('Input Data'!D:D,MATCH("L12",'Input Data'!$C:$C,0)),"")</f>
        <v>DAKOTA CORPORATION</v>
      </c>
      <c r="E34" s="45" t="n">
        <v>45291</v>
      </c>
      <c r="F34" s="28" t="s">
        <v>180</v>
      </c>
      <c r="G34" s="28" t="s">
        <v>180</v>
      </c>
      <c r="H34" s="70"/>
      <c r="I34" s="67" t="n">
        <f aca="false">IFERROR(H34/INDEX('Input Data'!F:F,MATCH("L12",'Input Data'!$C:$C,0)),"")</f>
        <v>0</v>
      </c>
      <c r="J34" s="70"/>
      <c r="K34" s="28" t="s">
        <v>479</v>
      </c>
      <c r="L34" s="28" t="str">
        <f aca="true">IF(OR(E34="—",E34="N/A",E34=""),"N/A",IF(NOT(ISNUMBER(E34)),"N/A",IF(E34&lt;TODAY(),"Overdue",IF(E34&lt;TODAY()+183,"Due &lt; 6 Mths",IF(E34&lt;TODAY()+365,"Due &lt; 12 Mths","Not Due")))))</f>
        <v>Overdue</v>
      </c>
      <c r="M34" s="28" t="s">
        <v>480</v>
      </c>
      <c r="N34" s="134" t="s">
        <v>519</v>
      </c>
      <c r="O34" s="10"/>
      <c r="P34" s="10"/>
    </row>
    <row r="35" customFormat="false" ht="14.2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customFormat="false" ht="19.5" hidden="false" customHeight="true" outlineLevel="0" collapsed="false">
      <c r="A36" s="10"/>
      <c r="B36" s="11" t="s">
        <v>520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0"/>
      <c r="P36" s="10"/>
    </row>
    <row r="37" customFormat="false" ht="18" hidden="false" customHeight="true" outlineLevel="0" collapsed="false">
      <c r="A37" s="10"/>
      <c r="B37" s="99"/>
      <c r="C37" s="261" t="s">
        <v>521</v>
      </c>
      <c r="D37" s="261"/>
      <c r="E37" s="101"/>
      <c r="F37" s="261" t="s">
        <v>522</v>
      </c>
      <c r="G37" s="261"/>
      <c r="H37" s="101"/>
      <c r="I37" s="261" t="s">
        <v>523</v>
      </c>
      <c r="J37" s="261"/>
      <c r="K37" s="34"/>
      <c r="L37" s="261" t="s">
        <v>524</v>
      </c>
      <c r="M37" s="261"/>
      <c r="N37" s="10"/>
      <c r="O37" s="10"/>
      <c r="P37" s="10"/>
    </row>
  </sheetData>
  <mergeCells count="17">
    <mergeCell ref="A1:N1"/>
    <mergeCell ref="A2:N2"/>
    <mergeCell ref="B4:M4"/>
    <mergeCell ref="B5:C5"/>
    <mergeCell ref="E5:F5"/>
    <mergeCell ref="H5:I5"/>
    <mergeCell ref="K5:L5"/>
    <mergeCell ref="B6:C6"/>
    <mergeCell ref="E6:F6"/>
    <mergeCell ref="H6:I6"/>
    <mergeCell ref="K6:L6"/>
    <mergeCell ref="B8:P8"/>
    <mergeCell ref="B36:N36"/>
    <mergeCell ref="C37:D37"/>
    <mergeCell ref="F37:G37"/>
    <mergeCell ref="I37:J37"/>
    <mergeCell ref="L37:M37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5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38" activeCellId="0" sqref="C3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" width="1.54"/>
    <col collapsed="false" customWidth="true" hidden="false" outlineLevel="0" max="2" min="2" style="7" width="27.09"/>
    <col collapsed="false" customWidth="true" hidden="false" outlineLevel="0" max="3" min="3" style="7" width="10"/>
    <col collapsed="false" customWidth="true" hidden="false" outlineLevel="0" max="4" min="4" style="7" width="28"/>
    <col collapsed="false" customWidth="true" hidden="false" outlineLevel="0" max="5" min="5" style="7" width="10"/>
    <col collapsed="false" customWidth="true" hidden="false" outlineLevel="0" max="6" min="6" style="7" width="12"/>
    <col collapsed="false" customWidth="true" hidden="false" outlineLevel="0" max="8" min="7" style="7" width="14"/>
    <col collapsed="false" customWidth="true" hidden="false" outlineLevel="0" max="9" min="9" style="7" width="12"/>
    <col collapsed="false" customWidth="true" hidden="false" outlineLevel="0" max="10" min="10" style="7" width="14"/>
    <col collapsed="false" customWidth="true" hidden="false" outlineLevel="0" max="11" min="11" style="7" width="12"/>
    <col collapsed="false" customWidth="true" hidden="false" outlineLevel="0" max="12" min="12" style="7" width="16"/>
    <col collapsed="false" customWidth="true" hidden="false" outlineLevel="0" max="15" min="13" style="7" width="14"/>
    <col collapsed="false" customWidth="true" hidden="false" outlineLevel="0" max="16" min="16" style="7" width="28"/>
  </cols>
  <sheetData>
    <row r="1" customFormat="false" ht="30" hidden="false" customHeight="true" outlineLevel="0" collapsed="false">
      <c r="A1" s="8" t="s">
        <v>525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10"/>
    </row>
    <row r="2" customFormat="false" ht="15.75" hidden="false" customHeight="true" outlineLevel="0" collapsed="false">
      <c r="A2" s="206" t="s">
        <v>526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206"/>
      <c r="P2" s="10"/>
    </row>
    <row r="3" customFormat="false" ht="7.5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</row>
    <row r="4" customFormat="false" ht="19.5" hidden="false" customHeight="true" outlineLevel="0" collapsed="false">
      <c r="A4" s="10"/>
      <c r="B4" s="11" t="s">
        <v>527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0"/>
      <c r="P4" s="10"/>
    </row>
    <row r="5" customFormat="false" ht="21.75" hidden="false" customHeight="true" outlineLevel="0" collapsed="false">
      <c r="A5" s="10"/>
      <c r="B5" s="43" t="s">
        <v>528</v>
      </c>
      <c r="C5" s="43"/>
      <c r="D5" s="43" t="s">
        <v>529</v>
      </c>
      <c r="E5" s="43"/>
      <c r="F5" s="43" t="s">
        <v>530</v>
      </c>
      <c r="G5" s="43"/>
      <c r="H5" s="43" t="s">
        <v>531</v>
      </c>
      <c r="I5" s="43"/>
      <c r="J5" s="43" t="s">
        <v>532</v>
      </c>
      <c r="K5" s="43"/>
      <c r="L5" s="43" t="s">
        <v>533</v>
      </c>
      <c r="M5" s="43"/>
      <c r="N5" s="10"/>
      <c r="O5" s="10"/>
      <c r="P5" s="10"/>
    </row>
    <row r="6" customFormat="false" ht="21.75" hidden="false" customHeight="true" outlineLevel="0" collapsed="false">
      <c r="A6" s="10"/>
      <c r="B6" s="251" t="s">
        <v>4</v>
      </c>
      <c r="C6" s="251"/>
      <c r="D6" s="251" t="s">
        <v>4</v>
      </c>
      <c r="E6" s="251"/>
      <c r="F6" s="251" t="s">
        <v>4</v>
      </c>
      <c r="G6" s="251"/>
      <c r="H6" s="251" t="s">
        <v>4</v>
      </c>
      <c r="I6" s="251"/>
      <c r="J6" s="251" t="s">
        <v>4</v>
      </c>
      <c r="K6" s="251"/>
      <c r="L6" s="251" t="s">
        <v>4</v>
      </c>
      <c r="M6" s="251"/>
      <c r="N6" s="10"/>
      <c r="O6" s="10"/>
      <c r="P6" s="10"/>
    </row>
    <row r="7" customFormat="false" ht="7.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customFormat="false" ht="19.5" hidden="false" customHeight="true" outlineLevel="0" collapsed="false">
      <c r="A8" s="10"/>
      <c r="B8" s="11" t="s">
        <v>534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0"/>
    </row>
    <row r="9" customFormat="false" ht="36" hidden="false" customHeight="true" outlineLevel="0" collapsed="false">
      <c r="A9" s="10"/>
      <c r="B9" s="41" t="s">
        <v>60</v>
      </c>
      <c r="C9" s="41" t="s">
        <v>231</v>
      </c>
      <c r="D9" s="41" t="s">
        <v>535</v>
      </c>
      <c r="E9" s="41" t="s">
        <v>348</v>
      </c>
      <c r="F9" s="41" t="s">
        <v>536</v>
      </c>
      <c r="G9" s="41" t="s">
        <v>83</v>
      </c>
      <c r="H9" s="41" t="s">
        <v>537</v>
      </c>
      <c r="I9" s="41" t="s">
        <v>470</v>
      </c>
      <c r="J9" s="41" t="s">
        <v>538</v>
      </c>
      <c r="K9" s="41" t="s">
        <v>539</v>
      </c>
      <c r="L9" s="41" t="s">
        <v>540</v>
      </c>
      <c r="M9" s="41" t="s">
        <v>541</v>
      </c>
      <c r="N9" s="41" t="s">
        <v>542</v>
      </c>
      <c r="O9" s="41" t="s">
        <v>543</v>
      </c>
      <c r="P9" s="41" t="s">
        <v>544</v>
      </c>
    </row>
    <row r="10" customFormat="false" ht="19.5" hidden="false" customHeight="true" outlineLevel="0" collapsed="false">
      <c r="A10" s="10"/>
      <c r="B10" s="28" t="s">
        <v>170</v>
      </c>
      <c r="C10" s="173" t="s">
        <v>183</v>
      </c>
      <c r="D10" s="31" t="str">
        <f aca="false">IFERROR(INDEX('Input Data'!D:D,MATCH("1103",'Input Data'!$C:$C,0))&amp;IF(INDEX('Input Data'!H:H,MATCH("1103",'Input Data'!$C:$C,0))=""," (Vacant)"," (Exp: "&amp;TEXT(INDEX('Input Data'!H:H,MATCH("1103",'Input Data'!$C:$C,0)),"DD/MM/YY")&amp;")"),"")</f>
        <v>INFERNI SYSTEMS (Exp: 14/07/29)</v>
      </c>
      <c r="E10" s="44" t="n">
        <f aca="false">IFERROR(INDEX('Input Data'!F:F,MATCH("1103",'Input Data'!$C:$C,0)),"")</f>
        <v>160.3</v>
      </c>
      <c r="F10" s="70"/>
      <c r="G10" s="63" t="s">
        <v>545</v>
      </c>
      <c r="H10" s="70"/>
      <c r="I10" s="67" t="n">
        <f aca="false">IFERROR(H10/E10,"")</f>
        <v>0</v>
      </c>
      <c r="J10" s="70"/>
      <c r="K10" s="67" t="n">
        <f aca="false">IFERROR(H10-J10,"")</f>
        <v>0</v>
      </c>
      <c r="L10" s="72"/>
      <c r="M10" s="70"/>
      <c r="N10" s="67" t="n">
        <f aca="false">IFERROR(INDEX('Input Data'!S:S,MATCH("1103",'Input Data'!$C:$C,0)),"")</f>
        <v>1060</v>
      </c>
      <c r="O10" s="70"/>
      <c r="P10" s="72"/>
    </row>
    <row r="11" customFormat="false" ht="19.5" hidden="false" customHeight="true" outlineLevel="0" collapsed="false">
      <c r="A11" s="10"/>
      <c r="B11" s="209" t="s">
        <v>138</v>
      </c>
      <c r="C11" s="238" t="s">
        <v>142</v>
      </c>
      <c r="D11" s="39" t="str">
        <f aca="false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210" t="n">
        <f aca="false">IFERROR(INDEX('Input Data'!F:F,MATCH("602",'Input Data'!$C:$C,0)),"")</f>
        <v>152.1</v>
      </c>
      <c r="F11" s="26" t="n">
        <v>46146</v>
      </c>
      <c r="G11" s="63" t="s">
        <v>546</v>
      </c>
      <c r="H11" s="257" t="n">
        <v>13970</v>
      </c>
      <c r="I11" s="67" t="n">
        <f aca="false">IFERROR(H11/E11,"")</f>
        <v>91.8474687705457</v>
      </c>
      <c r="J11" s="70"/>
      <c r="K11" s="67" t="n">
        <f aca="false">IFERROR(H11-J11,"")</f>
        <v>13970</v>
      </c>
      <c r="L11" s="254" t="s">
        <v>547</v>
      </c>
      <c r="M11" s="70"/>
      <c r="N11" s="67" t="n">
        <f aca="false">IFERROR(INDEX('Input Data'!S:S,MATCH("602",'Input Data'!$C:$C,0)),"")</f>
        <v>1030</v>
      </c>
      <c r="O11" s="70"/>
      <c r="P11" s="72"/>
    </row>
    <row r="12" customFormat="false" ht="19.5" hidden="false" customHeight="true" outlineLevel="0" collapsed="false">
      <c r="A12" s="10"/>
      <c r="B12" s="28" t="s">
        <v>99</v>
      </c>
      <c r="C12" s="173" t="s">
        <v>100</v>
      </c>
      <c r="D12" s="31" t="str">
        <f aca="false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BLITZEM PTY LTD (Exp: 30/06/29)</v>
      </c>
      <c r="E12" s="44" t="n">
        <f aca="false">IFERROR(INDEX('Input Data'!F:F,MATCH("101&amp;2",'Input Data'!$C:$C,0)),"")</f>
        <v>162.4</v>
      </c>
      <c r="F12" s="26" t="n">
        <v>46148</v>
      </c>
      <c r="G12" s="63" t="s">
        <v>546</v>
      </c>
      <c r="H12" s="262" t="n">
        <v>231499.4</v>
      </c>
      <c r="I12" s="67" t="n">
        <f aca="false">IFERROR(H12/E12,"")</f>
        <v>1425.48891625616</v>
      </c>
      <c r="J12" s="263" t="n">
        <f aca="false">1200*E12</f>
        <v>194880</v>
      </c>
      <c r="K12" s="67" t="n">
        <f aca="false">IFERROR(H12-J12,"")</f>
        <v>36619.4</v>
      </c>
      <c r="L12" s="37" t="s">
        <v>548</v>
      </c>
      <c r="M12" s="70"/>
      <c r="N12" s="67" t="n">
        <f aca="false">IFERROR(INDEX('Input Data'!S:S,MATCH("101&amp;2",'Input Data'!$C:$C,0)),"")</f>
        <v>1115</v>
      </c>
      <c r="O12" s="70"/>
      <c r="P12" s="72"/>
    </row>
    <row r="13" customFormat="false" ht="19.5" hidden="false" customHeight="true" outlineLevel="0" collapsed="false">
      <c r="A13" s="10"/>
      <c r="B13" s="209" t="s">
        <v>99</v>
      </c>
      <c r="C13" s="238" t="s">
        <v>108</v>
      </c>
      <c r="D13" s="39" t="str">
        <f aca="false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31/07/26)</v>
      </c>
      <c r="E13" s="210" t="n">
        <f aca="false">IFERROR(INDEX('Input Data'!F:F,MATCH("104",'Input Data'!$C:$C,0)),"")</f>
        <v>98.1</v>
      </c>
      <c r="F13" s="70"/>
      <c r="G13" s="63" t="s">
        <v>545</v>
      </c>
      <c r="H13" s="70"/>
      <c r="I13" s="67" t="n">
        <f aca="false">IFERROR(H13/E13,"")</f>
        <v>0</v>
      </c>
      <c r="J13" s="70"/>
      <c r="K13" s="67" t="n">
        <f aca="false">IFERROR(H13-J13,"")</f>
        <v>0</v>
      </c>
      <c r="L13" s="72"/>
      <c r="M13" s="70"/>
      <c r="N13" s="67" t="n">
        <f aca="false">IFERROR(INDEX('Input Data'!S:S,MATCH("104",'Input Data'!$C:$C,0)),"")</f>
        <v>960</v>
      </c>
      <c r="O13" s="70"/>
      <c r="P13" s="72"/>
    </row>
    <row r="14" customFormat="false" ht="19.5" hidden="false" customHeight="true" outlineLevel="0" collapsed="false">
      <c r="A14" s="10"/>
      <c r="B14" s="28" t="s">
        <v>170</v>
      </c>
      <c r="C14" s="173" t="s">
        <v>174</v>
      </c>
      <c r="D14" s="31" t="str">
        <f aca="false">IFERROR(INDEX('Input Data'!D:D,MATCH("1102",'Input Data'!$C:$C,0))&amp;IF(INDEX('Input Data'!H:H,MATCH("1102",'Input Data'!$C:$C,0))=""," (Vacant)"," (Exp: "&amp;TEXT(INDEX('Input Data'!H:H,MATCH("1102",'Input Data'!$C:$C,0)),"DD/MM/YY")&amp;")"),"")</f>
        <v>LEWIS WOOLCOTT (Exp: 14/08/28)</v>
      </c>
      <c r="E14" s="44" t="n">
        <f aca="false">IFERROR(INDEX('Input Data'!F:F,MATCH("1102",'Input Data'!$C:$C,0)),"")</f>
        <v>133.1</v>
      </c>
      <c r="F14" s="70"/>
      <c r="G14" s="63" t="s">
        <v>545</v>
      </c>
      <c r="H14" s="70"/>
      <c r="I14" s="67" t="n">
        <f aca="false">IFERROR(H14/E14,"")</f>
        <v>0</v>
      </c>
      <c r="J14" s="70"/>
      <c r="K14" s="67" t="n">
        <f aca="false">IFERROR(H14-J14,"")</f>
        <v>0</v>
      </c>
      <c r="L14" s="72"/>
      <c r="M14" s="70"/>
      <c r="N14" s="67" t="n">
        <f aca="false">IFERROR(INDEX('Input Data'!S:S,MATCH("1102",'Input Data'!$C:$C,0)),"")</f>
        <v>1250</v>
      </c>
      <c r="O14" s="70"/>
      <c r="P14" s="72"/>
    </row>
    <row r="15" customFormat="false" ht="19.5" hidden="false" customHeight="true" outlineLevel="0" collapsed="false">
      <c r="A15" s="10"/>
      <c r="B15" s="209" t="s">
        <v>170</v>
      </c>
      <c r="C15" s="238" t="s">
        <v>171</v>
      </c>
      <c r="D15" s="39" t="str">
        <f aca="false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210" t="n">
        <f aca="false">IFERROR(INDEX('Input Data'!F:F,MATCH("1101",'Input Data'!$C:$C,0)),"")</f>
        <v>62.4</v>
      </c>
      <c r="F15" s="70"/>
      <c r="G15" s="63" t="s">
        <v>545</v>
      </c>
      <c r="H15" s="70"/>
      <c r="I15" s="67" t="n">
        <f aca="false">IFERROR(H15/E15,"")</f>
        <v>0</v>
      </c>
      <c r="J15" s="70"/>
      <c r="K15" s="67" t="n">
        <f aca="false">IFERROR(H15-J15,"")</f>
        <v>0</v>
      </c>
      <c r="L15" s="72"/>
      <c r="M15" s="70"/>
      <c r="N15" s="67" t="n">
        <f aca="false">IFERROR(INDEX('Input Data'!S:S,MATCH("1101",'Input Data'!$C:$C,0)),"")</f>
        <v>1405</v>
      </c>
      <c r="O15" s="70"/>
      <c r="P15" s="72"/>
    </row>
    <row r="16" customFormat="false" ht="19.5" hidden="false" customHeight="true" outlineLevel="0" collapsed="false">
      <c r="A16" s="10"/>
      <c r="B16" s="35"/>
      <c r="C16" s="35"/>
      <c r="D16" s="35"/>
      <c r="E16" s="264"/>
      <c r="F16" s="101"/>
      <c r="G16" s="101"/>
      <c r="H16" s="101"/>
      <c r="I16" s="101"/>
      <c r="J16" s="101"/>
      <c r="K16" s="101"/>
      <c r="L16" s="101"/>
      <c r="M16" s="101"/>
      <c r="N16" s="101"/>
      <c r="O16" s="101"/>
      <c r="P16" s="101"/>
    </row>
    <row r="17" customFormat="false" ht="19.5" hidden="false" customHeight="true" outlineLevel="0" collapsed="false">
      <c r="A17" s="10"/>
      <c r="B17" s="245"/>
      <c r="C17" s="245"/>
      <c r="D17" s="245"/>
      <c r="E17" s="265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</row>
    <row r="18" customFormat="false" ht="19.5" hidden="false" customHeight="true" outlineLevel="0" collapsed="false">
      <c r="A18" s="10"/>
      <c r="B18" s="35"/>
      <c r="C18" s="35"/>
      <c r="D18" s="35"/>
      <c r="E18" s="264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</row>
    <row r="19" customFormat="false" ht="19.5" hidden="false" customHeight="true" outlineLevel="0" collapsed="false">
      <c r="A19" s="10"/>
      <c r="B19" s="245"/>
      <c r="C19" s="245"/>
      <c r="D19" s="245"/>
      <c r="E19" s="265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</row>
    <row r="20" customFormat="false" ht="19.5" hidden="false" customHeight="true" outlineLevel="0" collapsed="false">
      <c r="A20" s="10"/>
      <c r="B20" s="35"/>
      <c r="C20" s="35"/>
      <c r="D20" s="35"/>
      <c r="E20" s="264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</row>
    <row r="21" customFormat="false" ht="19.5" hidden="false" customHeight="true" outlineLevel="0" collapsed="false">
      <c r="A21" s="10"/>
      <c r="B21" s="245"/>
      <c r="C21" s="245"/>
      <c r="D21" s="245"/>
      <c r="E21" s="265"/>
      <c r="F21" s="101"/>
      <c r="G21" s="101"/>
      <c r="H21" s="101"/>
      <c r="I21" s="101"/>
      <c r="J21" s="101"/>
      <c r="K21" s="101"/>
      <c r="L21" s="101"/>
      <c r="M21" s="101"/>
      <c r="N21" s="101"/>
      <c r="O21" s="101"/>
      <c r="P21" s="101"/>
    </row>
    <row r="22" customFormat="false" ht="19.5" hidden="false" customHeight="true" outlineLevel="0" collapsed="false">
      <c r="A22" s="10"/>
      <c r="B22" s="35"/>
      <c r="C22" s="35"/>
      <c r="D22" s="35"/>
      <c r="E22" s="264"/>
      <c r="F22" s="101"/>
      <c r="G22" s="101"/>
      <c r="H22" s="101"/>
      <c r="I22" s="101"/>
      <c r="J22" s="101"/>
      <c r="K22" s="101"/>
      <c r="L22" s="101"/>
      <c r="M22" s="101"/>
      <c r="N22" s="101"/>
      <c r="O22" s="101"/>
      <c r="P22" s="101"/>
    </row>
    <row r="23" customFormat="false" ht="19.5" hidden="false" customHeight="true" outlineLevel="0" collapsed="false">
      <c r="A23" s="10"/>
      <c r="B23" s="245"/>
      <c r="C23" s="245"/>
      <c r="D23" s="245"/>
      <c r="E23" s="265"/>
      <c r="F23" s="101"/>
      <c r="G23" s="101"/>
      <c r="H23" s="101"/>
      <c r="I23" s="101"/>
      <c r="J23" s="101"/>
      <c r="K23" s="101"/>
      <c r="L23" s="101"/>
      <c r="M23" s="101"/>
      <c r="N23" s="101"/>
      <c r="O23" s="101"/>
      <c r="P23" s="101"/>
    </row>
    <row r="24" customFormat="false" ht="14.2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customFormat="false" ht="14.2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customFormat="false" ht="19.5" hidden="false" customHeight="true" outlineLevel="0" collapsed="false">
      <c r="A26" s="10"/>
      <c r="B26" s="11" t="s">
        <v>549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0"/>
    </row>
    <row r="27" customFormat="false" ht="18" hidden="false" customHeight="true" outlineLevel="0" collapsed="false">
      <c r="A27" s="10"/>
      <c r="B27" s="196" t="s">
        <v>550</v>
      </c>
      <c r="C27" s="124" t="s">
        <v>551</v>
      </c>
      <c r="D27" s="124" t="s">
        <v>552</v>
      </c>
      <c r="E27" s="124" t="s">
        <v>553</v>
      </c>
      <c r="F27" s="196" t="s">
        <v>82</v>
      </c>
      <c r="G27" s="196"/>
      <c r="H27" s="196"/>
      <c r="I27" s="196"/>
      <c r="J27" s="196"/>
      <c r="K27" s="196"/>
      <c r="L27" s="196"/>
      <c r="M27" s="196"/>
      <c r="N27" s="196"/>
      <c r="O27" s="196"/>
      <c r="P27" s="10"/>
    </row>
    <row r="28" customFormat="false" ht="18" hidden="false" customHeight="true" outlineLevel="0" collapsed="false">
      <c r="A28" s="10"/>
      <c r="B28" s="55" t="s">
        <v>554</v>
      </c>
      <c r="C28" s="53" t="s">
        <v>555</v>
      </c>
      <c r="D28" s="53" t="s">
        <v>556</v>
      </c>
      <c r="E28" s="53" t="s">
        <v>557</v>
      </c>
      <c r="F28" s="55" t="s">
        <v>558</v>
      </c>
      <c r="G28" s="55"/>
      <c r="H28" s="55"/>
      <c r="I28" s="55"/>
      <c r="J28" s="55"/>
      <c r="K28" s="55"/>
      <c r="L28" s="55"/>
      <c r="M28" s="55"/>
      <c r="N28" s="55"/>
      <c r="O28" s="55"/>
      <c r="P28" s="10"/>
    </row>
    <row r="29" customFormat="false" ht="18" hidden="false" customHeight="true" outlineLevel="0" collapsed="false">
      <c r="A29" s="10"/>
      <c r="B29" s="31" t="s">
        <v>559</v>
      </c>
      <c r="C29" s="28" t="s">
        <v>560</v>
      </c>
      <c r="D29" s="28" t="s">
        <v>561</v>
      </c>
      <c r="E29" s="28" t="s">
        <v>562</v>
      </c>
      <c r="F29" s="31" t="s">
        <v>563</v>
      </c>
      <c r="G29" s="31"/>
      <c r="H29" s="31"/>
      <c r="I29" s="31"/>
      <c r="J29" s="31"/>
      <c r="K29" s="31"/>
      <c r="L29" s="31"/>
      <c r="M29" s="31"/>
      <c r="N29" s="31"/>
      <c r="O29" s="31"/>
      <c r="P29" s="10"/>
    </row>
    <row r="30" customFormat="false" ht="18" hidden="false" customHeight="true" outlineLevel="0" collapsed="false">
      <c r="A30" s="10"/>
      <c r="B30" s="55" t="s">
        <v>564</v>
      </c>
      <c r="C30" s="53" t="s">
        <v>565</v>
      </c>
      <c r="D30" s="53" t="s">
        <v>566</v>
      </c>
      <c r="E30" s="53" t="s">
        <v>567</v>
      </c>
      <c r="F30" s="55" t="s">
        <v>568</v>
      </c>
      <c r="G30" s="55"/>
      <c r="H30" s="55"/>
      <c r="I30" s="55"/>
      <c r="J30" s="55"/>
      <c r="K30" s="55"/>
      <c r="L30" s="55"/>
      <c r="M30" s="55"/>
      <c r="N30" s="55"/>
      <c r="O30" s="55"/>
      <c r="P30" s="10"/>
    </row>
    <row r="31" customFormat="false" ht="18" hidden="false" customHeight="true" outlineLevel="0" collapsed="false">
      <c r="A31" s="10"/>
      <c r="B31" s="31" t="s">
        <v>569</v>
      </c>
      <c r="C31" s="28" t="s">
        <v>566</v>
      </c>
      <c r="D31" s="28" t="s">
        <v>570</v>
      </c>
      <c r="E31" s="28" t="s">
        <v>571</v>
      </c>
      <c r="F31" s="31" t="s">
        <v>572</v>
      </c>
      <c r="G31" s="31"/>
      <c r="H31" s="31"/>
      <c r="I31" s="31"/>
      <c r="J31" s="31"/>
      <c r="K31" s="31"/>
      <c r="L31" s="31"/>
      <c r="M31" s="31"/>
      <c r="N31" s="31"/>
      <c r="O31" s="31"/>
      <c r="P31" s="10"/>
    </row>
    <row r="32" customFormat="false" ht="18" hidden="false" customHeight="true" outlineLevel="0" collapsed="false">
      <c r="A32" s="10"/>
      <c r="B32" s="55" t="s">
        <v>573</v>
      </c>
      <c r="C32" s="53" t="s">
        <v>574</v>
      </c>
      <c r="D32" s="53" t="s">
        <v>575</v>
      </c>
      <c r="E32" s="53" t="s">
        <v>576</v>
      </c>
      <c r="F32" s="55" t="s">
        <v>577</v>
      </c>
      <c r="G32" s="55"/>
      <c r="H32" s="55"/>
      <c r="I32" s="55"/>
      <c r="J32" s="55"/>
      <c r="K32" s="55"/>
      <c r="L32" s="55"/>
      <c r="M32" s="55"/>
      <c r="N32" s="55"/>
      <c r="O32" s="55"/>
      <c r="P32" s="10"/>
    </row>
    <row r="33" customFormat="false" ht="18" hidden="false" customHeight="true" outlineLevel="0" collapsed="false">
      <c r="A33" s="10"/>
      <c r="B33" s="31" t="s">
        <v>578</v>
      </c>
      <c r="C33" s="28" t="s">
        <v>579</v>
      </c>
      <c r="D33" s="28" t="s">
        <v>580</v>
      </c>
      <c r="E33" s="28" t="s">
        <v>567</v>
      </c>
      <c r="F33" s="31" t="s">
        <v>568</v>
      </c>
      <c r="G33" s="31"/>
      <c r="H33" s="31"/>
      <c r="I33" s="31"/>
      <c r="J33" s="31"/>
      <c r="K33" s="31"/>
      <c r="L33" s="31"/>
      <c r="M33" s="31"/>
      <c r="N33" s="31"/>
      <c r="O33" s="31"/>
      <c r="P33" s="10"/>
    </row>
    <row r="34" customFormat="false" ht="18" hidden="false" customHeight="true" outlineLevel="0" collapsed="false">
      <c r="A34" s="10"/>
      <c r="B34" s="55" t="s">
        <v>581</v>
      </c>
      <c r="C34" s="53" t="s">
        <v>582</v>
      </c>
      <c r="D34" s="53" t="s">
        <v>583</v>
      </c>
      <c r="E34" s="53" t="s">
        <v>584</v>
      </c>
      <c r="F34" s="55" t="s">
        <v>585</v>
      </c>
      <c r="G34" s="55"/>
      <c r="H34" s="55"/>
      <c r="I34" s="55"/>
      <c r="J34" s="55"/>
      <c r="K34" s="55"/>
      <c r="L34" s="55"/>
      <c r="M34" s="55"/>
      <c r="N34" s="55"/>
      <c r="O34" s="55"/>
      <c r="P34" s="10"/>
    </row>
    <row r="35" customFormat="false" ht="18" hidden="false" customHeight="true" outlineLevel="0" collapsed="false">
      <c r="A35" s="10"/>
      <c r="B35" s="31" t="s">
        <v>586</v>
      </c>
      <c r="C35" s="28" t="s">
        <v>587</v>
      </c>
      <c r="D35" s="28" t="s">
        <v>588</v>
      </c>
      <c r="E35" s="28" t="s">
        <v>589</v>
      </c>
      <c r="F35" s="31" t="s">
        <v>590</v>
      </c>
      <c r="G35" s="31"/>
      <c r="H35" s="31"/>
      <c r="I35" s="31"/>
      <c r="J35" s="31"/>
      <c r="K35" s="31"/>
      <c r="L35" s="31"/>
      <c r="M35" s="31"/>
      <c r="N35" s="31"/>
      <c r="O35" s="31"/>
      <c r="P35" s="10"/>
    </row>
  </sheetData>
  <mergeCells count="26">
    <mergeCell ref="A1:O1"/>
    <mergeCell ref="A2:O2"/>
    <mergeCell ref="B4:N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O8"/>
    <mergeCell ref="B26:O26"/>
    <mergeCell ref="F27:O27"/>
    <mergeCell ref="F28:O28"/>
    <mergeCell ref="F29:O29"/>
    <mergeCell ref="F30:O30"/>
    <mergeCell ref="F31:O31"/>
    <mergeCell ref="F32:O32"/>
    <mergeCell ref="F33:O33"/>
    <mergeCell ref="F34:O34"/>
    <mergeCell ref="F35:O35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51"/>
  <sheetViews>
    <sheetView showFormulas="false" showGridLines="false" showRowColHeaders="true" showZeros="true" rightToLeft="false" tabSelected="false" showOutlineSymbols="true" defaultGridColor="true" view="normal" topLeftCell="A115" colorId="64" zoomScale="90" zoomScaleNormal="90" zoomScalePageLayoutView="100" workbookViewId="0">
      <selection pane="topLeft" activeCell="D151" activeCellId="0" sqref="D15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7" width="1.54"/>
    <col collapsed="false" customWidth="true" hidden="false" outlineLevel="0" max="2" min="2" style="7" width="11"/>
    <col collapsed="false" customWidth="true" hidden="false" outlineLevel="0" max="3" min="3" style="7" width="9"/>
    <col collapsed="false" customWidth="true" hidden="false" outlineLevel="0" max="30" min="4" style="7" width="7.45"/>
    <col collapsed="false" customWidth="true" hidden="false" outlineLevel="0" max="31" min="31" style="7" width="1.54"/>
  </cols>
  <sheetData>
    <row r="1" customFormat="false" ht="33.75" hidden="false" customHeight="true" outlineLevel="0" collapsed="false">
      <c r="A1" s="266" t="s">
        <v>591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</row>
    <row r="2" customFormat="false" ht="15" hidden="false" customHeight="true" outlineLevel="0" collapsed="false">
      <c r="A2" s="206" t="s">
        <v>592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206"/>
      <c r="U2" s="206"/>
      <c r="V2" s="206"/>
      <c r="W2" s="206"/>
      <c r="X2" s="206"/>
      <c r="Y2" s="206"/>
      <c r="Z2" s="206"/>
      <c r="AA2" s="206"/>
      <c r="AB2" s="206"/>
      <c r="AC2" s="206"/>
      <c r="AD2" s="206"/>
      <c r="AE2" s="206"/>
    </row>
    <row r="3" customFormat="false" ht="21.75" hidden="false" customHeight="true" outlineLevel="0" collapsed="false">
      <c r="A3" s="10"/>
      <c r="B3" s="124" t="s">
        <v>60</v>
      </c>
      <c r="C3" s="41" t="s">
        <v>593</v>
      </c>
      <c r="D3" s="124" t="s">
        <v>594</v>
      </c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0"/>
    </row>
    <row r="4" customFormat="false" ht="6.75" hidden="false" customHeight="true" outlineLevel="0" collapsed="false">
      <c r="A4" s="10"/>
      <c r="B4" s="117"/>
      <c r="C4" s="117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10"/>
    </row>
    <row r="5" customFormat="false" ht="19.5" hidden="false" customHeight="true" outlineLevel="0" collapsed="false">
      <c r="A5" s="10"/>
      <c r="B5" s="267" t="s">
        <v>595</v>
      </c>
      <c r="C5" s="268" t="n">
        <f aca="false">SUMIF('Input Data'!B:B,"L12",'Input Data'!F:F)</f>
        <v>223.7</v>
      </c>
      <c r="D5" s="269" t="str">
        <f aca="false">IFERROR(INDEX('Input Data'!D:D,MATCH("L12",'Input Data'!$C:$C,0)),"VACANT")</f>
        <v>DAKOTA CORPORATION</v>
      </c>
      <c r="E5" s="269"/>
      <c r="F5" s="269"/>
      <c r="G5" s="269"/>
      <c r="H5" s="269"/>
      <c r="I5" s="269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69"/>
      <c r="X5" s="269"/>
      <c r="Y5" s="269"/>
      <c r="Z5" s="269"/>
      <c r="AA5" s="269"/>
      <c r="AB5" s="269"/>
      <c r="AC5" s="269"/>
      <c r="AD5" s="269"/>
      <c r="AE5" s="10"/>
    </row>
    <row r="6" customFormat="false" ht="15" hidden="false" customHeight="true" outlineLevel="0" collapsed="false">
      <c r="A6" s="10"/>
      <c r="B6" s="267"/>
      <c r="C6" s="267"/>
      <c r="D6" s="270" t="str">
        <f aca="false">"Suite "&amp;"L12"</f>
        <v>Suite L12</v>
      </c>
      <c r="E6" s="270"/>
      <c r="F6" s="270"/>
      <c r="G6" s="270"/>
      <c r="H6" s="270"/>
      <c r="I6" s="270"/>
      <c r="J6" s="270"/>
      <c r="K6" s="270"/>
      <c r="L6" s="270"/>
      <c r="M6" s="270"/>
      <c r="N6" s="270"/>
      <c r="O6" s="270"/>
      <c r="P6" s="270"/>
      <c r="Q6" s="270"/>
      <c r="R6" s="270"/>
      <c r="S6" s="270"/>
      <c r="T6" s="270"/>
      <c r="U6" s="270"/>
      <c r="V6" s="270"/>
      <c r="W6" s="270"/>
      <c r="X6" s="270"/>
      <c r="Y6" s="270"/>
      <c r="Z6" s="270"/>
      <c r="AA6" s="270"/>
      <c r="AB6" s="270"/>
      <c r="AC6" s="270"/>
      <c r="AD6" s="270"/>
      <c r="AE6" s="10"/>
    </row>
    <row r="7" customFormat="false" ht="15" hidden="false" customHeight="true" outlineLevel="0" collapsed="false">
      <c r="A7" s="10"/>
      <c r="B7" s="267"/>
      <c r="C7" s="267"/>
      <c r="D7" s="271" t="str">
        <f aca="false"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</v>
      </c>
      <c r="E7" s="271"/>
      <c r="F7" s="271"/>
      <c r="G7" s="271"/>
      <c r="H7" s="271"/>
      <c r="I7" s="271"/>
      <c r="J7" s="271"/>
      <c r="K7" s="271"/>
      <c r="L7" s="271"/>
      <c r="M7" s="271"/>
      <c r="N7" s="271"/>
      <c r="O7" s="271"/>
      <c r="P7" s="271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1"/>
      <c r="AC7" s="271"/>
      <c r="AD7" s="271"/>
      <c r="AE7" s="10"/>
    </row>
    <row r="8" customFormat="false" ht="15" hidden="false" customHeight="true" outlineLevel="0" collapsed="false">
      <c r="A8" s="10"/>
      <c r="B8" s="267"/>
      <c r="C8" s="267"/>
      <c r="D8" s="270" t="str">
        <f aca="false"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270"/>
      <c r="F8" s="270"/>
      <c r="G8" s="270"/>
      <c r="H8" s="270"/>
      <c r="I8" s="270"/>
      <c r="J8" s="270"/>
      <c r="K8" s="270"/>
      <c r="L8" s="270"/>
      <c r="M8" s="270"/>
      <c r="N8" s="270"/>
      <c r="O8" s="270"/>
      <c r="P8" s="270"/>
      <c r="Q8" s="270"/>
      <c r="R8" s="270"/>
      <c r="S8" s="270"/>
      <c r="T8" s="270"/>
      <c r="U8" s="270"/>
      <c r="V8" s="270"/>
      <c r="W8" s="270"/>
      <c r="X8" s="270"/>
      <c r="Y8" s="270"/>
      <c r="Z8" s="270"/>
      <c r="AA8" s="270"/>
      <c r="AB8" s="270"/>
      <c r="AC8" s="270"/>
      <c r="AD8" s="270"/>
      <c r="AE8" s="10"/>
    </row>
    <row r="9" customFormat="false" ht="15" hidden="false" customHeight="true" outlineLevel="0" collapsed="false">
      <c r="A9" s="10"/>
      <c r="B9" s="267"/>
      <c r="C9" s="267"/>
      <c r="D9" s="271" t="str">
        <f aca="false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271"/>
      <c r="F9" s="271"/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1"/>
      <c r="R9" s="271"/>
      <c r="S9" s="271"/>
      <c r="T9" s="271"/>
      <c r="U9" s="271"/>
      <c r="V9" s="271"/>
      <c r="W9" s="271"/>
      <c r="X9" s="271"/>
      <c r="Y9" s="271"/>
      <c r="Z9" s="271"/>
      <c r="AA9" s="271"/>
      <c r="AB9" s="271"/>
      <c r="AC9" s="271"/>
      <c r="AD9" s="271"/>
      <c r="AE9" s="10"/>
    </row>
    <row r="10" customFormat="false" ht="15" hidden="false" customHeight="true" outlineLevel="0" collapsed="false">
      <c r="A10" s="10"/>
      <c r="B10" s="267"/>
      <c r="C10" s="267"/>
      <c r="D10" s="270" t="str">
        <f aca="false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270"/>
      <c r="F10" s="270"/>
      <c r="G10" s="270"/>
      <c r="H10" s="270"/>
      <c r="I10" s="270"/>
      <c r="J10" s="270"/>
      <c r="K10" s="270"/>
      <c r="L10" s="270"/>
      <c r="M10" s="270"/>
      <c r="N10" s="270"/>
      <c r="O10" s="270"/>
      <c r="P10" s="270"/>
      <c r="Q10" s="270"/>
      <c r="R10" s="270"/>
      <c r="S10" s="270"/>
      <c r="T10" s="270"/>
      <c r="U10" s="270"/>
      <c r="V10" s="270"/>
      <c r="W10" s="270"/>
      <c r="X10" s="270"/>
      <c r="Y10" s="270"/>
      <c r="Z10" s="270"/>
      <c r="AA10" s="270"/>
      <c r="AB10" s="270"/>
      <c r="AC10" s="270"/>
      <c r="AD10" s="270"/>
      <c r="AE10" s="10"/>
    </row>
    <row r="11" customFormat="false" ht="15" hidden="false" customHeight="true" outlineLevel="0" collapsed="false">
      <c r="A11" s="10"/>
      <c r="B11" s="267"/>
      <c r="C11" s="267"/>
      <c r="D11" s="271" t="str">
        <f aca="true">IFERROR(IF((INDEX('Input Data'!H:H,MATCH("L12",'Input Data'!$C:$C,0))-TODAY())&gt;0,TEXT((INDEX('Input Data'!H:H,MATCH("L12",'Input Data'!$C:$C,0))-TODAY())/365.25,"0.0")&amp;" yrs remaining","⚠ EXPIRED"),"—")</f>
        <v>2.5 yrs remaining</v>
      </c>
      <c r="E11" s="271"/>
      <c r="F11" s="271"/>
      <c r="G11" s="271"/>
      <c r="H11" s="271"/>
      <c r="I11" s="271"/>
      <c r="J11" s="271"/>
      <c r="K11" s="271"/>
      <c r="L11" s="271"/>
      <c r="M11" s="271"/>
      <c r="N11" s="271"/>
      <c r="O11" s="271"/>
      <c r="P11" s="271"/>
      <c r="Q11" s="271"/>
      <c r="R11" s="271"/>
      <c r="S11" s="271"/>
      <c r="T11" s="271"/>
      <c r="U11" s="271"/>
      <c r="V11" s="271"/>
      <c r="W11" s="271"/>
      <c r="X11" s="271"/>
      <c r="Y11" s="271"/>
      <c r="Z11" s="271"/>
      <c r="AA11" s="271"/>
      <c r="AB11" s="271"/>
      <c r="AC11" s="271"/>
      <c r="AD11" s="271"/>
      <c r="AE11" s="10"/>
    </row>
    <row r="12" customFormat="false" ht="15" hidden="false" customHeight="true" outlineLevel="0" collapsed="false">
      <c r="A12" s="10"/>
      <c r="B12" s="267"/>
      <c r="C12" s="267"/>
      <c r="D12" s="270" t="str">
        <f aca="false">""</f>
        <v/>
      </c>
      <c r="E12" s="270"/>
      <c r="F12" s="270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0"/>
      <c r="Y12" s="270"/>
      <c r="Z12" s="270"/>
      <c r="AA12" s="270"/>
      <c r="AB12" s="270"/>
      <c r="AC12" s="270"/>
      <c r="AD12" s="270"/>
      <c r="AE12" s="10"/>
    </row>
    <row r="13" customFormat="false" ht="3.75" hidden="false" customHeight="true" outlineLevel="0" collapsed="false">
      <c r="A13" s="10"/>
      <c r="B13" s="267"/>
      <c r="C13" s="267"/>
      <c r="D13" s="272" t="str">
        <f aca="false">""</f>
        <v/>
      </c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10"/>
    </row>
    <row r="14" customFormat="false" ht="15" hidden="false" customHeight="true" outlineLevel="0" collapsed="false">
      <c r="A14" s="10"/>
      <c r="B14" s="34"/>
      <c r="C14" s="34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</row>
    <row r="15" customFormat="false" ht="19.5" hidden="false" customHeight="true" outlineLevel="0" collapsed="false">
      <c r="A15" s="10"/>
      <c r="B15" s="267" t="s">
        <v>596</v>
      </c>
      <c r="C15" s="268" t="n">
        <f aca="false">SUMIF('Input Data'!B:B,"L11",'Input Data'!F:F)</f>
        <v>355.8</v>
      </c>
      <c r="D15" s="273" t="str">
        <f aca="false">IFERROR(INDEX('Input Data'!D:D,MATCH("1101",'Input Data'!$C:$C,0)),"VACANT")</f>
        <v>MICHAEL FLEGG PTY LTD</v>
      </c>
      <c r="E15" s="273"/>
      <c r="F15" s="273"/>
      <c r="G15" s="273"/>
      <c r="H15" s="273"/>
      <c r="I15" s="273"/>
      <c r="J15" s="273" t="str">
        <f aca="false">IFERROR(INDEX('Input Data'!D:D,MATCH("1102",'Input Data'!$C:$C,0)),"VACANT")</f>
        <v>LEWIS WOOLCOTT</v>
      </c>
      <c r="K15" s="273"/>
      <c r="L15" s="273"/>
      <c r="M15" s="273"/>
      <c r="N15" s="273"/>
      <c r="O15" s="273"/>
      <c r="P15" s="273"/>
      <c r="Q15" s="273"/>
      <c r="R15" s="273"/>
      <c r="S15" s="273"/>
      <c r="T15" s="274" t="str">
        <f aca="false">IFERROR(INDEX('Input Data'!D:D,MATCH("1103",'Input Data'!$C:$C,0)),"VACANT")</f>
        <v>INFERNI SYSTEMS</v>
      </c>
      <c r="U15" s="274"/>
      <c r="V15" s="274"/>
      <c r="W15" s="274"/>
      <c r="X15" s="274"/>
      <c r="Y15" s="274"/>
      <c r="Z15" s="274"/>
      <c r="AA15" s="274"/>
      <c r="AB15" s="274"/>
      <c r="AC15" s="274"/>
      <c r="AD15" s="274"/>
      <c r="AE15" s="10"/>
    </row>
    <row r="16" customFormat="false" ht="15" hidden="false" customHeight="true" outlineLevel="0" collapsed="false">
      <c r="A16" s="10"/>
      <c r="B16" s="267"/>
      <c r="C16" s="267"/>
      <c r="D16" s="275" t="str">
        <f aca="false">"Suite "&amp;"1101"</f>
        <v>Suite 1101</v>
      </c>
      <c r="E16" s="275"/>
      <c r="F16" s="275"/>
      <c r="G16" s="275"/>
      <c r="H16" s="275"/>
      <c r="I16" s="275"/>
      <c r="J16" s="275" t="str">
        <f aca="false">"Suite "&amp;"1102"</f>
        <v>Suite 1102</v>
      </c>
      <c r="K16" s="275"/>
      <c r="L16" s="275"/>
      <c r="M16" s="275"/>
      <c r="N16" s="275"/>
      <c r="O16" s="275"/>
      <c r="P16" s="275"/>
      <c r="Q16" s="275"/>
      <c r="R16" s="275"/>
      <c r="S16" s="275"/>
      <c r="T16" s="276" t="str">
        <f aca="false">"Suite "&amp;"1103"</f>
        <v>Suite 1103</v>
      </c>
      <c r="U16" s="276"/>
      <c r="V16" s="276"/>
      <c r="W16" s="276"/>
      <c r="X16" s="276"/>
      <c r="Y16" s="276"/>
      <c r="Z16" s="276"/>
      <c r="AA16" s="276"/>
      <c r="AB16" s="276"/>
      <c r="AC16" s="276"/>
      <c r="AD16" s="276"/>
      <c r="AE16" s="10"/>
    </row>
    <row r="17" customFormat="false" ht="15" hidden="false" customHeight="true" outlineLevel="0" collapsed="false">
      <c r="A17" s="10"/>
      <c r="B17" s="267"/>
      <c r="C17" s="267"/>
      <c r="D17" s="275" t="str">
        <f aca="false"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275"/>
      <c r="F17" s="275"/>
      <c r="G17" s="275"/>
      <c r="H17" s="275"/>
      <c r="I17" s="275"/>
      <c r="J17" s="275" t="str">
        <f aca="false"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275"/>
      <c r="L17" s="275"/>
      <c r="M17" s="275"/>
      <c r="N17" s="275"/>
      <c r="O17" s="275"/>
      <c r="P17" s="275"/>
      <c r="Q17" s="275"/>
      <c r="R17" s="275"/>
      <c r="S17" s="275"/>
      <c r="T17" s="276" t="str">
        <f aca="false"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276"/>
      <c r="V17" s="276"/>
      <c r="W17" s="276"/>
      <c r="X17" s="276"/>
      <c r="Y17" s="276"/>
      <c r="Z17" s="276"/>
      <c r="AA17" s="276"/>
      <c r="AB17" s="276"/>
      <c r="AC17" s="276"/>
      <c r="AD17" s="276"/>
      <c r="AE17" s="10"/>
    </row>
    <row r="18" customFormat="false" ht="15" hidden="false" customHeight="true" outlineLevel="0" collapsed="false">
      <c r="A18" s="10"/>
      <c r="B18" s="267"/>
      <c r="C18" s="267"/>
      <c r="D18" s="275" t="str">
        <f aca="false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275"/>
      <c r="F18" s="275"/>
      <c r="G18" s="275"/>
      <c r="H18" s="275"/>
      <c r="I18" s="275"/>
      <c r="J18" s="275" t="str">
        <f aca="false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$1,271  |  Incent: $228.80</v>
      </c>
      <c r="K18" s="275"/>
      <c r="L18" s="275"/>
      <c r="M18" s="275"/>
      <c r="N18" s="275"/>
      <c r="O18" s="275"/>
      <c r="P18" s="275"/>
      <c r="Q18" s="275"/>
      <c r="R18" s="275"/>
      <c r="S18" s="275"/>
      <c r="T18" s="276" t="str">
        <f aca="false"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$1,150  |  Incent: $345.00</v>
      </c>
      <c r="U18" s="276"/>
      <c r="V18" s="276"/>
      <c r="W18" s="276"/>
      <c r="X18" s="276"/>
      <c r="Y18" s="276"/>
      <c r="Z18" s="276"/>
      <c r="AA18" s="276"/>
      <c r="AB18" s="276"/>
      <c r="AC18" s="276"/>
      <c r="AD18" s="276"/>
      <c r="AE18" s="10"/>
    </row>
    <row r="19" customFormat="false" ht="15" hidden="false" customHeight="true" outlineLevel="0" collapsed="false">
      <c r="A19" s="10"/>
      <c r="B19" s="267"/>
      <c r="C19" s="267"/>
      <c r="D19" s="275" t="str">
        <f aca="false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275"/>
      <c r="F19" s="275"/>
      <c r="G19" s="275"/>
      <c r="H19" s="275"/>
      <c r="I19" s="275"/>
      <c r="J19" s="275" t="str">
        <f aca="false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$138,730 pa</v>
      </c>
      <c r="K19" s="275"/>
      <c r="L19" s="275"/>
      <c r="M19" s="275"/>
      <c r="N19" s="275"/>
      <c r="O19" s="275"/>
      <c r="P19" s="275"/>
      <c r="Q19" s="275"/>
      <c r="R19" s="275"/>
      <c r="S19" s="275"/>
      <c r="T19" s="276" t="str">
        <f aca="false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$129,042 pa</v>
      </c>
      <c r="U19" s="276"/>
      <c r="V19" s="276"/>
      <c r="W19" s="276"/>
      <c r="X19" s="276"/>
      <c r="Y19" s="276"/>
      <c r="Z19" s="276"/>
      <c r="AA19" s="276"/>
      <c r="AB19" s="276"/>
      <c r="AC19" s="276"/>
      <c r="AD19" s="276"/>
      <c r="AE19" s="10"/>
    </row>
    <row r="20" customFormat="false" ht="15" hidden="false" customHeight="true" outlineLevel="0" collapsed="false">
      <c r="A20" s="10"/>
      <c r="B20" s="267"/>
      <c r="C20" s="267"/>
      <c r="D20" s="275" t="str">
        <f aca="false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275"/>
      <c r="F20" s="275"/>
      <c r="G20" s="275"/>
      <c r="H20" s="275"/>
      <c r="I20" s="275"/>
      <c r="J20" s="275" t="str">
        <f aca="false">IFERROR("Start: "&amp;TEXT(INDEX('Input Data'!G:G,MATCH("1102",'Input Data'!$C:$C,0)),"DD/MM/YY")&amp;"  →  Expiry: "&amp;TEXT(INDEX('Input Data'!H:H,MATCH("1102",'Input Data'!$C:$C,0)),"DD/MM/YY"),"—")</f>
        <v>Start: 15/08/26  →  Expiry: 14/08/28</v>
      </c>
      <c r="K20" s="275"/>
      <c r="L20" s="275"/>
      <c r="M20" s="275"/>
      <c r="N20" s="275"/>
      <c r="O20" s="275"/>
      <c r="P20" s="275"/>
      <c r="Q20" s="275"/>
      <c r="R20" s="275"/>
      <c r="S20" s="275"/>
      <c r="T20" s="277" t="str">
        <f aca="false">IFERROR("Start: "&amp;TEXT(INDEX('Input Data'!G:G,MATCH("1103",'Input Data'!$C:$C,0)),"DD/MM/YY")&amp;"  →  Expiry: "&amp;TEXT(INDEX('Input Data'!H:H,MATCH("1103",'Input Data'!$C:$C,0)),"DD/MM/YY"),"—")</f>
        <v>Start: 15/07/26  →  Expiry: 14/07/29</v>
      </c>
      <c r="U20" s="277"/>
      <c r="V20" s="277"/>
      <c r="W20" s="277"/>
      <c r="X20" s="277"/>
      <c r="Y20" s="277"/>
      <c r="Z20" s="277"/>
      <c r="AA20" s="277"/>
      <c r="AB20" s="277"/>
      <c r="AC20" s="277"/>
      <c r="AD20" s="277"/>
      <c r="AE20" s="10"/>
    </row>
    <row r="21" customFormat="false" ht="15" hidden="false" customHeight="true" outlineLevel="0" collapsed="false">
      <c r="A21" s="10"/>
      <c r="B21" s="267"/>
      <c r="C21" s="267"/>
      <c r="D21" s="275" t="str">
        <f aca="true">IFERROR(IF((INDEX('Input Data'!H:H,MATCH("1101",'Input Data'!$C:$C,0))-TODAY())&gt;0,TEXT((INDEX('Input Data'!H:H,MATCH("1101",'Input Data'!$C:$C,0))-TODAY())/365.25,"0.0")&amp;" yrs remaining","⚠ EXPIRED"),"—")</f>
        <v>0.4 yrs remaining</v>
      </c>
      <c r="E21" s="275"/>
      <c r="F21" s="275"/>
      <c r="G21" s="275"/>
      <c r="H21" s="275"/>
      <c r="I21" s="275"/>
      <c r="J21" s="275" t="str">
        <f aca="true">IFERROR(IF((INDEX('Input Data'!H:H,MATCH("1102",'Input Data'!$C:$C,0))-TODAY())&gt;0,TEXT((INDEX('Input Data'!H:H,MATCH("1102",'Input Data'!$C:$C,0))-TODAY())/365.25,"0.0")&amp;" yrs remaining","⚠ EXPIRED"),"—")</f>
        <v>2.1 yrs remaining</v>
      </c>
      <c r="K21" s="275"/>
      <c r="L21" s="275"/>
      <c r="M21" s="275"/>
      <c r="N21" s="275"/>
      <c r="O21" s="275"/>
      <c r="P21" s="275"/>
      <c r="Q21" s="275"/>
      <c r="R21" s="275"/>
      <c r="S21" s="275"/>
      <c r="T21" s="276" t="str">
        <f aca="true">IFERROR(IF((INDEX('Input Data'!H:H,MATCH("1103",'Input Data'!$C:$C,0))-TODAY())&gt;0,TEXT((INDEX('Input Data'!H:H,MATCH("1103",'Input Data'!$C:$C,0))-TODAY())/365.25,"0.0")&amp;" yrs remaining","⚠ EXPIRED"),"—")</f>
        <v>3.0 yrs remaining</v>
      </c>
      <c r="U21" s="276"/>
      <c r="V21" s="276"/>
      <c r="W21" s="276"/>
      <c r="X21" s="276"/>
      <c r="Y21" s="276"/>
      <c r="Z21" s="276"/>
      <c r="AA21" s="276"/>
      <c r="AB21" s="276"/>
      <c r="AC21" s="276"/>
      <c r="AD21" s="276"/>
      <c r="AE21" s="10"/>
    </row>
    <row r="22" customFormat="false" ht="15" hidden="false" customHeight="true" outlineLevel="0" collapsed="false">
      <c r="A22" s="10"/>
      <c r="B22" s="267"/>
      <c r="C22" s="267"/>
      <c r="D22" s="275" t="str">
        <f aca="false">""</f>
        <v/>
      </c>
      <c r="E22" s="275"/>
      <c r="F22" s="275"/>
      <c r="G22" s="275"/>
      <c r="H22" s="275"/>
      <c r="I22" s="275"/>
      <c r="J22" s="275" t="str">
        <f aca="false">""</f>
        <v/>
      </c>
      <c r="K22" s="275"/>
      <c r="L22" s="275"/>
      <c r="M22" s="275"/>
      <c r="N22" s="275"/>
      <c r="O22" s="275"/>
      <c r="P22" s="275"/>
      <c r="Q22" s="275"/>
      <c r="R22" s="275"/>
      <c r="S22" s="275"/>
      <c r="T22" s="276" t="str">
        <f aca="false">""</f>
        <v/>
      </c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10"/>
    </row>
    <row r="23" customFormat="false" ht="3.75" hidden="false" customHeight="true" outlineLevel="0" collapsed="false">
      <c r="A23" s="10"/>
      <c r="B23" s="267"/>
      <c r="C23" s="267"/>
      <c r="D23" s="278" t="str">
        <f aca="false">""</f>
        <v/>
      </c>
      <c r="E23" s="278"/>
      <c r="F23" s="278"/>
      <c r="G23" s="278"/>
      <c r="H23" s="278"/>
      <c r="I23" s="278"/>
      <c r="J23" s="278" t="str">
        <f aca="false">""</f>
        <v/>
      </c>
      <c r="K23" s="278"/>
      <c r="L23" s="278"/>
      <c r="M23" s="278"/>
      <c r="N23" s="278"/>
      <c r="O23" s="278"/>
      <c r="P23" s="278"/>
      <c r="Q23" s="278"/>
      <c r="R23" s="278"/>
      <c r="S23" s="278"/>
      <c r="T23" s="272" t="str">
        <f aca="false">""</f>
        <v/>
      </c>
      <c r="U23" s="272"/>
      <c r="V23" s="272"/>
      <c r="W23" s="272"/>
      <c r="X23" s="272"/>
      <c r="Y23" s="272"/>
      <c r="Z23" s="272"/>
      <c r="AA23" s="272"/>
      <c r="AB23" s="272"/>
      <c r="AC23" s="272"/>
      <c r="AD23" s="272"/>
      <c r="AE23" s="10"/>
    </row>
    <row r="24" customFormat="false" ht="15" hidden="false" customHeight="true" outlineLevel="0" collapsed="false">
      <c r="A24" s="10"/>
      <c r="B24" s="34"/>
      <c r="C24" s="34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customFormat="false" ht="19.5" hidden="false" customHeight="true" outlineLevel="0" collapsed="false">
      <c r="A25" s="10"/>
      <c r="B25" s="267" t="s">
        <v>597</v>
      </c>
      <c r="C25" s="268" t="n">
        <f aca="false">SUMIF('Input Data'!B:B,"L10",'Input Data'!F:F)</f>
        <v>363.2</v>
      </c>
      <c r="D25" s="279" t="str">
        <f aca="false">IFERROR(INDEX('Input Data'!D:D,MATCH("1001&amp;2",'Input Data'!$C:$C,0)),"VACANT")</f>
        <v>CONNECTUS SERVICES PTY LTD</v>
      </c>
      <c r="E25" s="279"/>
      <c r="F25" s="279"/>
      <c r="G25" s="279"/>
      <c r="H25" s="279"/>
      <c r="I25" s="279"/>
      <c r="J25" s="279"/>
      <c r="K25" s="279"/>
      <c r="L25" s="279"/>
      <c r="M25" s="279"/>
      <c r="N25" s="279"/>
      <c r="O25" s="279"/>
      <c r="P25" s="279"/>
      <c r="Q25" s="279"/>
      <c r="R25" s="279"/>
      <c r="S25" s="279"/>
      <c r="T25" s="279"/>
      <c r="U25" s="279"/>
      <c r="V25" s="279"/>
      <c r="W25" s="279"/>
      <c r="X25" s="279"/>
      <c r="Y25" s="279"/>
      <c r="Z25" s="279"/>
      <c r="AA25" s="279"/>
      <c r="AB25" s="279"/>
      <c r="AC25" s="279"/>
      <c r="AD25" s="279"/>
      <c r="AE25" s="10"/>
    </row>
    <row r="26" customFormat="false" ht="15" hidden="false" customHeight="true" outlineLevel="0" collapsed="false">
      <c r="A26" s="10"/>
      <c r="B26" s="267"/>
      <c r="C26" s="267"/>
      <c r="D26" s="280" t="str">
        <f aca="false">"Suite "&amp;"1001&amp;2"</f>
        <v>Suite 1001&amp;2</v>
      </c>
      <c r="E26" s="280"/>
      <c r="F26" s="280"/>
      <c r="G26" s="280"/>
      <c r="H26" s="280"/>
      <c r="I26" s="280"/>
      <c r="J26" s="280"/>
      <c r="K26" s="280"/>
      <c r="L26" s="280"/>
      <c r="M26" s="280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0"/>
      <c r="AE26" s="10"/>
    </row>
    <row r="27" customFormat="false" ht="15" hidden="false" customHeight="true" outlineLevel="0" collapsed="false">
      <c r="A27" s="10"/>
      <c r="B27" s="267"/>
      <c r="C27" s="267"/>
      <c r="D27" s="280" t="str">
        <f aca="false"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  |  48 car parks</v>
      </c>
      <c r="E27" s="280"/>
      <c r="F27" s="280"/>
      <c r="G27" s="280"/>
      <c r="H27" s="280"/>
      <c r="I27" s="280"/>
      <c r="J27" s="280"/>
      <c r="K27" s="280"/>
      <c r="L27" s="280"/>
      <c r="M27" s="280"/>
      <c r="N27" s="280"/>
      <c r="O27" s="280"/>
      <c r="P27" s="280"/>
      <c r="Q27" s="280"/>
      <c r="R27" s="280"/>
      <c r="S27" s="280"/>
      <c r="T27" s="280"/>
      <c r="U27" s="280"/>
      <c r="V27" s="280"/>
      <c r="W27" s="280"/>
      <c r="X27" s="280"/>
      <c r="Y27" s="280"/>
      <c r="Z27" s="280"/>
      <c r="AA27" s="280"/>
      <c r="AB27" s="280"/>
      <c r="AC27" s="280"/>
      <c r="AD27" s="280"/>
      <c r="AE27" s="10"/>
    </row>
    <row r="28" customFormat="false" ht="15" hidden="false" customHeight="true" outlineLevel="0" collapsed="false">
      <c r="A28" s="10"/>
      <c r="B28" s="267"/>
      <c r="C28" s="267"/>
      <c r="D28" s="280" t="str">
        <f aca="false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280"/>
      <c r="F28" s="280"/>
      <c r="G28" s="280"/>
      <c r="H28" s="280"/>
      <c r="I28" s="280"/>
      <c r="J28" s="280"/>
      <c r="K28" s="280"/>
      <c r="L28" s="280"/>
      <c r="M28" s="280"/>
      <c r="N28" s="280"/>
      <c r="O28" s="280"/>
      <c r="P28" s="280"/>
      <c r="Q28" s="280"/>
      <c r="R28" s="280"/>
      <c r="S28" s="280"/>
      <c r="T28" s="280"/>
      <c r="U28" s="280"/>
      <c r="V28" s="280"/>
      <c r="W28" s="280"/>
      <c r="X28" s="280"/>
      <c r="Y28" s="280"/>
      <c r="Z28" s="280"/>
      <c r="AA28" s="280"/>
      <c r="AB28" s="280"/>
      <c r="AC28" s="280"/>
      <c r="AD28" s="280"/>
      <c r="AE28" s="10"/>
    </row>
    <row r="29" customFormat="false" ht="15" hidden="false" customHeight="true" outlineLevel="0" collapsed="false">
      <c r="A29" s="10"/>
      <c r="B29" s="267"/>
      <c r="C29" s="267"/>
      <c r="D29" s="280" t="str">
        <f aca="false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280"/>
      <c r="F29" s="280"/>
      <c r="G29" s="280"/>
      <c r="H29" s="280"/>
      <c r="I29" s="280"/>
      <c r="J29" s="280"/>
      <c r="K29" s="280"/>
      <c r="L29" s="280"/>
      <c r="M29" s="280"/>
      <c r="N29" s="280"/>
      <c r="O29" s="280"/>
      <c r="P29" s="280"/>
      <c r="Q29" s="280"/>
      <c r="R29" s="280"/>
      <c r="S29" s="280"/>
      <c r="T29" s="280"/>
      <c r="U29" s="280"/>
      <c r="V29" s="280"/>
      <c r="W29" s="280"/>
      <c r="X29" s="280"/>
      <c r="Y29" s="280"/>
      <c r="Z29" s="280"/>
      <c r="AA29" s="280"/>
      <c r="AB29" s="280"/>
      <c r="AC29" s="280"/>
      <c r="AD29" s="280"/>
      <c r="AE29" s="10"/>
    </row>
    <row r="30" customFormat="false" ht="15" hidden="false" customHeight="true" outlineLevel="0" collapsed="false">
      <c r="A30" s="10"/>
      <c r="B30" s="267"/>
      <c r="C30" s="267"/>
      <c r="D30" s="280" t="str">
        <f aca="false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280"/>
      <c r="F30" s="280"/>
      <c r="G30" s="280"/>
      <c r="H30" s="280"/>
      <c r="I30" s="280"/>
      <c r="J30" s="280"/>
      <c r="K30" s="280"/>
      <c r="L30" s="280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280"/>
      <c r="X30" s="280"/>
      <c r="Y30" s="280"/>
      <c r="Z30" s="280"/>
      <c r="AA30" s="280"/>
      <c r="AB30" s="280"/>
      <c r="AC30" s="280"/>
      <c r="AD30" s="280"/>
      <c r="AE30" s="10"/>
    </row>
    <row r="31" customFormat="false" ht="15" hidden="false" customHeight="true" outlineLevel="0" collapsed="false">
      <c r="A31" s="10"/>
      <c r="B31" s="267"/>
      <c r="C31" s="267"/>
      <c r="D31" s="280" t="str">
        <f aca="true">IFERROR(IF((INDEX('Input Data'!H:H,MATCH("1001&amp;2",'Input Data'!$C:$C,0))-TODAY())&gt;0,TEXT((INDEX('Input Data'!H:H,MATCH("1001&amp;2",'Input Data'!$C:$C,0))-TODAY())/365.25,"0.0")&amp;" yrs remaining","⚠ EXPIRED"),"—")</f>
        <v>3.4 yrs remaining</v>
      </c>
      <c r="E31" s="280"/>
      <c r="F31" s="280"/>
      <c r="G31" s="280"/>
      <c r="H31" s="280"/>
      <c r="I31" s="280"/>
      <c r="J31" s="280"/>
      <c r="K31" s="280"/>
      <c r="L31" s="280"/>
      <c r="M31" s="280"/>
      <c r="N31" s="280"/>
      <c r="O31" s="280"/>
      <c r="P31" s="280"/>
      <c r="Q31" s="280"/>
      <c r="R31" s="280"/>
      <c r="S31" s="280"/>
      <c r="T31" s="280"/>
      <c r="U31" s="280"/>
      <c r="V31" s="280"/>
      <c r="W31" s="280"/>
      <c r="X31" s="280"/>
      <c r="Y31" s="280"/>
      <c r="Z31" s="280"/>
      <c r="AA31" s="280"/>
      <c r="AB31" s="280"/>
      <c r="AC31" s="280"/>
      <c r="AD31" s="280"/>
      <c r="AE31" s="10"/>
    </row>
    <row r="32" customFormat="false" ht="15" hidden="false" customHeight="true" outlineLevel="0" collapsed="false">
      <c r="A32" s="10"/>
      <c r="B32" s="267"/>
      <c r="C32" s="267"/>
      <c r="D32" s="280" t="str">
        <f aca="false">""</f>
        <v/>
      </c>
      <c r="E32" s="280"/>
      <c r="F32" s="280"/>
      <c r="G32" s="280"/>
      <c r="H32" s="280"/>
      <c r="I32" s="280"/>
      <c r="J32" s="280"/>
      <c r="K32" s="280"/>
      <c r="L32" s="280"/>
      <c r="M32" s="280"/>
      <c r="N32" s="280"/>
      <c r="O32" s="280"/>
      <c r="P32" s="280"/>
      <c r="Q32" s="280"/>
      <c r="R32" s="280"/>
      <c r="S32" s="280"/>
      <c r="T32" s="280"/>
      <c r="U32" s="280"/>
      <c r="V32" s="280"/>
      <c r="W32" s="280"/>
      <c r="X32" s="280"/>
      <c r="Y32" s="280"/>
      <c r="Z32" s="280"/>
      <c r="AA32" s="280"/>
      <c r="AB32" s="280"/>
      <c r="AC32" s="280"/>
      <c r="AD32" s="280"/>
      <c r="AE32" s="10"/>
    </row>
    <row r="33" customFormat="false" ht="3.75" hidden="false" customHeight="true" outlineLevel="0" collapsed="false">
      <c r="A33" s="10"/>
      <c r="B33" s="267"/>
      <c r="C33" s="267"/>
      <c r="D33" s="278" t="str">
        <f aca="false">""</f>
        <v/>
      </c>
      <c r="E33" s="278"/>
      <c r="F33" s="278"/>
      <c r="G33" s="278"/>
      <c r="H33" s="278"/>
      <c r="I33" s="278"/>
      <c r="J33" s="278"/>
      <c r="K33" s="278"/>
      <c r="L33" s="278"/>
      <c r="M33" s="278"/>
      <c r="N33" s="278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10"/>
    </row>
    <row r="34" customFormat="false" ht="15" hidden="false" customHeight="true" outlineLevel="0" collapsed="false">
      <c r="A34" s="10"/>
      <c r="B34" s="34"/>
      <c r="C34" s="34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customFormat="false" ht="19.5" hidden="false" customHeight="true" outlineLevel="0" collapsed="false">
      <c r="A35" s="10"/>
      <c r="B35" s="267" t="s">
        <v>598</v>
      </c>
      <c r="C35" s="268" t="n">
        <f aca="false">SUMIF('Input Data'!B:B,"L09",'Input Data'!F:F)</f>
        <v>355.8</v>
      </c>
      <c r="D35" s="273" t="str">
        <f aca="false">IFERROR(INDEX('Input Data'!D:D,MATCH("901",'Input Data'!$C:$C,0)),"VACANT")</f>
        <v>AITKEN INVESTMENT MANAGEMENT PTY LTD</v>
      </c>
      <c r="E35" s="273"/>
      <c r="F35" s="273"/>
      <c r="G35" s="273"/>
      <c r="H35" s="273"/>
      <c r="I35" s="273"/>
      <c r="J35" s="281" t="str">
        <f aca="false">IFERROR(INDEX('Input Data'!D:D,MATCH("902&amp;3",'Input Data'!$C:$C,0)),"VACANT")</f>
        <v>CAPITAL E MARKETING AND EVENTS PTY LTD</v>
      </c>
      <c r="K35" s="281"/>
      <c r="L35" s="281"/>
      <c r="M35" s="281"/>
      <c r="N35" s="281"/>
      <c r="O35" s="281"/>
      <c r="P35" s="281"/>
      <c r="Q35" s="281"/>
      <c r="R35" s="281"/>
      <c r="S35" s="281"/>
      <c r="T35" s="281"/>
      <c r="U35" s="281"/>
      <c r="V35" s="281"/>
      <c r="W35" s="281"/>
      <c r="X35" s="281"/>
      <c r="Y35" s="281"/>
      <c r="Z35" s="281"/>
      <c r="AA35" s="281"/>
      <c r="AB35" s="281"/>
      <c r="AC35" s="281"/>
      <c r="AD35" s="281"/>
      <c r="AE35" s="10"/>
    </row>
    <row r="36" customFormat="false" ht="15" hidden="false" customHeight="true" outlineLevel="0" collapsed="false">
      <c r="A36" s="10"/>
      <c r="B36" s="267"/>
      <c r="C36" s="267"/>
      <c r="D36" s="275" t="str">
        <f aca="false">"Suite "&amp;"901"</f>
        <v>Suite 901</v>
      </c>
      <c r="E36" s="275"/>
      <c r="F36" s="275"/>
      <c r="G36" s="275"/>
      <c r="H36" s="275"/>
      <c r="I36" s="275"/>
      <c r="J36" s="282" t="str">
        <f aca="false">"Suite "&amp;"902&amp;3"</f>
        <v>Suite 902&amp;3</v>
      </c>
      <c r="K36" s="282"/>
      <c r="L36" s="282"/>
      <c r="M36" s="282"/>
      <c r="N36" s="282"/>
      <c r="O36" s="282"/>
      <c r="P36" s="282"/>
      <c r="Q36" s="282"/>
      <c r="R36" s="282"/>
      <c r="S36" s="282"/>
      <c r="T36" s="282"/>
      <c r="U36" s="282"/>
      <c r="V36" s="282"/>
      <c r="W36" s="282"/>
      <c r="X36" s="282"/>
      <c r="Y36" s="282"/>
      <c r="Z36" s="282"/>
      <c r="AA36" s="282"/>
      <c r="AB36" s="282"/>
      <c r="AC36" s="282"/>
      <c r="AD36" s="282"/>
      <c r="AE36" s="10"/>
    </row>
    <row r="37" customFormat="false" ht="15" hidden="false" customHeight="true" outlineLevel="0" collapsed="false">
      <c r="A37" s="10"/>
      <c r="B37" s="267"/>
      <c r="C37" s="267"/>
      <c r="D37" s="275" t="str">
        <f aca="false"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275"/>
      <c r="F37" s="275"/>
      <c r="G37" s="275"/>
      <c r="H37" s="275"/>
      <c r="I37" s="275"/>
      <c r="J37" s="282" t="str">
        <f aca="false"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282"/>
      <c r="L37" s="282"/>
      <c r="M37" s="282"/>
      <c r="N37" s="282"/>
      <c r="O37" s="282"/>
      <c r="P37" s="282"/>
      <c r="Q37" s="282"/>
      <c r="R37" s="282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10"/>
    </row>
    <row r="38" customFormat="false" ht="15" hidden="false" customHeight="true" outlineLevel="0" collapsed="false">
      <c r="A38" s="10"/>
      <c r="B38" s="267"/>
      <c r="C38" s="267"/>
      <c r="D38" s="275" t="str">
        <f aca="false"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$1,339  |  Incent: $310.50</v>
      </c>
      <c r="E38" s="275"/>
      <c r="F38" s="275"/>
      <c r="G38" s="275"/>
      <c r="H38" s="275"/>
      <c r="I38" s="275"/>
      <c r="J38" s="282" t="str">
        <f aca="false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282"/>
      <c r="L38" s="282"/>
      <c r="M38" s="282"/>
      <c r="N38" s="282"/>
      <c r="O38" s="282"/>
      <c r="P38" s="282"/>
      <c r="Q38" s="282"/>
      <c r="R38" s="282"/>
      <c r="S38" s="282"/>
      <c r="T38" s="282"/>
      <c r="U38" s="282"/>
      <c r="V38" s="282"/>
      <c r="W38" s="282"/>
      <c r="X38" s="282"/>
      <c r="Y38" s="282"/>
      <c r="Z38" s="282"/>
      <c r="AA38" s="282"/>
      <c r="AB38" s="282"/>
      <c r="AC38" s="282"/>
      <c r="AD38" s="282"/>
      <c r="AE38" s="10"/>
    </row>
    <row r="39" customFormat="false" ht="15" hidden="false" customHeight="true" outlineLevel="0" collapsed="false">
      <c r="A39" s="10"/>
      <c r="B39" s="267"/>
      <c r="C39" s="267"/>
      <c r="D39" s="275" t="str">
        <f aca="false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$54,298 pa</v>
      </c>
      <c r="E39" s="275"/>
      <c r="F39" s="275"/>
      <c r="G39" s="275"/>
      <c r="H39" s="275"/>
      <c r="I39" s="275"/>
      <c r="J39" s="282" t="str">
        <f aca="false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282"/>
      <c r="L39" s="282"/>
      <c r="M39" s="282"/>
      <c r="N39" s="282"/>
      <c r="O39" s="282"/>
      <c r="P39" s="282"/>
      <c r="Q39" s="282"/>
      <c r="R39" s="282"/>
      <c r="S39" s="282"/>
      <c r="T39" s="282"/>
      <c r="U39" s="282"/>
      <c r="V39" s="282"/>
      <c r="W39" s="282"/>
      <c r="X39" s="282"/>
      <c r="Y39" s="282"/>
      <c r="Z39" s="282"/>
      <c r="AA39" s="282"/>
      <c r="AB39" s="282"/>
      <c r="AC39" s="282"/>
      <c r="AD39" s="282"/>
      <c r="AE39" s="10"/>
    </row>
    <row r="40" customFormat="false" ht="15" hidden="false" customHeight="true" outlineLevel="0" collapsed="false">
      <c r="A40" s="10"/>
      <c r="B40" s="267"/>
      <c r="C40" s="267"/>
      <c r="D40" s="275" t="str">
        <f aca="false">IFERROR("Start: "&amp;TEXT(INDEX('Input Data'!G:G,MATCH("901",'Input Data'!$C:$C,0)),"DD/MM/YY")&amp;"  →  Expiry: "&amp;TEXT(INDEX('Input Data'!H:H,MATCH("901",'Input Data'!$C:$C,0)),"DD/MM/YY"),"—")</f>
        <v>Start: 15/06/25  →  Expiry: 14/06/28</v>
      </c>
      <c r="E40" s="275"/>
      <c r="F40" s="275"/>
      <c r="G40" s="275"/>
      <c r="H40" s="275"/>
      <c r="I40" s="275"/>
      <c r="J40" s="282" t="str">
        <f aca="false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282"/>
      <c r="L40" s="282"/>
      <c r="M40" s="282"/>
      <c r="N40" s="282"/>
      <c r="O40" s="282"/>
      <c r="P40" s="282"/>
      <c r="Q40" s="282"/>
      <c r="R40" s="282"/>
      <c r="S40" s="282"/>
      <c r="T40" s="282"/>
      <c r="U40" s="282"/>
      <c r="V40" s="282"/>
      <c r="W40" s="282"/>
      <c r="X40" s="282"/>
      <c r="Y40" s="282"/>
      <c r="Z40" s="282"/>
      <c r="AA40" s="282"/>
      <c r="AB40" s="282"/>
      <c r="AC40" s="282"/>
      <c r="AD40" s="282"/>
      <c r="AE40" s="10"/>
    </row>
    <row r="41" customFormat="false" ht="15" hidden="false" customHeight="true" outlineLevel="0" collapsed="false">
      <c r="A41" s="10"/>
      <c r="B41" s="267"/>
      <c r="C41" s="267"/>
      <c r="D41" s="275" t="str">
        <f aca="true">IFERROR(IF((INDEX('Input Data'!H:H,MATCH("901",'Input Data'!$C:$C,0))-TODAY())&gt;0,TEXT((INDEX('Input Data'!H:H,MATCH("901",'Input Data'!$C:$C,0))-TODAY())/365.25,"0.0")&amp;" yrs remaining","⚠ EXPIRED"),"—")</f>
        <v>2.0 yrs remaining</v>
      </c>
      <c r="E41" s="275"/>
      <c r="F41" s="275"/>
      <c r="G41" s="275"/>
      <c r="H41" s="275"/>
      <c r="I41" s="275"/>
      <c r="J41" s="282" t="str">
        <f aca="true">IFERROR(IF((INDEX('Input Data'!H:H,MATCH("902&amp;3",'Input Data'!$C:$C,0))-TODAY())&gt;0,TEXT((INDEX('Input Data'!H:H,MATCH("902&amp;3",'Input Data'!$C:$C,0))-TODAY())/365.25,"0.0")&amp;" yrs remaining","⚠ EXPIRED"),"—")</f>
        <v>3.8 yrs remaining</v>
      </c>
      <c r="K41" s="282"/>
      <c r="L41" s="282"/>
      <c r="M41" s="282"/>
      <c r="N41" s="282"/>
      <c r="O41" s="282"/>
      <c r="P41" s="282"/>
      <c r="Q41" s="282"/>
      <c r="R41" s="282"/>
      <c r="S41" s="282"/>
      <c r="T41" s="282"/>
      <c r="U41" s="282"/>
      <c r="V41" s="282"/>
      <c r="W41" s="282"/>
      <c r="X41" s="282"/>
      <c r="Y41" s="282"/>
      <c r="Z41" s="282"/>
      <c r="AA41" s="282"/>
      <c r="AB41" s="282"/>
      <c r="AC41" s="282"/>
      <c r="AD41" s="282"/>
      <c r="AE41" s="10"/>
    </row>
    <row r="42" customFormat="false" ht="15" hidden="false" customHeight="true" outlineLevel="0" collapsed="false">
      <c r="A42" s="10"/>
      <c r="B42" s="267"/>
      <c r="C42" s="267"/>
      <c r="D42" s="275" t="str">
        <f aca="false">""</f>
        <v/>
      </c>
      <c r="E42" s="275"/>
      <c r="F42" s="275"/>
      <c r="G42" s="275"/>
      <c r="H42" s="275"/>
      <c r="I42" s="275"/>
      <c r="J42" s="282" t="str">
        <f aca="false">""</f>
        <v/>
      </c>
      <c r="K42" s="282"/>
      <c r="L42" s="282"/>
      <c r="M42" s="282"/>
      <c r="N42" s="282"/>
      <c r="O42" s="282"/>
      <c r="P42" s="282"/>
      <c r="Q42" s="282"/>
      <c r="R42" s="282"/>
      <c r="S42" s="282"/>
      <c r="T42" s="282"/>
      <c r="U42" s="282"/>
      <c r="V42" s="282"/>
      <c r="W42" s="282"/>
      <c r="X42" s="282"/>
      <c r="Y42" s="282"/>
      <c r="Z42" s="282"/>
      <c r="AA42" s="282"/>
      <c r="AB42" s="282"/>
      <c r="AC42" s="282"/>
      <c r="AD42" s="282"/>
      <c r="AE42" s="10"/>
    </row>
    <row r="43" customFormat="false" ht="3.75" hidden="false" customHeight="true" outlineLevel="0" collapsed="false">
      <c r="A43" s="10"/>
      <c r="B43" s="267"/>
      <c r="C43" s="267"/>
      <c r="D43" s="278" t="str">
        <f aca="false">""</f>
        <v/>
      </c>
      <c r="E43" s="278"/>
      <c r="F43" s="278"/>
      <c r="G43" s="278"/>
      <c r="H43" s="278"/>
      <c r="I43" s="278"/>
      <c r="J43" s="278" t="str">
        <f aca="false">""</f>
        <v/>
      </c>
      <c r="K43" s="278"/>
      <c r="L43" s="278"/>
      <c r="M43" s="278"/>
      <c r="N43" s="278"/>
      <c r="O43" s="278"/>
      <c r="P43" s="278"/>
      <c r="Q43" s="278"/>
      <c r="R43" s="278"/>
      <c r="S43" s="278"/>
      <c r="T43" s="278"/>
      <c r="U43" s="278"/>
      <c r="V43" s="278"/>
      <c r="W43" s="278"/>
      <c r="X43" s="278"/>
      <c r="Y43" s="278"/>
      <c r="Z43" s="278"/>
      <c r="AA43" s="278"/>
      <c r="AB43" s="278"/>
      <c r="AC43" s="278"/>
      <c r="AD43" s="278"/>
      <c r="AE43" s="10"/>
    </row>
    <row r="44" customFormat="false" ht="15" hidden="false" customHeight="true" outlineLevel="0" collapsed="false">
      <c r="A44" s="10"/>
      <c r="B44" s="34"/>
      <c r="C44" s="34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</row>
    <row r="45" customFormat="false" ht="19.5" hidden="false" customHeight="true" outlineLevel="0" collapsed="false">
      <c r="A45" s="10"/>
      <c r="B45" s="267" t="s">
        <v>599</v>
      </c>
      <c r="C45" s="268" t="n">
        <f aca="false">SUMIF('Input Data'!B:B,"L08",'Input Data'!F:F)</f>
        <v>360.5</v>
      </c>
      <c r="D45" s="281" t="str">
        <f aca="false">IFERROR(INDEX('Input Data'!D:D,MATCH("801",'Input Data'!$C:$C,0)),"VACANT")</f>
        <v>ARKANCE AUSTRALIA PTY LTD</v>
      </c>
      <c r="E45" s="281"/>
      <c r="F45" s="281"/>
      <c r="G45" s="281"/>
      <c r="H45" s="281"/>
      <c r="I45" s="281"/>
      <c r="J45" s="281"/>
      <c r="K45" s="281"/>
      <c r="L45" s="281"/>
      <c r="M45" s="281"/>
      <c r="N45" s="281"/>
      <c r="O45" s="281"/>
      <c r="P45" s="281"/>
      <c r="Q45" s="281"/>
      <c r="R45" s="281"/>
      <c r="S45" s="281"/>
      <c r="T45" s="281"/>
      <c r="U45" s="283" t="str">
        <f aca="false">IFERROR(INDEX('Input Data'!D:D,MATCH("802",'Input Data'!$C:$C,0)),"VACANT")</f>
        <v>HILLIARD &amp; BERRY</v>
      </c>
      <c r="V45" s="283"/>
      <c r="W45" s="283"/>
      <c r="X45" s="283"/>
      <c r="Y45" s="283"/>
      <c r="Z45" s="283"/>
      <c r="AA45" s="283"/>
      <c r="AB45" s="283"/>
      <c r="AC45" s="283"/>
      <c r="AD45" s="283"/>
      <c r="AE45" s="10"/>
    </row>
    <row r="46" customFormat="false" ht="15" hidden="false" customHeight="true" outlineLevel="0" collapsed="false">
      <c r="A46" s="10"/>
      <c r="B46" s="267"/>
      <c r="C46" s="267"/>
      <c r="D46" s="282" t="str">
        <f aca="false">"Suite "&amp;"801"</f>
        <v>Suite 801</v>
      </c>
      <c r="E46" s="282"/>
      <c r="F46" s="282"/>
      <c r="G46" s="282"/>
      <c r="H46" s="282"/>
      <c r="I46" s="282"/>
      <c r="J46" s="282"/>
      <c r="K46" s="282"/>
      <c r="L46" s="282"/>
      <c r="M46" s="282"/>
      <c r="N46" s="282"/>
      <c r="O46" s="282"/>
      <c r="P46" s="282"/>
      <c r="Q46" s="282"/>
      <c r="R46" s="282"/>
      <c r="S46" s="282"/>
      <c r="T46" s="282"/>
      <c r="U46" s="284" t="str">
        <f aca="false">"Suite "&amp;"802"</f>
        <v>Suite 802</v>
      </c>
      <c r="V46" s="284"/>
      <c r="W46" s="284"/>
      <c r="X46" s="284"/>
      <c r="Y46" s="284"/>
      <c r="Z46" s="284"/>
      <c r="AA46" s="284"/>
      <c r="AB46" s="284"/>
      <c r="AC46" s="284"/>
      <c r="AD46" s="284"/>
      <c r="AE46" s="10"/>
    </row>
    <row r="47" customFormat="false" ht="15" hidden="false" customHeight="true" outlineLevel="0" collapsed="false">
      <c r="A47" s="10"/>
      <c r="B47" s="267"/>
      <c r="C47" s="267"/>
      <c r="D47" s="282" t="str">
        <f aca="false"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282"/>
      <c r="F47" s="282"/>
      <c r="G47" s="282"/>
      <c r="H47" s="282"/>
      <c r="I47" s="282"/>
      <c r="J47" s="282"/>
      <c r="K47" s="282"/>
      <c r="L47" s="282"/>
      <c r="M47" s="282"/>
      <c r="N47" s="282"/>
      <c r="O47" s="282"/>
      <c r="P47" s="282"/>
      <c r="Q47" s="282"/>
      <c r="R47" s="282"/>
      <c r="S47" s="282"/>
      <c r="T47" s="282"/>
      <c r="U47" s="284" t="str">
        <f aca="false"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284"/>
      <c r="W47" s="284"/>
      <c r="X47" s="284"/>
      <c r="Y47" s="284"/>
      <c r="Z47" s="284"/>
      <c r="AA47" s="284"/>
      <c r="AB47" s="284"/>
      <c r="AC47" s="284"/>
      <c r="AD47" s="284"/>
      <c r="AE47" s="10"/>
    </row>
    <row r="48" customFormat="false" ht="15" hidden="false" customHeight="true" outlineLevel="0" collapsed="false">
      <c r="A48" s="10"/>
      <c r="B48" s="267"/>
      <c r="C48" s="267"/>
      <c r="D48" s="282" t="str">
        <f aca="false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282"/>
      <c r="F48" s="282"/>
      <c r="G48" s="282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82"/>
      <c r="U48" s="284" t="str">
        <f aca="false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284"/>
      <c r="W48" s="284"/>
      <c r="X48" s="284"/>
      <c r="Y48" s="284"/>
      <c r="Z48" s="284"/>
      <c r="AA48" s="284"/>
      <c r="AB48" s="284"/>
      <c r="AC48" s="284"/>
      <c r="AD48" s="284"/>
      <c r="AE48" s="10"/>
    </row>
    <row r="49" customFormat="false" ht="15" hidden="false" customHeight="true" outlineLevel="0" collapsed="false">
      <c r="A49" s="10"/>
      <c r="B49" s="267"/>
      <c r="C49" s="267"/>
      <c r="D49" s="282" t="str">
        <f aca="false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282"/>
      <c r="F49" s="282"/>
      <c r="G49" s="282"/>
      <c r="H49" s="282"/>
      <c r="I49" s="282"/>
      <c r="J49" s="282"/>
      <c r="K49" s="282"/>
      <c r="L49" s="282"/>
      <c r="M49" s="282"/>
      <c r="N49" s="282"/>
      <c r="O49" s="282"/>
      <c r="P49" s="282"/>
      <c r="Q49" s="282"/>
      <c r="R49" s="282"/>
      <c r="S49" s="282"/>
      <c r="T49" s="282"/>
      <c r="U49" s="284" t="str">
        <f aca="false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284"/>
      <c r="W49" s="284"/>
      <c r="X49" s="284"/>
      <c r="Y49" s="284"/>
      <c r="Z49" s="284"/>
      <c r="AA49" s="284"/>
      <c r="AB49" s="284"/>
      <c r="AC49" s="284"/>
      <c r="AD49" s="284"/>
      <c r="AE49" s="10"/>
    </row>
    <row r="50" customFormat="false" ht="15" hidden="false" customHeight="true" outlineLevel="0" collapsed="false">
      <c r="A50" s="10"/>
      <c r="B50" s="267"/>
      <c r="C50" s="267"/>
      <c r="D50" s="282" t="str">
        <f aca="false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282"/>
      <c r="F50" s="282"/>
      <c r="G50" s="282"/>
      <c r="H50" s="282"/>
      <c r="I50" s="282"/>
      <c r="J50" s="282"/>
      <c r="K50" s="282"/>
      <c r="L50" s="282"/>
      <c r="M50" s="282"/>
      <c r="N50" s="282"/>
      <c r="O50" s="282"/>
      <c r="P50" s="282"/>
      <c r="Q50" s="282"/>
      <c r="R50" s="282"/>
      <c r="S50" s="282"/>
      <c r="T50" s="282"/>
      <c r="U50" s="284" t="str">
        <f aca="false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284"/>
      <c r="W50" s="284"/>
      <c r="X50" s="284"/>
      <c r="Y50" s="284"/>
      <c r="Z50" s="284"/>
      <c r="AA50" s="284"/>
      <c r="AB50" s="284"/>
      <c r="AC50" s="284"/>
      <c r="AD50" s="284"/>
      <c r="AE50" s="10"/>
    </row>
    <row r="51" customFormat="false" ht="15" hidden="false" customHeight="true" outlineLevel="0" collapsed="false">
      <c r="A51" s="10"/>
      <c r="B51" s="267"/>
      <c r="C51" s="267"/>
      <c r="D51" s="282" t="str">
        <f aca="true">IFERROR(IF((INDEX('Input Data'!H:H,MATCH("801",'Input Data'!$C:$C,0))-TODAY())&gt;0,TEXT((INDEX('Input Data'!H:H,MATCH("801",'Input Data'!$C:$C,0))-TODAY())/365.25,"0.0")&amp;" yrs remaining","⚠ EXPIRED"),"—")</f>
        <v>4.3 yrs remaining</v>
      </c>
      <c r="E51" s="282"/>
      <c r="F51" s="282"/>
      <c r="G51" s="282"/>
      <c r="H51" s="282"/>
      <c r="I51" s="282"/>
      <c r="J51" s="282"/>
      <c r="K51" s="282"/>
      <c r="L51" s="282"/>
      <c r="M51" s="282"/>
      <c r="N51" s="282"/>
      <c r="O51" s="282"/>
      <c r="P51" s="282"/>
      <c r="Q51" s="282"/>
      <c r="R51" s="282"/>
      <c r="S51" s="282"/>
      <c r="T51" s="282"/>
      <c r="U51" s="284" t="str">
        <f aca="true">IFERROR(IF((INDEX('Input Data'!H:H,MATCH("802",'Input Data'!$C:$C,0))-TODAY())&gt;0,TEXT((INDEX('Input Data'!H:H,MATCH("802",'Input Data'!$C:$C,0))-TODAY())/365.25,"0.0")&amp;" yrs remaining","⚠ EXPIRED"),"—")</f>
        <v>2.1 yrs remaining</v>
      </c>
      <c r="V51" s="284"/>
      <c r="W51" s="284"/>
      <c r="X51" s="284"/>
      <c r="Y51" s="284"/>
      <c r="Z51" s="284"/>
      <c r="AA51" s="284"/>
      <c r="AB51" s="284"/>
      <c r="AC51" s="284"/>
      <c r="AD51" s="284"/>
      <c r="AE51" s="10"/>
    </row>
    <row r="52" customFormat="false" ht="15" hidden="false" customHeight="true" outlineLevel="0" collapsed="false">
      <c r="A52" s="10"/>
      <c r="B52" s="267"/>
      <c r="C52" s="267"/>
      <c r="D52" s="282" t="str">
        <f aca="false">""</f>
        <v/>
      </c>
      <c r="E52" s="282"/>
      <c r="F52" s="282"/>
      <c r="G52" s="282"/>
      <c r="H52" s="282"/>
      <c r="I52" s="282"/>
      <c r="J52" s="282"/>
      <c r="K52" s="282"/>
      <c r="L52" s="282"/>
      <c r="M52" s="282"/>
      <c r="N52" s="282"/>
      <c r="O52" s="282"/>
      <c r="P52" s="282"/>
      <c r="Q52" s="282"/>
      <c r="R52" s="282"/>
      <c r="S52" s="282"/>
      <c r="T52" s="282"/>
      <c r="U52" s="284" t="str">
        <f aca="false">""</f>
        <v/>
      </c>
      <c r="V52" s="284"/>
      <c r="W52" s="284"/>
      <c r="X52" s="284"/>
      <c r="Y52" s="284"/>
      <c r="Z52" s="284"/>
      <c r="AA52" s="284"/>
      <c r="AB52" s="284"/>
      <c r="AC52" s="284"/>
      <c r="AD52" s="284"/>
      <c r="AE52" s="10"/>
    </row>
    <row r="53" customFormat="false" ht="3.75" hidden="false" customHeight="true" outlineLevel="0" collapsed="false">
      <c r="A53" s="10"/>
      <c r="B53" s="267"/>
      <c r="C53" s="267"/>
      <c r="D53" s="278" t="str">
        <f aca="false">""</f>
        <v/>
      </c>
      <c r="E53" s="278"/>
      <c r="F53" s="278"/>
      <c r="G53" s="278"/>
      <c r="H53" s="278"/>
      <c r="I53" s="278"/>
      <c r="J53" s="278"/>
      <c r="K53" s="278"/>
      <c r="L53" s="278"/>
      <c r="M53" s="278"/>
      <c r="N53" s="278"/>
      <c r="O53" s="278"/>
      <c r="P53" s="278"/>
      <c r="Q53" s="278"/>
      <c r="R53" s="278"/>
      <c r="S53" s="278"/>
      <c r="T53" s="278"/>
      <c r="U53" s="278" t="str">
        <f aca="false">""</f>
        <v/>
      </c>
      <c r="V53" s="278"/>
      <c r="W53" s="278"/>
      <c r="X53" s="278"/>
      <c r="Y53" s="278"/>
      <c r="Z53" s="278"/>
      <c r="AA53" s="278"/>
      <c r="AB53" s="278"/>
      <c r="AC53" s="278"/>
      <c r="AD53" s="278"/>
      <c r="AE53" s="10"/>
    </row>
    <row r="54" customFormat="false" ht="15" hidden="false" customHeight="true" outlineLevel="0" collapsed="false">
      <c r="A54" s="10"/>
      <c r="B54" s="34"/>
      <c r="C54" s="34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 customFormat="false" ht="19.5" hidden="false" customHeight="true" outlineLevel="0" collapsed="false">
      <c r="A55" s="10"/>
      <c r="B55" s="267" t="s">
        <v>600</v>
      </c>
      <c r="C55" s="268" t="n">
        <f aca="false">SUMIF('Input Data'!B:B,"L07",'Input Data'!F:F)</f>
        <v>374.4</v>
      </c>
      <c r="D55" s="285" t="str">
        <f aca="false">IFERROR(INDEX('Input Data'!D:D,MATCH("701",'Input Data'!$C:$C,0)),"VACANT")</f>
        <v>PINPOINT TALENT PTY LTD</v>
      </c>
      <c r="E55" s="285"/>
      <c r="F55" s="285"/>
      <c r="G55" s="285"/>
      <c r="H55" s="285"/>
      <c r="I55" s="285"/>
      <c r="J55" s="285"/>
      <c r="K55" s="285"/>
      <c r="L55" s="285"/>
      <c r="M55" s="285"/>
      <c r="N55" s="285"/>
      <c r="O55" s="285"/>
      <c r="P55" s="285"/>
      <c r="Q55" s="285"/>
      <c r="R55" s="285"/>
      <c r="S55" s="283" t="str">
        <f aca="false">IFERROR(INDEX('Input Data'!D:D,MATCH("702",'Input Data'!$C:$C,0)),"VACANT")</f>
        <v>SATELLITE OFFICE PTY LTD</v>
      </c>
      <c r="T55" s="283"/>
      <c r="U55" s="283"/>
      <c r="V55" s="283"/>
      <c r="W55" s="283"/>
      <c r="X55" s="283"/>
      <c r="Y55" s="283"/>
      <c r="Z55" s="283"/>
      <c r="AA55" s="283"/>
      <c r="AB55" s="283"/>
      <c r="AC55" s="283"/>
      <c r="AD55" s="283"/>
      <c r="AE55" s="10"/>
    </row>
    <row r="56" customFormat="false" ht="15" hidden="false" customHeight="true" outlineLevel="0" collapsed="false">
      <c r="A56" s="10"/>
      <c r="B56" s="267"/>
      <c r="C56" s="267"/>
      <c r="D56" s="286" t="str">
        <f aca="false">"Suite "&amp;"701"</f>
        <v>Suite 701</v>
      </c>
      <c r="E56" s="286"/>
      <c r="F56" s="286"/>
      <c r="G56" s="286"/>
      <c r="H56" s="286"/>
      <c r="I56" s="286"/>
      <c r="J56" s="286"/>
      <c r="K56" s="286"/>
      <c r="L56" s="286"/>
      <c r="M56" s="286"/>
      <c r="N56" s="286"/>
      <c r="O56" s="286"/>
      <c r="P56" s="286"/>
      <c r="Q56" s="286"/>
      <c r="R56" s="286"/>
      <c r="S56" s="284" t="str">
        <f aca="false">"Suite "&amp;"702"</f>
        <v>Suite 702</v>
      </c>
      <c r="T56" s="284"/>
      <c r="U56" s="284"/>
      <c r="V56" s="284"/>
      <c r="W56" s="284"/>
      <c r="X56" s="284"/>
      <c r="Y56" s="284"/>
      <c r="Z56" s="284"/>
      <c r="AA56" s="284"/>
      <c r="AB56" s="284"/>
      <c r="AC56" s="284"/>
      <c r="AD56" s="284"/>
      <c r="AE56" s="10"/>
    </row>
    <row r="57" customFormat="false" ht="15" hidden="false" customHeight="true" outlineLevel="0" collapsed="false">
      <c r="A57" s="10"/>
      <c r="B57" s="267"/>
      <c r="C57" s="267"/>
      <c r="D57" s="286" t="str">
        <f aca="false"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286"/>
      <c r="F57" s="286"/>
      <c r="G57" s="286"/>
      <c r="H57" s="286"/>
      <c r="I57" s="286"/>
      <c r="J57" s="286"/>
      <c r="K57" s="286"/>
      <c r="L57" s="286"/>
      <c r="M57" s="286"/>
      <c r="N57" s="286"/>
      <c r="O57" s="286"/>
      <c r="P57" s="286"/>
      <c r="Q57" s="286"/>
      <c r="R57" s="286"/>
      <c r="S57" s="284" t="str">
        <f aca="false"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  |  24 car parks</v>
      </c>
      <c r="T57" s="284"/>
      <c r="U57" s="284"/>
      <c r="V57" s="284"/>
      <c r="W57" s="284"/>
      <c r="X57" s="284"/>
      <c r="Y57" s="284"/>
      <c r="Z57" s="284"/>
      <c r="AA57" s="284"/>
      <c r="AB57" s="284"/>
      <c r="AC57" s="284"/>
      <c r="AD57" s="284"/>
      <c r="AE57" s="10"/>
    </row>
    <row r="58" customFormat="false" ht="15" hidden="false" customHeight="true" outlineLevel="0" collapsed="false">
      <c r="A58" s="10"/>
      <c r="B58" s="267"/>
      <c r="C58" s="267"/>
      <c r="D58" s="286" t="str">
        <f aca="false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286"/>
      <c r="F58" s="286"/>
      <c r="G58" s="286"/>
      <c r="H58" s="286"/>
      <c r="I58" s="286"/>
      <c r="J58" s="286"/>
      <c r="K58" s="286"/>
      <c r="L58" s="286"/>
      <c r="M58" s="286"/>
      <c r="N58" s="286"/>
      <c r="O58" s="286"/>
      <c r="P58" s="286"/>
      <c r="Q58" s="286"/>
      <c r="R58" s="286"/>
      <c r="S58" s="284" t="str">
        <f aca="false"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$1,055  |  Incent: $245.65</v>
      </c>
      <c r="T58" s="284"/>
      <c r="U58" s="284"/>
      <c r="V58" s="284"/>
      <c r="W58" s="284"/>
      <c r="X58" s="284"/>
      <c r="Y58" s="284"/>
      <c r="Z58" s="284"/>
      <c r="AA58" s="284"/>
      <c r="AB58" s="284"/>
      <c r="AC58" s="284"/>
      <c r="AD58" s="284"/>
      <c r="AE58" s="10"/>
    </row>
    <row r="59" customFormat="false" ht="15" hidden="false" customHeight="true" outlineLevel="0" collapsed="false">
      <c r="A59" s="10"/>
      <c r="B59" s="267"/>
      <c r="C59" s="267"/>
      <c r="D59" s="286" t="str">
        <f aca="false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286"/>
      <c r="F59" s="286"/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4" t="str">
        <f aca="false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$132,633 pa</v>
      </c>
      <c r="T59" s="284"/>
      <c r="U59" s="284"/>
      <c r="V59" s="284"/>
      <c r="W59" s="284"/>
      <c r="X59" s="284"/>
      <c r="Y59" s="284"/>
      <c r="Z59" s="284"/>
      <c r="AA59" s="284"/>
      <c r="AB59" s="284"/>
      <c r="AC59" s="284"/>
      <c r="AD59" s="284"/>
      <c r="AE59" s="10"/>
    </row>
    <row r="60" customFormat="false" ht="15" hidden="false" customHeight="true" outlineLevel="0" collapsed="false">
      <c r="A60" s="10"/>
      <c r="B60" s="267"/>
      <c r="C60" s="267"/>
      <c r="D60" s="286" t="str">
        <f aca="false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286"/>
      <c r="F60" s="286"/>
      <c r="G60" s="286"/>
      <c r="H60" s="286"/>
      <c r="I60" s="286"/>
      <c r="J60" s="286"/>
      <c r="K60" s="286"/>
      <c r="L60" s="286"/>
      <c r="M60" s="286"/>
      <c r="N60" s="286"/>
      <c r="O60" s="286"/>
      <c r="P60" s="286"/>
      <c r="Q60" s="286"/>
      <c r="R60" s="286"/>
      <c r="S60" s="284" t="str">
        <f aca="false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284"/>
      <c r="U60" s="284"/>
      <c r="V60" s="284"/>
      <c r="W60" s="284"/>
      <c r="X60" s="284"/>
      <c r="Y60" s="284"/>
      <c r="Z60" s="284"/>
      <c r="AA60" s="284"/>
      <c r="AB60" s="284"/>
      <c r="AC60" s="284"/>
      <c r="AD60" s="284"/>
      <c r="AE60" s="10"/>
    </row>
    <row r="61" customFormat="false" ht="15" hidden="false" customHeight="true" outlineLevel="0" collapsed="false">
      <c r="A61" s="10"/>
      <c r="B61" s="267"/>
      <c r="C61" s="267"/>
      <c r="D61" s="286" t="str">
        <f aca="true">IFERROR(IF((INDEX('Input Data'!H:H,MATCH("701",'Input Data'!$C:$C,0))-TODAY())&gt;0,TEXT((INDEX('Input Data'!H:H,MATCH("701",'Input Data'!$C:$C,0))-TODAY())/365.25,"0.0")&amp;" yrs remaining","⚠ EXPIRED"),"—")</f>
        <v>1.1 yrs remaining</v>
      </c>
      <c r="E61" s="286"/>
      <c r="F61" s="286"/>
      <c r="G61" s="286"/>
      <c r="H61" s="286"/>
      <c r="I61" s="286"/>
      <c r="J61" s="286"/>
      <c r="K61" s="286"/>
      <c r="L61" s="286"/>
      <c r="M61" s="286"/>
      <c r="N61" s="286"/>
      <c r="O61" s="286"/>
      <c r="P61" s="286"/>
      <c r="Q61" s="286"/>
      <c r="R61" s="286"/>
      <c r="S61" s="284" t="str">
        <f aca="true">IFERROR(IF((INDEX('Input Data'!H:H,MATCH("702",'Input Data'!$C:$C,0))-TODAY())&gt;0,TEXT((INDEX('Input Data'!H:H,MATCH("702",'Input Data'!$C:$C,0))-TODAY())/365.25,"0.0")&amp;" yrs remaining","⚠ EXPIRED"),"—")</f>
        <v>1.9 yrs remaining</v>
      </c>
      <c r="T61" s="284"/>
      <c r="U61" s="284"/>
      <c r="V61" s="284"/>
      <c r="W61" s="284"/>
      <c r="X61" s="284"/>
      <c r="Y61" s="284"/>
      <c r="Z61" s="284"/>
      <c r="AA61" s="284"/>
      <c r="AB61" s="284"/>
      <c r="AC61" s="284"/>
      <c r="AD61" s="284"/>
      <c r="AE61" s="10"/>
    </row>
    <row r="62" customFormat="false" ht="15" hidden="false" customHeight="true" outlineLevel="0" collapsed="false">
      <c r="A62" s="10"/>
      <c r="B62" s="267"/>
      <c r="C62" s="267"/>
      <c r="D62" s="286" t="str">
        <f aca="false">""</f>
        <v/>
      </c>
      <c r="E62" s="286"/>
      <c r="F62" s="286"/>
      <c r="G62" s="286"/>
      <c r="H62" s="286"/>
      <c r="I62" s="286"/>
      <c r="J62" s="286"/>
      <c r="K62" s="286"/>
      <c r="L62" s="286"/>
      <c r="M62" s="286"/>
      <c r="N62" s="286"/>
      <c r="O62" s="286"/>
      <c r="P62" s="286"/>
      <c r="Q62" s="286"/>
      <c r="R62" s="286"/>
      <c r="S62" s="284" t="str">
        <f aca="false">""</f>
        <v/>
      </c>
      <c r="T62" s="284"/>
      <c r="U62" s="284"/>
      <c r="V62" s="284"/>
      <c r="W62" s="284"/>
      <c r="X62" s="284"/>
      <c r="Y62" s="284"/>
      <c r="Z62" s="284"/>
      <c r="AA62" s="284"/>
      <c r="AB62" s="284"/>
      <c r="AC62" s="284"/>
      <c r="AD62" s="284"/>
      <c r="AE62" s="10"/>
    </row>
    <row r="63" customFormat="false" ht="3.75" hidden="false" customHeight="true" outlineLevel="0" collapsed="false">
      <c r="A63" s="10"/>
      <c r="B63" s="267"/>
      <c r="C63" s="267"/>
      <c r="D63" s="278" t="str">
        <f aca="false">""</f>
        <v/>
      </c>
      <c r="E63" s="278"/>
      <c r="F63" s="278"/>
      <c r="G63" s="278"/>
      <c r="H63" s="278"/>
      <c r="I63" s="278"/>
      <c r="J63" s="278"/>
      <c r="K63" s="278"/>
      <c r="L63" s="278"/>
      <c r="M63" s="278"/>
      <c r="N63" s="278"/>
      <c r="O63" s="278"/>
      <c r="P63" s="278"/>
      <c r="Q63" s="278"/>
      <c r="R63" s="278"/>
      <c r="S63" s="278" t="str">
        <f aca="false">""</f>
        <v/>
      </c>
      <c r="T63" s="278"/>
      <c r="U63" s="278"/>
      <c r="V63" s="278"/>
      <c r="W63" s="278"/>
      <c r="X63" s="278"/>
      <c r="Y63" s="278"/>
      <c r="Z63" s="278"/>
      <c r="AA63" s="278"/>
      <c r="AB63" s="278"/>
      <c r="AC63" s="278"/>
      <c r="AD63" s="278"/>
      <c r="AE63" s="10"/>
    </row>
    <row r="64" customFormat="false" ht="15" hidden="false" customHeight="true" outlineLevel="0" collapsed="false">
      <c r="A64" s="10"/>
      <c r="B64" s="34"/>
      <c r="C64" s="34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</row>
    <row r="65" customFormat="false" ht="19.5" hidden="false" customHeight="true" outlineLevel="0" collapsed="false">
      <c r="A65" s="10"/>
      <c r="B65" s="267" t="s">
        <v>601</v>
      </c>
      <c r="C65" s="268" t="n">
        <f aca="false">SUMIF('Input Data'!B:B,"L06",'Input Data'!F:F)</f>
        <v>378.2</v>
      </c>
      <c r="D65" s="285" t="str">
        <f aca="false">IFERROR(INDEX('Input Data'!D:D,MATCH("601",'Input Data'!$C:$C,0)),"VACANT")</f>
        <v>FULLCRM PTY LTD</v>
      </c>
      <c r="E65" s="285"/>
      <c r="F65" s="285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73" t="str">
        <f aca="false">IFERROR(INDEX('Input Data'!D:D,MATCH("602",'Input Data'!$C:$C,0)),"VACANT")</f>
        <v>VACANT</v>
      </c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10"/>
    </row>
    <row r="66" customFormat="false" ht="15" hidden="false" customHeight="true" outlineLevel="0" collapsed="false">
      <c r="A66" s="10"/>
      <c r="B66" s="267"/>
      <c r="C66" s="267"/>
      <c r="D66" s="286" t="str">
        <f aca="false">"Suite "&amp;"601"</f>
        <v>Suite 601</v>
      </c>
      <c r="E66" s="286"/>
      <c r="F66" s="286"/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275" t="str">
        <f aca="false">"Suite "&amp;"602"</f>
        <v>Suite 602</v>
      </c>
      <c r="U66" s="275"/>
      <c r="V66" s="275"/>
      <c r="W66" s="275"/>
      <c r="X66" s="275"/>
      <c r="Y66" s="275"/>
      <c r="Z66" s="275"/>
      <c r="AA66" s="275"/>
      <c r="AB66" s="275"/>
      <c r="AC66" s="275"/>
      <c r="AD66" s="275"/>
      <c r="AE66" s="10"/>
    </row>
    <row r="67" customFormat="false" ht="15" hidden="false" customHeight="true" outlineLevel="0" collapsed="false">
      <c r="A67" s="10"/>
      <c r="B67" s="267"/>
      <c r="C67" s="267"/>
      <c r="D67" s="286" t="str">
        <f aca="false"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286"/>
      <c r="F67" s="286"/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275" t="str">
        <f aca="false"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275"/>
      <c r="V67" s="275"/>
      <c r="W67" s="275"/>
      <c r="X67" s="275"/>
      <c r="Y67" s="275"/>
      <c r="Z67" s="275"/>
      <c r="AA67" s="275"/>
      <c r="AB67" s="275"/>
      <c r="AC67" s="275"/>
      <c r="AD67" s="275"/>
      <c r="AE67" s="10"/>
    </row>
    <row r="68" customFormat="false" ht="15" hidden="false" customHeight="true" outlineLevel="0" collapsed="false">
      <c r="A68" s="10"/>
      <c r="B68" s="267"/>
      <c r="C68" s="267"/>
      <c r="D68" s="286" t="str">
        <f aca="false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286"/>
      <c r="F68" s="286"/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275" t="str">
        <f aca="false"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10"/>
    </row>
    <row r="69" customFormat="false" ht="15" hidden="false" customHeight="true" outlineLevel="0" collapsed="false">
      <c r="A69" s="10"/>
      <c r="B69" s="267"/>
      <c r="C69" s="267"/>
      <c r="D69" s="286" t="str">
        <f aca="false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286"/>
      <c r="F69" s="286"/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275" t="str">
        <f aca="false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$0.00 psm  |  Net: $0 pa</v>
      </c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10"/>
    </row>
    <row r="70" customFormat="false" ht="15" hidden="false" customHeight="true" outlineLevel="0" collapsed="false">
      <c r="A70" s="10"/>
      <c r="B70" s="267"/>
      <c r="C70" s="267"/>
      <c r="D70" s="286" t="str">
        <f aca="false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286"/>
      <c r="F70" s="286"/>
      <c r="G70" s="286"/>
      <c r="H70" s="286"/>
      <c r="I70" s="286"/>
      <c r="J70" s="286"/>
      <c r="K70" s="286"/>
      <c r="L70" s="286"/>
      <c r="M70" s="286"/>
      <c r="N70" s="286"/>
      <c r="O70" s="286"/>
      <c r="P70" s="286"/>
      <c r="Q70" s="286"/>
      <c r="R70" s="286"/>
      <c r="S70" s="286"/>
      <c r="T70" s="275" t="str">
        <f aca="false">IFERROR("Start: "&amp;TEXT(INDEX('Input Data'!G:G,MATCH("602",'Input Data'!$C:$C,0)),"DD/MM/YY")&amp;"  →  Expiry: "&amp;TEXT(INDEX('Input Data'!H:H,MATCH("602",'Input Data'!$C:$C,0)),"DD/MM/YY"),"—")</f>
        <v>Start: 30/12/99  →  Expiry: </v>
      </c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10"/>
    </row>
    <row r="71" customFormat="false" ht="15" hidden="false" customHeight="true" outlineLevel="0" collapsed="false">
      <c r="A71" s="10"/>
      <c r="B71" s="267"/>
      <c r="C71" s="267"/>
      <c r="D71" s="286" t="str">
        <f aca="true">IFERROR(IF((INDEX('Input Data'!H:H,MATCH("601",'Input Data'!$C:$C,0))-TODAY())&gt;0,TEXT((INDEX('Input Data'!H:H,MATCH("601",'Input Data'!$C:$C,0))-TODAY())/365.25,"0.0")&amp;" yrs remaining","⚠ EXPIRED"),"—")</f>
        <v>0.6 yrs remaining</v>
      </c>
      <c r="E71" s="286"/>
      <c r="F71" s="286"/>
      <c r="G71" s="286"/>
      <c r="H71" s="286"/>
      <c r="I71" s="286"/>
      <c r="J71" s="286"/>
      <c r="K71" s="286"/>
      <c r="L71" s="286"/>
      <c r="M71" s="286"/>
      <c r="N71" s="286"/>
      <c r="O71" s="286"/>
      <c r="P71" s="286"/>
      <c r="Q71" s="286"/>
      <c r="R71" s="286"/>
      <c r="S71" s="286"/>
      <c r="T71" s="275" t="str">
        <f aca="true">IFERROR(IF((INDEX('Input Data'!H:H,MATCH("602",'Input Data'!$C:$C,0))-TODAY())&gt;0,TEXT((INDEX('Input Data'!H:H,MATCH("602",'Input Data'!$C:$C,0))-TODAY())/365.25,"0.0")&amp;" yrs remaining","⚠ EXPIRED"),"—")</f>
        <v>—</v>
      </c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10"/>
    </row>
    <row r="72" customFormat="false" ht="15" hidden="false" customHeight="true" outlineLevel="0" collapsed="false">
      <c r="A72" s="10"/>
      <c r="B72" s="267"/>
      <c r="C72" s="267"/>
      <c r="D72" s="286" t="str">
        <f aca="false">""</f>
        <v/>
      </c>
      <c r="E72" s="286"/>
      <c r="F72" s="286"/>
      <c r="G72" s="286"/>
      <c r="H72" s="286"/>
      <c r="I72" s="286"/>
      <c r="J72" s="286"/>
      <c r="K72" s="286"/>
      <c r="L72" s="286"/>
      <c r="M72" s="286"/>
      <c r="N72" s="286"/>
      <c r="O72" s="286"/>
      <c r="P72" s="286"/>
      <c r="Q72" s="286"/>
      <c r="R72" s="286"/>
      <c r="S72" s="286"/>
      <c r="T72" s="275" t="str">
        <f aca="false">""</f>
        <v/>
      </c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10"/>
    </row>
    <row r="73" customFormat="false" ht="3.75" hidden="false" customHeight="true" outlineLevel="0" collapsed="false">
      <c r="A73" s="10"/>
      <c r="B73" s="267"/>
      <c r="C73" s="267"/>
      <c r="D73" s="278" t="str">
        <f aca="false">""</f>
        <v/>
      </c>
      <c r="E73" s="278"/>
      <c r="F73" s="278"/>
      <c r="G73" s="278"/>
      <c r="H73" s="278"/>
      <c r="I73" s="278"/>
      <c r="J73" s="278"/>
      <c r="K73" s="278"/>
      <c r="L73" s="278"/>
      <c r="M73" s="278"/>
      <c r="N73" s="278"/>
      <c r="O73" s="278"/>
      <c r="P73" s="278"/>
      <c r="Q73" s="278"/>
      <c r="R73" s="278"/>
      <c r="S73" s="278"/>
      <c r="T73" s="278" t="str">
        <f aca="false">""</f>
        <v/>
      </c>
      <c r="U73" s="278"/>
      <c r="V73" s="278"/>
      <c r="W73" s="278"/>
      <c r="X73" s="278"/>
      <c r="Y73" s="278"/>
      <c r="Z73" s="278"/>
      <c r="AA73" s="278"/>
      <c r="AB73" s="278"/>
      <c r="AC73" s="278"/>
      <c r="AD73" s="278"/>
      <c r="AE73" s="10"/>
    </row>
    <row r="74" customFormat="false" ht="15" hidden="false" customHeight="true" outlineLevel="0" collapsed="false">
      <c r="A74" s="10"/>
      <c r="B74" s="34"/>
      <c r="C74" s="34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</row>
    <row r="75" customFormat="false" ht="19.5" hidden="false" customHeight="true" outlineLevel="0" collapsed="false">
      <c r="A75" s="10"/>
      <c r="B75" s="267" t="s">
        <v>602</v>
      </c>
      <c r="C75" s="268" t="n">
        <f aca="false">SUMIF('Input Data'!B:B,"L05",'Input Data'!F:F)</f>
        <v>376.1</v>
      </c>
      <c r="D75" s="285" t="str">
        <f aca="false">IFERROR(INDEX('Input Data'!D:D,MATCH("501",'Input Data'!$C:$C,0)),"VACANT")</f>
        <v>MONTGOMERY INVESTMENT</v>
      </c>
      <c r="E75" s="285"/>
      <c r="F75" s="285"/>
      <c r="G75" s="285"/>
      <c r="H75" s="285"/>
      <c r="I75" s="285"/>
      <c r="J75" s="285"/>
      <c r="K75" s="285"/>
      <c r="L75" s="285"/>
      <c r="M75" s="285"/>
      <c r="N75" s="285"/>
      <c r="O75" s="285"/>
      <c r="P75" s="285"/>
      <c r="Q75" s="285"/>
      <c r="R75" s="285"/>
      <c r="S75" s="285" t="str">
        <f aca="false">IFERROR(INDEX('Input Data'!D:D,MATCH("502",'Input Data'!$C:$C,0)),"VACANT")</f>
        <v>THREAT DEFENCE</v>
      </c>
      <c r="T75" s="285"/>
      <c r="U75" s="285"/>
      <c r="V75" s="285"/>
      <c r="W75" s="285"/>
      <c r="X75" s="285"/>
      <c r="Y75" s="285"/>
      <c r="Z75" s="285"/>
      <c r="AA75" s="285"/>
      <c r="AB75" s="285"/>
      <c r="AC75" s="285"/>
      <c r="AD75" s="285"/>
      <c r="AE75" s="10"/>
    </row>
    <row r="76" customFormat="false" ht="15" hidden="false" customHeight="true" outlineLevel="0" collapsed="false">
      <c r="A76" s="10"/>
      <c r="B76" s="267"/>
      <c r="C76" s="267"/>
      <c r="D76" s="286" t="str">
        <f aca="false">"Suite "&amp;"501"</f>
        <v>Suite 501</v>
      </c>
      <c r="E76" s="286"/>
      <c r="F76" s="286"/>
      <c r="G76" s="286"/>
      <c r="H76" s="286"/>
      <c r="I76" s="286"/>
      <c r="J76" s="286"/>
      <c r="K76" s="286"/>
      <c r="L76" s="286"/>
      <c r="M76" s="286"/>
      <c r="N76" s="286"/>
      <c r="O76" s="286"/>
      <c r="P76" s="286"/>
      <c r="Q76" s="286"/>
      <c r="R76" s="286"/>
      <c r="S76" s="286" t="str">
        <f aca="false">"Suite "&amp;"502"</f>
        <v>Suite 502</v>
      </c>
      <c r="T76" s="286"/>
      <c r="U76" s="286"/>
      <c r="V76" s="286"/>
      <c r="W76" s="286"/>
      <c r="X76" s="286"/>
      <c r="Y76" s="286"/>
      <c r="Z76" s="286"/>
      <c r="AA76" s="286"/>
      <c r="AB76" s="286"/>
      <c r="AC76" s="286"/>
      <c r="AD76" s="286"/>
      <c r="AE76" s="10"/>
    </row>
    <row r="77" customFormat="false" ht="15" hidden="false" customHeight="true" outlineLevel="0" collapsed="false">
      <c r="A77" s="10"/>
      <c r="B77" s="267"/>
      <c r="C77" s="267"/>
      <c r="D77" s="286" t="str">
        <f aca="false"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  |  36 car parks</v>
      </c>
      <c r="E77" s="286"/>
      <c r="F77" s="286"/>
      <c r="G77" s="286"/>
      <c r="H77" s="286"/>
      <c r="I77" s="286"/>
      <c r="J77" s="286"/>
      <c r="K77" s="286"/>
      <c r="L77" s="286"/>
      <c r="M77" s="286"/>
      <c r="N77" s="286"/>
      <c r="O77" s="286"/>
      <c r="P77" s="286"/>
      <c r="Q77" s="286"/>
      <c r="R77" s="286"/>
      <c r="S77" s="286" t="str">
        <f aca="false"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286"/>
      <c r="U77" s="286"/>
      <c r="V77" s="286"/>
      <c r="W77" s="286"/>
      <c r="X77" s="286"/>
      <c r="Y77" s="286"/>
      <c r="Z77" s="286"/>
      <c r="AA77" s="286"/>
      <c r="AB77" s="286"/>
      <c r="AC77" s="286"/>
      <c r="AD77" s="286"/>
      <c r="AE77" s="10"/>
    </row>
    <row r="78" customFormat="false" ht="15" hidden="false" customHeight="true" outlineLevel="0" collapsed="false">
      <c r="A78" s="10"/>
      <c r="B78" s="267"/>
      <c r="C78" s="267"/>
      <c r="D78" s="286" t="str">
        <f aca="false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286"/>
      <c r="F78" s="286"/>
      <c r="G78" s="286"/>
      <c r="H78" s="286"/>
      <c r="I78" s="286"/>
      <c r="J78" s="286"/>
      <c r="K78" s="286"/>
      <c r="L78" s="286"/>
      <c r="M78" s="286"/>
      <c r="N78" s="286"/>
      <c r="O78" s="286"/>
      <c r="P78" s="286"/>
      <c r="Q78" s="286"/>
      <c r="R78" s="286"/>
      <c r="S78" s="286" t="str">
        <f aca="false"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$1,055  |  Incent: $254.80</v>
      </c>
      <c r="T78" s="286"/>
      <c r="U78" s="286"/>
      <c r="V78" s="286"/>
      <c r="W78" s="286"/>
      <c r="X78" s="286"/>
      <c r="Y78" s="286"/>
      <c r="Z78" s="286"/>
      <c r="AA78" s="286"/>
      <c r="AB78" s="286"/>
      <c r="AC78" s="286"/>
      <c r="AD78" s="286"/>
      <c r="AE78" s="10"/>
    </row>
    <row r="79" customFormat="false" ht="15" hidden="false" customHeight="true" outlineLevel="0" collapsed="false">
      <c r="A79" s="10"/>
      <c r="B79" s="267"/>
      <c r="C79" s="267"/>
      <c r="D79" s="286" t="str">
        <f aca="false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286"/>
      <c r="F79" s="286"/>
      <c r="G79" s="286"/>
      <c r="H79" s="286"/>
      <c r="I79" s="286"/>
      <c r="J79" s="286"/>
      <c r="K79" s="286"/>
      <c r="L79" s="286"/>
      <c r="M79" s="286"/>
      <c r="N79" s="286"/>
      <c r="O79" s="286"/>
      <c r="P79" s="286"/>
      <c r="Q79" s="286"/>
      <c r="R79" s="286"/>
      <c r="S79" s="286" t="str">
        <f aca="false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$131,053 pa</v>
      </c>
      <c r="T79" s="286"/>
      <c r="U79" s="286"/>
      <c r="V79" s="286"/>
      <c r="W79" s="286"/>
      <c r="X79" s="286"/>
      <c r="Y79" s="286"/>
      <c r="Z79" s="286"/>
      <c r="AA79" s="286"/>
      <c r="AB79" s="286"/>
      <c r="AC79" s="286"/>
      <c r="AD79" s="286"/>
      <c r="AE79" s="10"/>
    </row>
    <row r="80" customFormat="false" ht="15" hidden="false" customHeight="true" outlineLevel="0" collapsed="false">
      <c r="A80" s="10"/>
      <c r="B80" s="267"/>
      <c r="C80" s="267"/>
      <c r="D80" s="286" t="str">
        <f aca="false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286"/>
      <c r="F80" s="286"/>
      <c r="G80" s="286"/>
      <c r="H80" s="286"/>
      <c r="I80" s="286"/>
      <c r="J80" s="286"/>
      <c r="K80" s="286"/>
      <c r="L80" s="286"/>
      <c r="M80" s="286"/>
      <c r="N80" s="286"/>
      <c r="O80" s="286"/>
      <c r="P80" s="286"/>
      <c r="Q80" s="286"/>
      <c r="R80" s="286"/>
      <c r="S80" s="286" t="str">
        <f aca="false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286"/>
      <c r="U80" s="286"/>
      <c r="V80" s="286"/>
      <c r="W80" s="286"/>
      <c r="X80" s="286"/>
      <c r="Y80" s="286"/>
      <c r="Z80" s="286"/>
      <c r="AA80" s="286"/>
      <c r="AB80" s="286"/>
      <c r="AC80" s="286"/>
      <c r="AD80" s="286"/>
      <c r="AE80" s="10"/>
    </row>
    <row r="81" customFormat="false" ht="15" hidden="false" customHeight="true" outlineLevel="0" collapsed="false">
      <c r="A81" s="10"/>
      <c r="B81" s="267"/>
      <c r="C81" s="267"/>
      <c r="D81" s="286" t="str">
        <f aca="true">IFERROR(IF((INDEX('Input Data'!H:H,MATCH("501",'Input Data'!$C:$C,0))-TODAY())&gt;0,TEXT((INDEX('Input Data'!H:H,MATCH("501",'Input Data'!$C:$C,0))-TODAY())/365.25,"0.0")&amp;" yrs remaining","⚠ EXPIRED"),"—")</f>
        <v>1.3 yrs remaining</v>
      </c>
      <c r="E81" s="286"/>
      <c r="F81" s="286"/>
      <c r="G81" s="286"/>
      <c r="H81" s="286"/>
      <c r="I81" s="286"/>
      <c r="J81" s="286"/>
      <c r="K81" s="286"/>
      <c r="L81" s="286"/>
      <c r="M81" s="286"/>
      <c r="N81" s="286"/>
      <c r="O81" s="286"/>
      <c r="P81" s="286"/>
      <c r="Q81" s="286"/>
      <c r="R81" s="286"/>
      <c r="S81" s="286" t="str">
        <f aca="true">IFERROR(IF((INDEX('Input Data'!H:H,MATCH("502",'Input Data'!$C:$C,0))-TODAY())&gt;0,TEXT((INDEX('Input Data'!H:H,MATCH("502",'Input Data'!$C:$C,0))-TODAY())/365.25,"0.0")&amp;" yrs remaining","⚠ EXPIRED"),"—")</f>
        <v>1.0 yrs remaining</v>
      </c>
      <c r="T81" s="286"/>
      <c r="U81" s="286"/>
      <c r="V81" s="286"/>
      <c r="W81" s="286"/>
      <c r="X81" s="286"/>
      <c r="Y81" s="286"/>
      <c r="Z81" s="286"/>
      <c r="AA81" s="286"/>
      <c r="AB81" s="286"/>
      <c r="AC81" s="286"/>
      <c r="AD81" s="286"/>
      <c r="AE81" s="10"/>
    </row>
    <row r="82" customFormat="false" ht="15" hidden="false" customHeight="true" outlineLevel="0" collapsed="false">
      <c r="A82" s="10"/>
      <c r="B82" s="267"/>
      <c r="C82" s="267"/>
      <c r="D82" s="286" t="str">
        <f aca="false">""</f>
        <v/>
      </c>
      <c r="E82" s="286"/>
      <c r="F82" s="286"/>
      <c r="G82" s="286"/>
      <c r="H82" s="286"/>
      <c r="I82" s="286"/>
      <c r="J82" s="286"/>
      <c r="K82" s="286"/>
      <c r="L82" s="286"/>
      <c r="M82" s="286"/>
      <c r="N82" s="286"/>
      <c r="O82" s="286"/>
      <c r="P82" s="286"/>
      <c r="Q82" s="286"/>
      <c r="R82" s="286"/>
      <c r="S82" s="286" t="str">
        <f aca="false">""</f>
        <v/>
      </c>
      <c r="T82" s="286"/>
      <c r="U82" s="286"/>
      <c r="V82" s="286"/>
      <c r="W82" s="286"/>
      <c r="X82" s="286"/>
      <c r="Y82" s="286"/>
      <c r="Z82" s="286"/>
      <c r="AA82" s="286"/>
      <c r="AB82" s="286"/>
      <c r="AC82" s="286"/>
      <c r="AD82" s="286"/>
      <c r="AE82" s="10"/>
    </row>
    <row r="83" customFormat="false" ht="3.75" hidden="false" customHeight="true" outlineLevel="0" collapsed="false">
      <c r="A83" s="10"/>
      <c r="B83" s="267"/>
      <c r="C83" s="267"/>
      <c r="D83" s="278" t="str">
        <f aca="false">""</f>
        <v/>
      </c>
      <c r="E83" s="278"/>
      <c r="F83" s="278"/>
      <c r="G83" s="278"/>
      <c r="H83" s="278"/>
      <c r="I83" s="278"/>
      <c r="J83" s="278"/>
      <c r="K83" s="278"/>
      <c r="L83" s="278"/>
      <c r="M83" s="278"/>
      <c r="N83" s="278"/>
      <c r="O83" s="278"/>
      <c r="P83" s="278"/>
      <c r="Q83" s="278"/>
      <c r="R83" s="278"/>
      <c r="S83" s="278" t="str">
        <f aca="false">""</f>
        <v/>
      </c>
      <c r="T83" s="278"/>
      <c r="U83" s="278"/>
      <c r="V83" s="278"/>
      <c r="W83" s="278"/>
      <c r="X83" s="278"/>
      <c r="Y83" s="278"/>
      <c r="Z83" s="278"/>
      <c r="AA83" s="278"/>
      <c r="AB83" s="278"/>
      <c r="AC83" s="278"/>
      <c r="AD83" s="278"/>
      <c r="AE83" s="10"/>
    </row>
    <row r="84" customFormat="false" ht="15" hidden="false" customHeight="true" outlineLevel="0" collapsed="false">
      <c r="A84" s="10"/>
      <c r="B84" s="34"/>
      <c r="C84" s="34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</row>
    <row r="85" customFormat="false" ht="19.5" hidden="false" customHeight="true" outlineLevel="0" collapsed="false">
      <c r="A85" s="10"/>
      <c r="B85" s="267" t="s">
        <v>603</v>
      </c>
      <c r="C85" s="268" t="n">
        <f aca="false">SUMIF('Input Data'!B:B,"L04",'Input Data'!F:F)</f>
        <v>359.7</v>
      </c>
      <c r="D85" s="279" t="str">
        <f aca="false">IFERROR(INDEX('Input Data'!D:D,MATCH("401",'Input Data'!$C:$C,0)),"VACANT")</f>
        <v>B-W INTERNATIONAL AUSTRALIA PTY LTD</v>
      </c>
      <c r="E85" s="279"/>
      <c r="F85" s="279"/>
      <c r="G85" s="279"/>
      <c r="H85" s="279"/>
      <c r="I85" s="279"/>
      <c r="J85" s="279"/>
      <c r="K85" s="279"/>
      <c r="L85" s="279"/>
      <c r="M85" s="279"/>
      <c r="N85" s="279"/>
      <c r="O85" s="279"/>
      <c r="P85" s="279"/>
      <c r="Q85" s="279"/>
      <c r="R85" s="279"/>
      <c r="S85" s="279"/>
      <c r="T85" s="279" t="str">
        <f aca="false">IFERROR(INDEX('Input Data'!D:D,MATCH("402",'Input Data'!$C:$C,0)),"VACANT")</f>
        <v>MP TRAVEL PTY LTD</v>
      </c>
      <c r="U85" s="279"/>
      <c r="V85" s="279"/>
      <c r="W85" s="279"/>
      <c r="X85" s="279"/>
      <c r="Y85" s="279"/>
      <c r="Z85" s="279"/>
      <c r="AA85" s="279"/>
      <c r="AB85" s="279"/>
      <c r="AC85" s="279"/>
      <c r="AD85" s="279"/>
      <c r="AE85" s="10"/>
    </row>
    <row r="86" customFormat="false" ht="15" hidden="false" customHeight="true" outlineLevel="0" collapsed="false">
      <c r="A86" s="10"/>
      <c r="B86" s="267"/>
      <c r="C86" s="267"/>
      <c r="D86" s="280" t="str">
        <f aca="false">"Suite "&amp;"401"</f>
        <v>Suite 401</v>
      </c>
      <c r="E86" s="280"/>
      <c r="F86" s="280"/>
      <c r="G86" s="280"/>
      <c r="H86" s="280"/>
      <c r="I86" s="280"/>
      <c r="J86" s="280"/>
      <c r="K86" s="280"/>
      <c r="L86" s="280"/>
      <c r="M86" s="280"/>
      <c r="N86" s="280"/>
      <c r="O86" s="280"/>
      <c r="P86" s="280"/>
      <c r="Q86" s="280"/>
      <c r="R86" s="280"/>
      <c r="S86" s="280"/>
      <c r="T86" s="280" t="str">
        <f aca="false">"Suite "&amp;"402"</f>
        <v>Suite 402</v>
      </c>
      <c r="U86" s="280"/>
      <c r="V86" s="280"/>
      <c r="W86" s="280"/>
      <c r="X86" s="280"/>
      <c r="Y86" s="280"/>
      <c r="Z86" s="280"/>
      <c r="AA86" s="280"/>
      <c r="AB86" s="280"/>
      <c r="AC86" s="280"/>
      <c r="AD86" s="280"/>
      <c r="AE86" s="10"/>
    </row>
    <row r="87" customFormat="false" ht="15" hidden="false" customHeight="true" outlineLevel="0" collapsed="false">
      <c r="A87" s="10"/>
      <c r="B87" s="267"/>
      <c r="C87" s="267"/>
      <c r="D87" s="280" t="str">
        <f aca="false"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280"/>
      <c r="F87" s="280"/>
      <c r="G87" s="280"/>
      <c r="H87" s="280"/>
      <c r="I87" s="280"/>
      <c r="J87" s="280"/>
      <c r="K87" s="280"/>
      <c r="L87" s="280"/>
      <c r="M87" s="280"/>
      <c r="N87" s="280"/>
      <c r="O87" s="280"/>
      <c r="P87" s="280"/>
      <c r="Q87" s="280"/>
      <c r="R87" s="280"/>
      <c r="S87" s="280"/>
      <c r="T87" s="280" t="str">
        <f aca="false"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280"/>
      <c r="V87" s="280"/>
      <c r="W87" s="280"/>
      <c r="X87" s="280"/>
      <c r="Y87" s="280"/>
      <c r="Z87" s="280"/>
      <c r="AA87" s="280"/>
      <c r="AB87" s="280"/>
      <c r="AC87" s="280"/>
      <c r="AD87" s="280"/>
      <c r="AE87" s="10"/>
    </row>
    <row r="88" customFormat="false" ht="15" hidden="false" customHeight="true" outlineLevel="0" collapsed="false">
      <c r="A88" s="10"/>
      <c r="B88" s="267"/>
      <c r="C88" s="267"/>
      <c r="D88" s="280" t="str">
        <f aca="false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280"/>
      <c r="F88" s="280"/>
      <c r="G88" s="280"/>
      <c r="H88" s="280"/>
      <c r="I88" s="280"/>
      <c r="J88" s="280"/>
      <c r="K88" s="280"/>
      <c r="L88" s="280"/>
      <c r="M88" s="280"/>
      <c r="N88" s="280"/>
      <c r="O88" s="280"/>
      <c r="P88" s="280"/>
      <c r="Q88" s="280"/>
      <c r="R88" s="280"/>
      <c r="S88" s="280"/>
      <c r="T88" s="280" t="str">
        <f aca="false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280"/>
      <c r="V88" s="280"/>
      <c r="W88" s="280"/>
      <c r="X88" s="280"/>
      <c r="Y88" s="280"/>
      <c r="Z88" s="280"/>
      <c r="AA88" s="280"/>
      <c r="AB88" s="280"/>
      <c r="AC88" s="280"/>
      <c r="AD88" s="280"/>
      <c r="AE88" s="10"/>
    </row>
    <row r="89" customFormat="false" ht="15" hidden="false" customHeight="true" outlineLevel="0" collapsed="false">
      <c r="A89" s="10"/>
      <c r="B89" s="267"/>
      <c r="C89" s="267"/>
      <c r="D89" s="280" t="str">
        <f aca="false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280"/>
      <c r="F89" s="280"/>
      <c r="G89" s="280"/>
      <c r="H89" s="280"/>
      <c r="I89" s="280"/>
      <c r="J89" s="280"/>
      <c r="K89" s="280"/>
      <c r="L89" s="280"/>
      <c r="M89" s="280"/>
      <c r="N89" s="280"/>
      <c r="O89" s="280"/>
      <c r="P89" s="280"/>
      <c r="Q89" s="280"/>
      <c r="R89" s="280"/>
      <c r="S89" s="280"/>
      <c r="T89" s="280" t="str">
        <f aca="false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280"/>
      <c r="V89" s="280"/>
      <c r="W89" s="280"/>
      <c r="X89" s="280"/>
      <c r="Y89" s="280"/>
      <c r="Z89" s="280"/>
      <c r="AA89" s="280"/>
      <c r="AB89" s="280"/>
      <c r="AC89" s="280"/>
      <c r="AD89" s="280"/>
      <c r="AE89" s="10"/>
    </row>
    <row r="90" customFormat="false" ht="15" hidden="false" customHeight="true" outlineLevel="0" collapsed="false">
      <c r="A90" s="10"/>
      <c r="B90" s="267"/>
      <c r="C90" s="267"/>
      <c r="D90" s="280" t="str">
        <f aca="false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280"/>
      <c r="F90" s="280"/>
      <c r="G90" s="280"/>
      <c r="H90" s="280"/>
      <c r="I90" s="280"/>
      <c r="J90" s="280"/>
      <c r="K90" s="280"/>
      <c r="L90" s="280"/>
      <c r="M90" s="280"/>
      <c r="N90" s="280"/>
      <c r="O90" s="280"/>
      <c r="P90" s="280"/>
      <c r="Q90" s="280"/>
      <c r="R90" s="280"/>
      <c r="S90" s="280"/>
      <c r="T90" s="280" t="str">
        <f aca="false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280"/>
      <c r="V90" s="280"/>
      <c r="W90" s="280"/>
      <c r="X90" s="280"/>
      <c r="Y90" s="280"/>
      <c r="Z90" s="280"/>
      <c r="AA90" s="280"/>
      <c r="AB90" s="280"/>
      <c r="AC90" s="280"/>
      <c r="AD90" s="280"/>
      <c r="AE90" s="10"/>
    </row>
    <row r="91" customFormat="false" ht="15" hidden="false" customHeight="true" outlineLevel="0" collapsed="false">
      <c r="A91" s="10"/>
      <c r="B91" s="267"/>
      <c r="C91" s="267"/>
      <c r="D91" s="280" t="str">
        <f aca="true">IFERROR(IF((INDEX('Input Data'!H:H,MATCH("401",'Input Data'!$C:$C,0))-TODAY())&gt;0,TEXT((INDEX('Input Data'!H:H,MATCH("401",'Input Data'!$C:$C,0))-TODAY())/365.25,"0.0")&amp;" yrs remaining","⚠ EXPIRED"),"—")</f>
        <v>2.7 yrs remaining</v>
      </c>
      <c r="E91" s="280"/>
      <c r="F91" s="280"/>
      <c r="G91" s="280"/>
      <c r="H91" s="280"/>
      <c r="I91" s="280"/>
      <c r="J91" s="280"/>
      <c r="K91" s="280"/>
      <c r="L91" s="280"/>
      <c r="M91" s="280"/>
      <c r="N91" s="280"/>
      <c r="O91" s="280"/>
      <c r="P91" s="280"/>
      <c r="Q91" s="280"/>
      <c r="R91" s="280"/>
      <c r="S91" s="280"/>
      <c r="T91" s="280" t="str">
        <f aca="true">IFERROR(IF((INDEX('Input Data'!H:H,MATCH("402",'Input Data'!$C:$C,0))-TODAY())&gt;0,TEXT((INDEX('Input Data'!H:H,MATCH("402",'Input Data'!$C:$C,0))-TODAY())/365.25,"0.0")&amp;" yrs remaining","⚠ EXPIRED"),"—")</f>
        <v>3.5 yrs remaining</v>
      </c>
      <c r="U91" s="280"/>
      <c r="V91" s="280"/>
      <c r="W91" s="280"/>
      <c r="X91" s="280"/>
      <c r="Y91" s="280"/>
      <c r="Z91" s="280"/>
      <c r="AA91" s="280"/>
      <c r="AB91" s="280"/>
      <c r="AC91" s="280"/>
      <c r="AD91" s="280"/>
      <c r="AE91" s="10"/>
    </row>
    <row r="92" customFormat="false" ht="15" hidden="false" customHeight="true" outlineLevel="0" collapsed="false">
      <c r="A92" s="10"/>
      <c r="B92" s="267"/>
      <c r="C92" s="267"/>
      <c r="D92" s="280" t="str">
        <f aca="false">""</f>
        <v/>
      </c>
      <c r="E92" s="280"/>
      <c r="F92" s="280"/>
      <c r="G92" s="280"/>
      <c r="H92" s="280"/>
      <c r="I92" s="280"/>
      <c r="J92" s="280"/>
      <c r="K92" s="280"/>
      <c r="L92" s="280"/>
      <c r="M92" s="280"/>
      <c r="N92" s="280"/>
      <c r="O92" s="280"/>
      <c r="P92" s="280"/>
      <c r="Q92" s="280"/>
      <c r="R92" s="280"/>
      <c r="S92" s="280"/>
      <c r="T92" s="280" t="str">
        <f aca="false">""</f>
        <v/>
      </c>
      <c r="U92" s="280"/>
      <c r="V92" s="280"/>
      <c r="W92" s="280"/>
      <c r="X92" s="280"/>
      <c r="Y92" s="280"/>
      <c r="Z92" s="280"/>
      <c r="AA92" s="280"/>
      <c r="AB92" s="280"/>
      <c r="AC92" s="280"/>
      <c r="AD92" s="280"/>
      <c r="AE92" s="10"/>
    </row>
    <row r="93" customFormat="false" ht="3.75" hidden="false" customHeight="true" outlineLevel="0" collapsed="false">
      <c r="A93" s="10"/>
      <c r="B93" s="267"/>
      <c r="C93" s="267"/>
      <c r="D93" s="278" t="str">
        <f aca="false">""</f>
        <v/>
      </c>
      <c r="E93" s="278"/>
      <c r="F93" s="278"/>
      <c r="G93" s="278"/>
      <c r="H93" s="278"/>
      <c r="I93" s="278"/>
      <c r="J93" s="278"/>
      <c r="K93" s="278"/>
      <c r="L93" s="278"/>
      <c r="M93" s="278"/>
      <c r="N93" s="278"/>
      <c r="O93" s="278"/>
      <c r="P93" s="278"/>
      <c r="Q93" s="278"/>
      <c r="R93" s="278"/>
      <c r="S93" s="278"/>
      <c r="T93" s="278" t="str">
        <f aca="false">""</f>
        <v/>
      </c>
      <c r="U93" s="278"/>
      <c r="V93" s="278"/>
      <c r="W93" s="278"/>
      <c r="X93" s="278"/>
      <c r="Y93" s="278"/>
      <c r="Z93" s="278"/>
      <c r="AA93" s="278"/>
      <c r="AB93" s="278"/>
      <c r="AC93" s="278"/>
      <c r="AD93" s="278"/>
      <c r="AE93" s="10"/>
    </row>
    <row r="94" customFormat="false" ht="15" hidden="false" customHeight="true" outlineLevel="0" collapsed="false">
      <c r="A94" s="10"/>
      <c r="B94" s="34"/>
      <c r="C94" s="34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</row>
    <row r="95" customFormat="false" ht="19.5" hidden="false" customHeight="true" outlineLevel="0" collapsed="false">
      <c r="A95" s="10"/>
      <c r="B95" s="267" t="s">
        <v>604</v>
      </c>
      <c r="C95" s="268" t="n">
        <f aca="false">SUMIF('Input Data'!B:B,"L03",'Input Data'!F:F)</f>
        <v>357.6</v>
      </c>
      <c r="D95" s="285" t="str">
        <f aca="false">IFERROR(INDEX('Input Data'!D:D,MATCH("301&amp;2",'Input Data'!$C:$C,0)),"VACANT")</f>
        <v>IPM RESIDENTIAL PTY LTD</v>
      </c>
      <c r="E95" s="285"/>
      <c r="F95" s="285"/>
      <c r="G95" s="285"/>
      <c r="H95" s="285"/>
      <c r="I95" s="285"/>
      <c r="J95" s="285"/>
      <c r="K95" s="285"/>
      <c r="L95" s="285"/>
      <c r="M95" s="285"/>
      <c r="N95" s="285"/>
      <c r="O95" s="285"/>
      <c r="P95" s="283" t="str">
        <f aca="false">IFERROR(INDEX('Input Data'!D:D,MATCH("303&amp;4",'Input Data'!$C:$C,0)),"VACANT")</f>
        <v>BROADRIDGE (AUSTRALIA) PTY LTD</v>
      </c>
      <c r="Q95" s="283"/>
      <c r="R95" s="283"/>
      <c r="S95" s="283"/>
      <c r="T95" s="283"/>
      <c r="U95" s="283"/>
      <c r="V95" s="283"/>
      <c r="W95" s="283"/>
      <c r="X95" s="283"/>
      <c r="Y95" s="283"/>
      <c r="Z95" s="283"/>
      <c r="AA95" s="283"/>
      <c r="AB95" s="283"/>
      <c r="AC95" s="283"/>
      <c r="AD95" s="283"/>
      <c r="AE95" s="10"/>
    </row>
    <row r="96" customFormat="false" ht="15" hidden="false" customHeight="true" outlineLevel="0" collapsed="false">
      <c r="A96" s="10"/>
      <c r="B96" s="267"/>
      <c r="C96" s="267"/>
      <c r="D96" s="286" t="str">
        <f aca="false">"Suite "&amp;"301&amp;2"</f>
        <v>Suite 301&amp;2</v>
      </c>
      <c r="E96" s="286"/>
      <c r="F96" s="286"/>
      <c r="G96" s="286"/>
      <c r="H96" s="286"/>
      <c r="I96" s="286"/>
      <c r="J96" s="286"/>
      <c r="K96" s="286"/>
      <c r="L96" s="286"/>
      <c r="M96" s="286"/>
      <c r="N96" s="286"/>
      <c r="O96" s="286"/>
      <c r="P96" s="284" t="str">
        <f aca="false">"Suite "&amp;"303&amp;4"</f>
        <v>Suite 303&amp;4</v>
      </c>
      <c r="Q96" s="284"/>
      <c r="R96" s="284"/>
      <c r="S96" s="284"/>
      <c r="T96" s="284"/>
      <c r="U96" s="284"/>
      <c r="V96" s="284"/>
      <c r="W96" s="284"/>
      <c r="X96" s="284"/>
      <c r="Y96" s="284"/>
      <c r="Z96" s="284"/>
      <c r="AA96" s="284"/>
      <c r="AB96" s="284"/>
      <c r="AC96" s="284"/>
      <c r="AD96" s="284"/>
      <c r="AE96" s="10"/>
    </row>
    <row r="97" customFormat="false" ht="15" hidden="false" customHeight="true" outlineLevel="0" collapsed="false">
      <c r="A97" s="10"/>
      <c r="B97" s="267"/>
      <c r="C97" s="267"/>
      <c r="D97" s="286" t="str">
        <f aca="false"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286"/>
      <c r="F97" s="286"/>
      <c r="G97" s="286"/>
      <c r="H97" s="286"/>
      <c r="I97" s="286"/>
      <c r="J97" s="286"/>
      <c r="K97" s="286"/>
      <c r="L97" s="286"/>
      <c r="M97" s="286"/>
      <c r="N97" s="286"/>
      <c r="O97" s="286"/>
      <c r="P97" s="284" t="str">
        <f aca="false"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284"/>
      <c r="R97" s="284"/>
      <c r="S97" s="284"/>
      <c r="T97" s="284"/>
      <c r="U97" s="284"/>
      <c r="V97" s="284"/>
      <c r="W97" s="284"/>
      <c r="X97" s="284"/>
      <c r="Y97" s="284"/>
      <c r="Z97" s="284"/>
      <c r="AA97" s="284"/>
      <c r="AB97" s="284"/>
      <c r="AC97" s="284"/>
      <c r="AD97" s="284"/>
      <c r="AE97" s="10"/>
    </row>
    <row r="98" customFormat="false" ht="15" hidden="false" customHeight="true" outlineLevel="0" collapsed="false">
      <c r="A98" s="10"/>
      <c r="B98" s="267"/>
      <c r="C98" s="267"/>
      <c r="D98" s="286" t="str">
        <f aca="false"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$1,217  |  Incent: $94.50</v>
      </c>
      <c r="E98" s="286"/>
      <c r="F98" s="286"/>
      <c r="G98" s="286"/>
      <c r="H98" s="286"/>
      <c r="I98" s="286"/>
      <c r="J98" s="286"/>
      <c r="K98" s="286"/>
      <c r="L98" s="286"/>
      <c r="M98" s="286"/>
      <c r="N98" s="286"/>
      <c r="O98" s="286"/>
      <c r="P98" s="284" t="str">
        <f aca="false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284"/>
      <c r="R98" s="284"/>
      <c r="S98" s="284"/>
      <c r="T98" s="284"/>
      <c r="U98" s="284"/>
      <c r="V98" s="284"/>
      <c r="W98" s="284"/>
      <c r="X98" s="284"/>
      <c r="Y98" s="284"/>
      <c r="Z98" s="284"/>
      <c r="AA98" s="284"/>
      <c r="AB98" s="284"/>
      <c r="AC98" s="284"/>
      <c r="AD98" s="284"/>
      <c r="AE98" s="10"/>
    </row>
    <row r="99" customFormat="false" ht="15" hidden="false" customHeight="true" outlineLevel="0" collapsed="false">
      <c r="A99" s="10"/>
      <c r="B99" s="267"/>
      <c r="C99" s="267"/>
      <c r="D99" s="286" t="str">
        <f aca="false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$184,245 pa</v>
      </c>
      <c r="E99" s="286"/>
      <c r="F99" s="286"/>
      <c r="G99" s="286"/>
      <c r="H99" s="286"/>
      <c r="I99" s="286"/>
      <c r="J99" s="286"/>
      <c r="K99" s="286"/>
      <c r="L99" s="286"/>
      <c r="M99" s="286"/>
      <c r="N99" s="286"/>
      <c r="O99" s="286"/>
      <c r="P99" s="284" t="str">
        <f aca="false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284"/>
      <c r="R99" s="284"/>
      <c r="S99" s="284"/>
      <c r="T99" s="284"/>
      <c r="U99" s="284"/>
      <c r="V99" s="284"/>
      <c r="W99" s="284"/>
      <c r="X99" s="284"/>
      <c r="Y99" s="284"/>
      <c r="Z99" s="284"/>
      <c r="AA99" s="284"/>
      <c r="AB99" s="284"/>
      <c r="AC99" s="284"/>
      <c r="AD99" s="284"/>
      <c r="AE99" s="10"/>
    </row>
    <row r="100" customFormat="false" ht="15" hidden="false" customHeight="true" outlineLevel="0" collapsed="false">
      <c r="A100" s="10"/>
      <c r="B100" s="267"/>
      <c r="C100" s="267"/>
      <c r="D100" s="286" t="str">
        <f aca="false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286"/>
      <c r="F100" s="286"/>
      <c r="G100" s="286"/>
      <c r="H100" s="286"/>
      <c r="I100" s="286"/>
      <c r="J100" s="286"/>
      <c r="K100" s="286"/>
      <c r="L100" s="286"/>
      <c r="M100" s="286"/>
      <c r="N100" s="286"/>
      <c r="O100" s="286"/>
      <c r="P100" s="284" t="str">
        <f aca="false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284"/>
      <c r="R100" s="284"/>
      <c r="S100" s="284"/>
      <c r="T100" s="284"/>
      <c r="U100" s="284"/>
      <c r="V100" s="284"/>
      <c r="W100" s="284"/>
      <c r="X100" s="284"/>
      <c r="Y100" s="284"/>
      <c r="Z100" s="284"/>
      <c r="AA100" s="284"/>
      <c r="AB100" s="284"/>
      <c r="AC100" s="284"/>
      <c r="AD100" s="284"/>
      <c r="AE100" s="10"/>
    </row>
    <row r="101" customFormat="false" ht="15" hidden="false" customHeight="true" outlineLevel="0" collapsed="false">
      <c r="A101" s="10"/>
      <c r="B101" s="267"/>
      <c r="C101" s="267"/>
      <c r="D101" s="286" t="str">
        <f aca="true">IFERROR(IF((INDEX('Input Data'!H:H,MATCH("301&amp;2",'Input Data'!$C:$C,0))-TODAY())&gt;0,TEXT((INDEX('Input Data'!H:H,MATCH("301&amp;2",'Input Data'!$C:$C,0))-TODAY())/365.25,"0.0")&amp;" yrs remaining","⚠ EXPIRED"),"—")</f>
        <v>0.9 yrs remaining</v>
      </c>
      <c r="E101" s="286"/>
      <c r="F101" s="286"/>
      <c r="G101" s="286"/>
      <c r="H101" s="286"/>
      <c r="I101" s="286"/>
      <c r="J101" s="286"/>
      <c r="K101" s="286"/>
      <c r="L101" s="286"/>
      <c r="M101" s="286"/>
      <c r="N101" s="286"/>
      <c r="O101" s="286"/>
      <c r="P101" s="284" t="str">
        <f aca="true">IFERROR(IF((INDEX('Input Data'!H:H,MATCH("303&amp;4",'Input Data'!$C:$C,0))-TODAY())&gt;0,TEXT((INDEX('Input Data'!H:H,MATCH("303&amp;4",'Input Data'!$C:$C,0))-TODAY())/365.25,"0.0")&amp;" yrs remaining","⚠ EXPIRED"),"—")</f>
        <v>2.3 yrs remaining</v>
      </c>
      <c r="Q101" s="284"/>
      <c r="R101" s="284"/>
      <c r="S101" s="284"/>
      <c r="T101" s="284"/>
      <c r="U101" s="284"/>
      <c r="V101" s="284"/>
      <c r="W101" s="284"/>
      <c r="X101" s="284"/>
      <c r="Y101" s="284"/>
      <c r="Z101" s="284"/>
      <c r="AA101" s="284"/>
      <c r="AB101" s="284"/>
      <c r="AC101" s="284"/>
      <c r="AD101" s="284"/>
      <c r="AE101" s="10"/>
    </row>
    <row r="102" customFormat="false" ht="15" hidden="false" customHeight="true" outlineLevel="0" collapsed="false">
      <c r="A102" s="10"/>
      <c r="B102" s="267"/>
      <c r="C102" s="267"/>
      <c r="D102" s="286" t="str">
        <f aca="false">""</f>
        <v/>
      </c>
      <c r="E102" s="286"/>
      <c r="F102" s="286"/>
      <c r="G102" s="286"/>
      <c r="H102" s="286"/>
      <c r="I102" s="286"/>
      <c r="J102" s="286"/>
      <c r="K102" s="286"/>
      <c r="L102" s="286"/>
      <c r="M102" s="286"/>
      <c r="N102" s="286"/>
      <c r="O102" s="286"/>
      <c r="P102" s="284" t="str">
        <f aca="false">""</f>
        <v/>
      </c>
      <c r="Q102" s="284"/>
      <c r="R102" s="284"/>
      <c r="S102" s="284"/>
      <c r="T102" s="284"/>
      <c r="U102" s="284"/>
      <c r="V102" s="284"/>
      <c r="W102" s="284"/>
      <c r="X102" s="284"/>
      <c r="Y102" s="284"/>
      <c r="Z102" s="284"/>
      <c r="AA102" s="284"/>
      <c r="AB102" s="284"/>
      <c r="AC102" s="284"/>
      <c r="AD102" s="284"/>
      <c r="AE102" s="10"/>
    </row>
    <row r="103" customFormat="false" ht="3.75" hidden="false" customHeight="true" outlineLevel="0" collapsed="false">
      <c r="A103" s="10"/>
      <c r="B103" s="267"/>
      <c r="C103" s="267"/>
      <c r="D103" s="278" t="str">
        <f aca="false">""</f>
        <v/>
      </c>
      <c r="E103" s="278"/>
      <c r="F103" s="278"/>
      <c r="G103" s="278"/>
      <c r="H103" s="278"/>
      <c r="I103" s="278"/>
      <c r="J103" s="278"/>
      <c r="K103" s="278"/>
      <c r="L103" s="278"/>
      <c r="M103" s="278"/>
      <c r="N103" s="278"/>
      <c r="O103" s="278"/>
      <c r="P103" s="278" t="str">
        <f aca="false">""</f>
        <v/>
      </c>
      <c r="Q103" s="278"/>
      <c r="R103" s="278"/>
      <c r="S103" s="278"/>
      <c r="T103" s="278"/>
      <c r="U103" s="278"/>
      <c r="V103" s="278"/>
      <c r="W103" s="278"/>
      <c r="X103" s="278"/>
      <c r="Y103" s="278"/>
      <c r="Z103" s="278"/>
      <c r="AA103" s="278"/>
      <c r="AB103" s="278"/>
      <c r="AC103" s="278"/>
      <c r="AD103" s="278"/>
      <c r="AE103" s="10"/>
    </row>
    <row r="104" customFormat="false" ht="15" hidden="false" customHeight="true" outlineLevel="0" collapsed="false">
      <c r="A104" s="10"/>
      <c r="B104" s="34"/>
      <c r="C104" s="34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</row>
    <row r="105" customFormat="false" ht="19.5" hidden="false" customHeight="true" outlineLevel="0" collapsed="false">
      <c r="A105" s="10"/>
      <c r="B105" s="267" t="s">
        <v>605</v>
      </c>
      <c r="C105" s="268" t="n">
        <f aca="false">SUMIF('Input Data'!B:B,"L02",'Input Data'!F:F)</f>
        <v>393.2</v>
      </c>
      <c r="D105" s="283" t="str">
        <f aca="false">IFERROR(INDEX('Input Data'!D:D,MATCH("WHOLE",'Input Data'!$C:$C,0)),"VACANT")</f>
        <v>PRINCETON FINANCIAL SERVICES</v>
      </c>
      <c r="E105" s="283"/>
      <c r="F105" s="283"/>
      <c r="G105" s="283"/>
      <c r="H105" s="283"/>
      <c r="I105" s="283"/>
      <c r="J105" s="283"/>
      <c r="K105" s="283"/>
      <c r="L105" s="283"/>
      <c r="M105" s="283"/>
      <c r="N105" s="283"/>
      <c r="O105" s="283"/>
      <c r="P105" s="283"/>
      <c r="Q105" s="283"/>
      <c r="R105" s="283"/>
      <c r="S105" s="283"/>
      <c r="T105" s="283"/>
      <c r="U105" s="283"/>
      <c r="V105" s="283"/>
      <c r="W105" s="283"/>
      <c r="X105" s="283"/>
      <c r="Y105" s="283"/>
      <c r="Z105" s="283"/>
      <c r="AA105" s="283"/>
      <c r="AB105" s="283"/>
      <c r="AC105" s="283"/>
      <c r="AD105" s="283"/>
      <c r="AE105" s="10"/>
    </row>
    <row r="106" customFormat="false" ht="15" hidden="false" customHeight="true" outlineLevel="0" collapsed="false">
      <c r="A106" s="10"/>
      <c r="B106" s="267"/>
      <c r="C106" s="267"/>
      <c r="D106" s="284" t="str">
        <f aca="false">"Suite "&amp;"WHOLE"</f>
        <v>Suite WHOLE</v>
      </c>
      <c r="E106" s="284"/>
      <c r="F106" s="284"/>
      <c r="G106" s="284"/>
      <c r="H106" s="284"/>
      <c r="I106" s="284"/>
      <c r="J106" s="284"/>
      <c r="K106" s="284"/>
      <c r="L106" s="284"/>
      <c r="M106" s="284"/>
      <c r="N106" s="284"/>
      <c r="O106" s="284"/>
      <c r="P106" s="284"/>
      <c r="Q106" s="284"/>
      <c r="R106" s="284"/>
      <c r="S106" s="284"/>
      <c r="T106" s="284"/>
      <c r="U106" s="284"/>
      <c r="V106" s="284"/>
      <c r="W106" s="284"/>
      <c r="X106" s="284"/>
      <c r="Y106" s="284"/>
      <c r="Z106" s="284"/>
      <c r="AA106" s="284"/>
      <c r="AB106" s="284"/>
      <c r="AC106" s="284"/>
      <c r="AD106" s="284"/>
      <c r="AE106" s="10"/>
    </row>
    <row r="107" customFormat="false" ht="15" hidden="false" customHeight="true" outlineLevel="0" collapsed="false">
      <c r="A107" s="10"/>
      <c r="B107" s="267"/>
      <c r="C107" s="267"/>
      <c r="D107" s="284" t="str">
        <f aca="false"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284"/>
      <c r="F107" s="284"/>
      <c r="G107" s="284"/>
      <c r="H107" s="284"/>
      <c r="I107" s="284"/>
      <c r="J107" s="284"/>
      <c r="K107" s="284"/>
      <c r="L107" s="284"/>
      <c r="M107" s="284"/>
      <c r="N107" s="284"/>
      <c r="O107" s="284"/>
      <c r="P107" s="284"/>
      <c r="Q107" s="284"/>
      <c r="R107" s="284"/>
      <c r="S107" s="284"/>
      <c r="T107" s="284"/>
      <c r="U107" s="284"/>
      <c r="V107" s="284"/>
      <c r="W107" s="284"/>
      <c r="X107" s="284"/>
      <c r="Y107" s="284"/>
      <c r="Z107" s="284"/>
      <c r="AA107" s="284"/>
      <c r="AB107" s="284"/>
      <c r="AC107" s="284"/>
      <c r="AD107" s="284"/>
      <c r="AE107" s="10"/>
    </row>
    <row r="108" customFormat="false" ht="15" hidden="false" customHeight="true" outlineLevel="0" collapsed="false">
      <c r="A108" s="10"/>
      <c r="B108" s="267"/>
      <c r="C108" s="267"/>
      <c r="D108" s="284" t="str">
        <f aca="false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284"/>
      <c r="F108" s="284"/>
      <c r="G108" s="284"/>
      <c r="H108" s="284"/>
      <c r="I108" s="284"/>
      <c r="J108" s="284"/>
      <c r="K108" s="284"/>
      <c r="L108" s="284"/>
      <c r="M108" s="284"/>
      <c r="N108" s="284"/>
      <c r="O108" s="284"/>
      <c r="P108" s="284"/>
      <c r="Q108" s="284"/>
      <c r="R108" s="284"/>
      <c r="S108" s="284"/>
      <c r="T108" s="284"/>
      <c r="U108" s="284"/>
      <c r="V108" s="284"/>
      <c r="W108" s="284"/>
      <c r="X108" s="284"/>
      <c r="Y108" s="284"/>
      <c r="Z108" s="284"/>
      <c r="AA108" s="284"/>
      <c r="AB108" s="284"/>
      <c r="AC108" s="284"/>
      <c r="AD108" s="284"/>
      <c r="AE108" s="10"/>
    </row>
    <row r="109" customFormat="false" ht="15" hidden="false" customHeight="true" outlineLevel="0" collapsed="false">
      <c r="A109" s="10"/>
      <c r="B109" s="267"/>
      <c r="C109" s="267"/>
      <c r="D109" s="284" t="str">
        <f aca="false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284"/>
      <c r="F109" s="284"/>
      <c r="G109" s="284"/>
      <c r="H109" s="284"/>
      <c r="I109" s="284"/>
      <c r="J109" s="284"/>
      <c r="K109" s="284"/>
      <c r="L109" s="284"/>
      <c r="M109" s="284"/>
      <c r="N109" s="284"/>
      <c r="O109" s="284"/>
      <c r="P109" s="284"/>
      <c r="Q109" s="284"/>
      <c r="R109" s="284"/>
      <c r="S109" s="284"/>
      <c r="T109" s="284"/>
      <c r="U109" s="284"/>
      <c r="V109" s="284"/>
      <c r="W109" s="284"/>
      <c r="X109" s="284"/>
      <c r="Y109" s="284"/>
      <c r="Z109" s="284"/>
      <c r="AA109" s="284"/>
      <c r="AB109" s="284"/>
      <c r="AC109" s="284"/>
      <c r="AD109" s="284"/>
      <c r="AE109" s="10"/>
    </row>
    <row r="110" customFormat="false" ht="15" hidden="false" customHeight="true" outlineLevel="0" collapsed="false">
      <c r="A110" s="10"/>
      <c r="B110" s="267"/>
      <c r="C110" s="267"/>
      <c r="D110" s="284" t="str">
        <f aca="false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284"/>
      <c r="F110" s="284"/>
      <c r="G110" s="284"/>
      <c r="H110" s="284"/>
      <c r="I110" s="284"/>
      <c r="J110" s="284"/>
      <c r="K110" s="284"/>
      <c r="L110" s="284"/>
      <c r="M110" s="284"/>
      <c r="N110" s="284"/>
      <c r="O110" s="284"/>
      <c r="P110" s="284"/>
      <c r="Q110" s="284"/>
      <c r="R110" s="284"/>
      <c r="S110" s="284"/>
      <c r="T110" s="284"/>
      <c r="U110" s="284"/>
      <c r="V110" s="284"/>
      <c r="W110" s="284"/>
      <c r="X110" s="284"/>
      <c r="Y110" s="284"/>
      <c r="Z110" s="284"/>
      <c r="AA110" s="284"/>
      <c r="AB110" s="284"/>
      <c r="AC110" s="284"/>
      <c r="AD110" s="284"/>
      <c r="AE110" s="10"/>
    </row>
    <row r="111" customFormat="false" ht="15" hidden="false" customHeight="true" outlineLevel="0" collapsed="false">
      <c r="A111" s="10"/>
      <c r="B111" s="267"/>
      <c r="C111" s="267"/>
      <c r="D111" s="284" t="str">
        <f aca="true">IFERROR(IF((INDEX('Input Data'!H:H,MATCH("WHOLE",'Input Data'!$C:$C,0))-TODAY())&gt;0,TEXT((INDEX('Input Data'!H:H,MATCH("WHOLE",'Input Data'!$C:$C,0))-TODAY())/365.25,"0.0")&amp;" yrs remaining","⚠ EXPIRED"),"—")</f>
        <v>2.5 yrs remaining</v>
      </c>
      <c r="E111" s="284"/>
      <c r="F111" s="284"/>
      <c r="G111" s="284"/>
      <c r="H111" s="284"/>
      <c r="I111" s="284"/>
      <c r="J111" s="284"/>
      <c r="K111" s="284"/>
      <c r="L111" s="284"/>
      <c r="M111" s="284"/>
      <c r="N111" s="284"/>
      <c r="O111" s="284"/>
      <c r="P111" s="284"/>
      <c r="Q111" s="284"/>
      <c r="R111" s="284"/>
      <c r="S111" s="284"/>
      <c r="T111" s="284"/>
      <c r="U111" s="284"/>
      <c r="V111" s="284"/>
      <c r="W111" s="284"/>
      <c r="X111" s="284"/>
      <c r="Y111" s="284"/>
      <c r="Z111" s="284"/>
      <c r="AA111" s="284"/>
      <c r="AB111" s="284"/>
      <c r="AC111" s="284"/>
      <c r="AD111" s="284"/>
      <c r="AE111" s="10"/>
    </row>
    <row r="112" customFormat="false" ht="15" hidden="false" customHeight="true" outlineLevel="0" collapsed="false">
      <c r="A112" s="10"/>
      <c r="B112" s="267"/>
      <c r="C112" s="267"/>
      <c r="D112" s="284" t="str">
        <f aca="false">""</f>
        <v/>
      </c>
      <c r="E112" s="284"/>
      <c r="F112" s="284"/>
      <c r="G112" s="284"/>
      <c r="H112" s="284"/>
      <c r="I112" s="284"/>
      <c r="J112" s="284"/>
      <c r="K112" s="284"/>
      <c r="L112" s="284"/>
      <c r="M112" s="284"/>
      <c r="N112" s="284"/>
      <c r="O112" s="284"/>
      <c r="P112" s="284"/>
      <c r="Q112" s="284"/>
      <c r="R112" s="284"/>
      <c r="S112" s="284"/>
      <c r="T112" s="284"/>
      <c r="U112" s="284"/>
      <c r="V112" s="284"/>
      <c r="W112" s="284"/>
      <c r="X112" s="284"/>
      <c r="Y112" s="284"/>
      <c r="Z112" s="284"/>
      <c r="AA112" s="284"/>
      <c r="AB112" s="284"/>
      <c r="AC112" s="284"/>
      <c r="AD112" s="284"/>
      <c r="AE112" s="10"/>
    </row>
    <row r="113" customFormat="false" ht="3.75" hidden="false" customHeight="true" outlineLevel="0" collapsed="false">
      <c r="A113" s="10"/>
      <c r="B113" s="267"/>
      <c r="C113" s="267"/>
      <c r="D113" s="278" t="str">
        <f aca="false">""</f>
        <v/>
      </c>
      <c r="E113" s="278"/>
      <c r="F113" s="278"/>
      <c r="G113" s="278"/>
      <c r="H113" s="278"/>
      <c r="I113" s="278"/>
      <c r="J113" s="278"/>
      <c r="K113" s="278"/>
      <c r="L113" s="278"/>
      <c r="M113" s="278"/>
      <c r="N113" s="278"/>
      <c r="O113" s="278"/>
      <c r="P113" s="278"/>
      <c r="Q113" s="278"/>
      <c r="R113" s="278"/>
      <c r="S113" s="278"/>
      <c r="T113" s="278"/>
      <c r="U113" s="278"/>
      <c r="V113" s="278"/>
      <c r="W113" s="278"/>
      <c r="X113" s="278"/>
      <c r="Y113" s="278"/>
      <c r="Z113" s="278"/>
      <c r="AA113" s="278"/>
      <c r="AB113" s="278"/>
      <c r="AC113" s="278"/>
      <c r="AD113" s="278"/>
      <c r="AE113" s="10"/>
    </row>
    <row r="114" customFormat="false" ht="15" hidden="false" customHeight="true" outlineLevel="0" collapsed="false">
      <c r="A114" s="10"/>
      <c r="B114" s="34"/>
      <c r="C114" s="34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</row>
    <row r="115" customFormat="false" ht="19.5" hidden="false" customHeight="true" outlineLevel="0" collapsed="false">
      <c r="A115" s="10"/>
      <c r="B115" s="267" t="s">
        <v>606</v>
      </c>
      <c r="C115" s="268" t="n">
        <f aca="false">SUMIF('Input Data'!B:B,"L01",'Input Data'!F:F)</f>
        <v>356.8</v>
      </c>
      <c r="D115" s="273" t="str">
        <f aca="false">IFERROR(INDEX('Input Data'!D:D,MATCH("101&amp;2",'Input Data'!$C:$C,0)),"VACANT")</f>
        <v>BLITZEM PTY LTD</v>
      </c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83" t="str">
        <f aca="false">IFERROR(INDEX('Input Data'!D:D,MATCH("103",'Input Data'!$C:$C,0)),"VACANT")</f>
        <v>PU PRIME TRADING PTY LTD</v>
      </c>
      <c r="R115" s="283"/>
      <c r="S115" s="283"/>
      <c r="T115" s="283"/>
      <c r="U115" s="283"/>
      <c r="V115" s="283"/>
      <c r="W115" s="283"/>
      <c r="X115" s="273" t="str">
        <f aca="false">IFERROR(INDEX('Input Data'!D:D,MATCH("104",'Input Data'!$C:$C,0)),"VACANT")</f>
        <v>TJC#1 PTY LTD</v>
      </c>
      <c r="Y115" s="273"/>
      <c r="Z115" s="273"/>
      <c r="AA115" s="273"/>
      <c r="AB115" s="273"/>
      <c r="AC115" s="273"/>
      <c r="AD115" s="273"/>
      <c r="AE115" s="10"/>
    </row>
    <row r="116" customFormat="false" ht="15" hidden="false" customHeight="true" outlineLevel="0" collapsed="false">
      <c r="A116" s="10"/>
      <c r="B116" s="267"/>
      <c r="C116" s="267"/>
      <c r="D116" s="275" t="str">
        <f aca="false">"Suite "&amp;"101&amp;2"</f>
        <v>Suite 101&amp;2</v>
      </c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84" t="str">
        <f aca="false">"Suite "&amp;"103"</f>
        <v>Suite 103</v>
      </c>
      <c r="R116" s="284"/>
      <c r="S116" s="284"/>
      <c r="T116" s="284"/>
      <c r="U116" s="284"/>
      <c r="V116" s="284"/>
      <c r="W116" s="284"/>
      <c r="X116" s="275" t="str">
        <f aca="false">"Suite "&amp;"104"</f>
        <v>Suite 104</v>
      </c>
      <c r="Y116" s="275"/>
      <c r="Z116" s="275"/>
      <c r="AA116" s="275"/>
      <c r="AB116" s="275"/>
      <c r="AC116" s="275"/>
      <c r="AD116" s="275"/>
      <c r="AE116" s="10"/>
    </row>
    <row r="117" customFormat="false" ht="15" hidden="false" customHeight="true" outlineLevel="0" collapsed="false">
      <c r="A117" s="10"/>
      <c r="B117" s="267"/>
      <c r="C117" s="267"/>
      <c r="D117" s="275" t="str">
        <f aca="false"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84" t="str">
        <f aca="false"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284"/>
      <c r="S117" s="284"/>
      <c r="T117" s="284"/>
      <c r="U117" s="284"/>
      <c r="V117" s="284"/>
      <c r="W117" s="284"/>
      <c r="X117" s="275" t="str">
        <f aca="false"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275"/>
      <c r="Z117" s="275"/>
      <c r="AA117" s="275"/>
      <c r="AB117" s="275"/>
      <c r="AC117" s="275"/>
      <c r="AD117" s="275"/>
      <c r="AE117" s="10"/>
    </row>
    <row r="118" customFormat="false" ht="15" hidden="false" customHeight="true" outlineLevel="0" collapsed="false">
      <c r="A118" s="10"/>
      <c r="B118" s="267"/>
      <c r="C118" s="267"/>
      <c r="D118" s="275" t="str">
        <f aca="false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$1,012  |  Incent: nil</v>
      </c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84" t="str">
        <f aca="false"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$1,022  |  Incent: $93.68</v>
      </c>
      <c r="R118" s="284"/>
      <c r="S118" s="284"/>
      <c r="T118" s="284"/>
      <c r="U118" s="284"/>
      <c r="V118" s="284"/>
      <c r="W118" s="284"/>
      <c r="X118" s="275" t="str">
        <f aca="false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275"/>
      <c r="Z118" s="275"/>
      <c r="AA118" s="275"/>
      <c r="AB118" s="275"/>
      <c r="AC118" s="275"/>
      <c r="AD118" s="275"/>
      <c r="AE118" s="10"/>
    </row>
    <row r="119" customFormat="false" ht="15" hidden="false" customHeight="true" outlineLevel="0" collapsed="false">
      <c r="A119" s="10"/>
      <c r="B119" s="267"/>
      <c r="C119" s="267"/>
      <c r="D119" s="275" t="str">
        <f aca="false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$61.18 psm  |  Net: $164,409 pa</v>
      </c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84" t="str">
        <f aca="false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$89,396 pa</v>
      </c>
      <c r="R119" s="284"/>
      <c r="S119" s="284"/>
      <c r="T119" s="284"/>
      <c r="U119" s="284"/>
      <c r="V119" s="284"/>
      <c r="W119" s="284"/>
      <c r="X119" s="275" t="str">
        <f aca="false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275"/>
      <c r="Z119" s="275"/>
      <c r="AA119" s="275"/>
      <c r="AB119" s="275"/>
      <c r="AC119" s="275"/>
      <c r="AD119" s="275"/>
      <c r="AE119" s="10"/>
    </row>
    <row r="120" customFormat="false" ht="15" hidden="false" customHeight="true" outlineLevel="0" collapsed="false">
      <c r="A120" s="10"/>
      <c r="B120" s="267"/>
      <c r="C120" s="267"/>
      <c r="D120" s="275" t="str">
        <f aca="false">IFERROR("Start: "&amp;TEXT(INDEX('Input Data'!G:G,MATCH("101&amp;2",'Input Data'!$C:$C,0)),"DD/MM/YY")&amp;"  →  Expiry: "&amp;TEXT(INDEX('Input Data'!H:H,MATCH("101&amp;2",'Input Data'!$C:$C,0)),"DD/MM/YY"),"—")</f>
        <v>Start: 01/03/17  →  Expiry: 30/06/29</v>
      </c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84" t="str">
        <f aca="false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284"/>
      <c r="S120" s="284"/>
      <c r="T120" s="284"/>
      <c r="U120" s="284"/>
      <c r="V120" s="284"/>
      <c r="W120" s="284"/>
      <c r="X120" s="275" t="str">
        <f aca="false">IFERROR("Start: "&amp;TEXT(INDEX('Input Data'!G:G,MATCH("104",'Input Data'!$C:$C,0)),"DD/MM/YY")&amp;"  →  Expiry: "&amp;TEXT(INDEX('Input Data'!H:H,MATCH("104",'Input Data'!$C:$C,0)),"DD/MM/YY"),"—")</f>
        <v>Start: 01/08/23  →  Expiry: 31/07/26</v>
      </c>
      <c r="Y120" s="275"/>
      <c r="Z120" s="275"/>
      <c r="AA120" s="275"/>
      <c r="AB120" s="275"/>
      <c r="AC120" s="275"/>
      <c r="AD120" s="275"/>
      <c r="AE120" s="10"/>
    </row>
    <row r="121" customFormat="false" ht="15" hidden="false" customHeight="true" outlineLevel="0" collapsed="false">
      <c r="A121" s="10"/>
      <c r="B121" s="267"/>
      <c r="C121" s="267"/>
      <c r="D121" s="275" t="str">
        <f aca="true">IFERROR(IF((INDEX('Input Data'!H:H,MATCH("101&amp;2",'Input Data'!$C:$C,0))-TODAY())&gt;0,TEXT((INDEX('Input Data'!H:H,MATCH("101&amp;2",'Input Data'!$C:$C,0))-TODAY())/365.25,"0.0")&amp;" yrs remaining","⚠ EXPIRED"),"—")</f>
        <v>3.0 yrs remaining</v>
      </c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84" t="str">
        <f aca="true">IFERROR(IF((INDEX('Input Data'!H:H,MATCH("103",'Input Data'!$C:$C,0))-TODAY())&gt;0,TEXT((INDEX('Input Data'!H:H,MATCH("103",'Input Data'!$C:$C,0))-TODAY())/365.25,"0.0")&amp;" yrs remaining","⚠ EXPIRED"),"—")</f>
        <v>2.0 yrs remaining</v>
      </c>
      <c r="R121" s="284"/>
      <c r="S121" s="284"/>
      <c r="T121" s="284"/>
      <c r="U121" s="284"/>
      <c r="V121" s="284"/>
      <c r="W121" s="284"/>
      <c r="X121" s="275" t="str">
        <f aca="true">IFERROR(IF((INDEX('Input Data'!H:H,MATCH("104",'Input Data'!$C:$C,0))-TODAY())&gt;0,TEXT((INDEX('Input Data'!H:H,MATCH("104",'Input Data'!$C:$C,0))-TODAY())/365.25,"0.0")&amp;" yrs remaining","⚠ EXPIRED"),"—")</f>
        <v>0.1 yrs remaining</v>
      </c>
      <c r="Y121" s="275"/>
      <c r="Z121" s="275"/>
      <c r="AA121" s="275"/>
      <c r="AB121" s="275"/>
      <c r="AC121" s="275"/>
      <c r="AD121" s="275"/>
      <c r="AE121" s="10"/>
    </row>
    <row r="122" customFormat="false" ht="15" hidden="false" customHeight="true" outlineLevel="0" collapsed="false">
      <c r="A122" s="10"/>
      <c r="B122" s="267"/>
      <c r="C122" s="267"/>
      <c r="D122" s="275" t="str">
        <f aca="false">""</f>
        <v/>
      </c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84" t="str">
        <f aca="false">""</f>
        <v/>
      </c>
      <c r="R122" s="284"/>
      <c r="S122" s="284"/>
      <c r="T122" s="284"/>
      <c r="U122" s="284"/>
      <c r="V122" s="284"/>
      <c r="W122" s="284"/>
      <c r="X122" s="275" t="str">
        <f aca="false">""</f>
        <v/>
      </c>
      <c r="Y122" s="275"/>
      <c r="Z122" s="275"/>
      <c r="AA122" s="275"/>
      <c r="AB122" s="275"/>
      <c r="AC122" s="275"/>
      <c r="AD122" s="275"/>
      <c r="AE122" s="10"/>
    </row>
    <row r="123" customFormat="false" ht="3.75" hidden="false" customHeight="true" outlineLevel="0" collapsed="false">
      <c r="A123" s="10"/>
      <c r="B123" s="267"/>
      <c r="C123" s="267"/>
      <c r="D123" s="278" t="str">
        <f aca="false">""</f>
        <v/>
      </c>
      <c r="E123" s="278"/>
      <c r="F123" s="278"/>
      <c r="G123" s="278"/>
      <c r="H123" s="278"/>
      <c r="I123" s="278"/>
      <c r="J123" s="278"/>
      <c r="K123" s="278"/>
      <c r="L123" s="278"/>
      <c r="M123" s="278"/>
      <c r="N123" s="278"/>
      <c r="O123" s="278"/>
      <c r="P123" s="278"/>
      <c r="Q123" s="278" t="str">
        <f aca="false">""</f>
        <v/>
      </c>
      <c r="R123" s="278"/>
      <c r="S123" s="278"/>
      <c r="T123" s="278"/>
      <c r="U123" s="278"/>
      <c r="V123" s="278"/>
      <c r="W123" s="278"/>
      <c r="X123" s="278" t="str">
        <f aca="false">""</f>
        <v/>
      </c>
      <c r="Y123" s="278"/>
      <c r="Z123" s="278"/>
      <c r="AA123" s="278"/>
      <c r="AB123" s="278"/>
      <c r="AC123" s="278"/>
      <c r="AD123" s="278"/>
      <c r="AE123" s="10"/>
    </row>
    <row r="124" customFormat="false" ht="15" hidden="false" customHeight="true" outlineLevel="0" collapsed="false">
      <c r="A124" s="10"/>
      <c r="B124" s="34"/>
      <c r="C124" s="34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</row>
    <row r="125" customFormat="false" ht="19.5" hidden="false" customHeight="true" outlineLevel="0" collapsed="false">
      <c r="A125" s="10"/>
      <c r="B125" s="267" t="s">
        <v>607</v>
      </c>
      <c r="C125" s="268" t="n">
        <f aca="false">SUMIF('Input Data'!B:B,"GF",'Input Data'!F:F)</f>
        <v>298.3</v>
      </c>
      <c r="D125" s="287" t="str">
        <f aca="false">IFERROR(INDEX('Input Data'!D:D,MATCH("GROUND",'Input Data'!$C:$C,0)),"VACANT")</f>
        <v>RCVRI MARTIN PLACE PTY LTD</v>
      </c>
      <c r="E125" s="287"/>
      <c r="F125" s="287"/>
      <c r="G125" s="287"/>
      <c r="H125" s="287"/>
      <c r="I125" s="287"/>
      <c r="J125" s="287"/>
      <c r="K125" s="287"/>
      <c r="L125" s="287"/>
      <c r="M125" s="287"/>
      <c r="N125" s="287"/>
      <c r="O125" s="287"/>
      <c r="P125" s="287"/>
      <c r="Q125" s="287"/>
      <c r="R125" s="287"/>
      <c r="S125" s="287"/>
      <c r="T125" s="287"/>
      <c r="U125" s="287"/>
      <c r="V125" s="287"/>
      <c r="W125" s="287"/>
      <c r="X125" s="287"/>
      <c r="Y125" s="287"/>
      <c r="Z125" s="287"/>
      <c r="AA125" s="287"/>
      <c r="AB125" s="287"/>
      <c r="AC125" s="287"/>
      <c r="AD125" s="287"/>
      <c r="AE125" s="10"/>
    </row>
    <row r="126" customFormat="false" ht="15" hidden="false" customHeight="true" outlineLevel="0" collapsed="false">
      <c r="A126" s="10"/>
      <c r="B126" s="267"/>
      <c r="C126" s="267"/>
      <c r="D126" s="288" t="str">
        <f aca="false">"Suite "&amp;"GROUND"</f>
        <v>Suite GROUND</v>
      </c>
      <c r="E126" s="288"/>
      <c r="F126" s="288"/>
      <c r="G126" s="288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8"/>
      <c r="T126" s="288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10"/>
    </row>
    <row r="127" customFormat="false" ht="15" hidden="false" customHeight="true" outlineLevel="0" collapsed="false">
      <c r="A127" s="10"/>
      <c r="B127" s="267"/>
      <c r="C127" s="267"/>
      <c r="D127" s="288" t="str">
        <f aca="false"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288"/>
      <c r="F127" s="288"/>
      <c r="G127" s="288"/>
      <c r="H127" s="288"/>
      <c r="I127" s="288"/>
      <c r="J127" s="288"/>
      <c r="K127" s="288"/>
      <c r="L127" s="288"/>
      <c r="M127" s="288"/>
      <c r="N127" s="288"/>
      <c r="O127" s="288"/>
      <c r="P127" s="288"/>
      <c r="Q127" s="288"/>
      <c r="R127" s="288"/>
      <c r="S127" s="288"/>
      <c r="T127" s="288"/>
      <c r="U127" s="288"/>
      <c r="V127" s="288"/>
      <c r="W127" s="288"/>
      <c r="X127" s="288"/>
      <c r="Y127" s="288"/>
      <c r="Z127" s="288"/>
      <c r="AA127" s="288"/>
      <c r="AB127" s="288"/>
      <c r="AC127" s="288"/>
      <c r="AD127" s="288"/>
      <c r="AE127" s="10"/>
    </row>
    <row r="128" customFormat="false" ht="15" hidden="false" customHeight="true" outlineLevel="0" collapsed="false">
      <c r="A128" s="10"/>
      <c r="B128" s="267"/>
      <c r="C128" s="267"/>
      <c r="D128" s="288" t="str">
        <f aca="false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288"/>
      <c r="F128" s="288"/>
      <c r="G128" s="288"/>
      <c r="H128" s="288"/>
      <c r="I128" s="288"/>
      <c r="J128" s="288"/>
      <c r="K128" s="288"/>
      <c r="L128" s="288"/>
      <c r="M128" s="288"/>
      <c r="N128" s="288"/>
      <c r="O128" s="288"/>
      <c r="P128" s="288"/>
      <c r="Q128" s="288"/>
      <c r="R128" s="288"/>
      <c r="S128" s="288"/>
      <c r="T128" s="288"/>
      <c r="U128" s="288"/>
      <c r="V128" s="288"/>
      <c r="W128" s="288"/>
      <c r="X128" s="288"/>
      <c r="Y128" s="288"/>
      <c r="Z128" s="288"/>
      <c r="AA128" s="288"/>
      <c r="AB128" s="288"/>
      <c r="AC128" s="288"/>
      <c r="AD128" s="288"/>
      <c r="AE128" s="10"/>
    </row>
    <row r="129" customFormat="false" ht="15" hidden="false" customHeight="true" outlineLevel="0" collapsed="false">
      <c r="A129" s="10"/>
      <c r="B129" s="267"/>
      <c r="C129" s="267"/>
      <c r="D129" s="288" t="str">
        <f aca="false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288"/>
      <c r="F129" s="288"/>
      <c r="G129" s="288"/>
      <c r="H129" s="288"/>
      <c r="I129" s="288"/>
      <c r="J129" s="288"/>
      <c r="K129" s="288"/>
      <c r="L129" s="288"/>
      <c r="M129" s="288"/>
      <c r="N129" s="288"/>
      <c r="O129" s="288"/>
      <c r="P129" s="288"/>
      <c r="Q129" s="288"/>
      <c r="R129" s="288"/>
      <c r="S129" s="288"/>
      <c r="T129" s="288"/>
      <c r="U129" s="288"/>
      <c r="V129" s="288"/>
      <c r="W129" s="288"/>
      <c r="X129" s="288"/>
      <c r="Y129" s="288"/>
      <c r="Z129" s="288"/>
      <c r="AA129" s="288"/>
      <c r="AB129" s="288"/>
      <c r="AC129" s="288"/>
      <c r="AD129" s="288"/>
      <c r="AE129" s="10"/>
    </row>
    <row r="130" customFormat="false" ht="15" hidden="false" customHeight="true" outlineLevel="0" collapsed="false">
      <c r="A130" s="10"/>
      <c r="B130" s="267"/>
      <c r="C130" s="267"/>
      <c r="D130" s="288" t="str">
        <f aca="false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288"/>
      <c r="F130" s="288"/>
      <c r="G130" s="288"/>
      <c r="H130" s="288"/>
      <c r="I130" s="288"/>
      <c r="J130" s="288"/>
      <c r="K130" s="288"/>
      <c r="L130" s="288"/>
      <c r="M130" s="288"/>
      <c r="N130" s="288"/>
      <c r="O130" s="288"/>
      <c r="P130" s="288"/>
      <c r="Q130" s="288"/>
      <c r="R130" s="288"/>
      <c r="S130" s="288"/>
      <c r="T130" s="288"/>
      <c r="U130" s="288"/>
      <c r="V130" s="288"/>
      <c r="W130" s="288"/>
      <c r="X130" s="288"/>
      <c r="Y130" s="288"/>
      <c r="Z130" s="288"/>
      <c r="AA130" s="288"/>
      <c r="AB130" s="288"/>
      <c r="AC130" s="288"/>
      <c r="AD130" s="288"/>
      <c r="AE130" s="10"/>
    </row>
    <row r="131" customFormat="false" ht="15" hidden="false" customHeight="true" outlineLevel="0" collapsed="false">
      <c r="A131" s="10"/>
      <c r="B131" s="267"/>
      <c r="C131" s="267"/>
      <c r="D131" s="288" t="str">
        <f aca="true">IFERROR(IF((INDEX('Input Data'!H:H,MATCH("GROUND",'Input Data'!$C:$C,0))-TODAY())&gt;0,TEXT((INDEX('Input Data'!H:H,MATCH("GROUND",'Input Data'!$C:$C,0))-TODAY())/365.25,"0.0")&amp;" yrs remaining","⚠ EXPIRED"),"—")</f>
        <v>5.6 yrs remaining</v>
      </c>
      <c r="E131" s="288"/>
      <c r="F131" s="288"/>
      <c r="G131" s="288"/>
      <c r="H131" s="288"/>
      <c r="I131" s="288"/>
      <c r="J131" s="288"/>
      <c r="K131" s="288"/>
      <c r="L131" s="288"/>
      <c r="M131" s="288"/>
      <c r="N131" s="288"/>
      <c r="O131" s="288"/>
      <c r="P131" s="288"/>
      <c r="Q131" s="288"/>
      <c r="R131" s="288"/>
      <c r="S131" s="288"/>
      <c r="T131" s="288"/>
      <c r="U131" s="288"/>
      <c r="V131" s="288"/>
      <c r="W131" s="288"/>
      <c r="X131" s="288"/>
      <c r="Y131" s="288"/>
      <c r="Z131" s="288"/>
      <c r="AA131" s="288"/>
      <c r="AB131" s="288"/>
      <c r="AC131" s="288"/>
      <c r="AD131" s="288"/>
      <c r="AE131" s="10"/>
    </row>
    <row r="132" customFormat="false" ht="15" hidden="false" customHeight="true" outlineLevel="0" collapsed="false">
      <c r="A132" s="10"/>
      <c r="B132" s="267"/>
      <c r="C132" s="267"/>
      <c r="D132" s="288" t="str">
        <f aca="false">""</f>
        <v/>
      </c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8"/>
      <c r="Z132" s="288"/>
      <c r="AA132" s="288"/>
      <c r="AB132" s="288"/>
      <c r="AC132" s="288"/>
      <c r="AD132" s="288"/>
      <c r="AE132" s="10"/>
    </row>
    <row r="133" customFormat="false" ht="3.75" hidden="false" customHeight="true" outlineLevel="0" collapsed="false">
      <c r="A133" s="10"/>
      <c r="B133" s="267"/>
      <c r="C133" s="267"/>
      <c r="D133" s="278" t="str">
        <f aca="false">""</f>
        <v/>
      </c>
      <c r="E133" s="278"/>
      <c r="F133" s="278"/>
      <c r="G133" s="278"/>
      <c r="H133" s="278"/>
      <c r="I133" s="278"/>
      <c r="J133" s="278"/>
      <c r="K133" s="278"/>
      <c r="L133" s="278"/>
      <c r="M133" s="278"/>
      <c r="N133" s="278"/>
      <c r="O133" s="278"/>
      <c r="P133" s="278"/>
      <c r="Q133" s="278"/>
      <c r="R133" s="278"/>
      <c r="S133" s="278"/>
      <c r="T133" s="278"/>
      <c r="U133" s="278"/>
      <c r="V133" s="278"/>
      <c r="W133" s="278"/>
      <c r="X133" s="278"/>
      <c r="Y133" s="278"/>
      <c r="Z133" s="278"/>
      <c r="AA133" s="278"/>
      <c r="AB133" s="278"/>
      <c r="AC133" s="278"/>
      <c r="AD133" s="278"/>
      <c r="AE133" s="10"/>
    </row>
    <row r="134" customFormat="false" ht="15" hidden="false" customHeight="true" outlineLevel="0" collapsed="false">
      <c r="A134" s="10"/>
      <c r="B134" s="34"/>
      <c r="C134" s="34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</row>
    <row r="135" customFormat="false" ht="19.5" hidden="false" customHeight="true" outlineLevel="0" collapsed="false">
      <c r="A135" s="10"/>
      <c r="B135" s="267" t="s">
        <v>608</v>
      </c>
      <c r="C135" s="268" t="n">
        <f aca="false">SUMIF('Input Data'!B:B,"BSMT",'Input Data'!F:F)</f>
        <v>151.2</v>
      </c>
      <c r="D135" s="279" t="str">
        <f aca="false">IFERROR(INDEX('Input Data'!D:D,MATCH("LWR GROUND",'Input Data'!$C:$C,0)),"VACANT")</f>
        <v>OPULENT TWO ENTERPRISES</v>
      </c>
      <c r="E135" s="279"/>
      <c r="F135" s="279"/>
      <c r="G135" s="279"/>
      <c r="H135" s="279"/>
      <c r="I135" s="279"/>
      <c r="J135" s="279"/>
      <c r="K135" s="279"/>
      <c r="L135" s="279"/>
      <c r="M135" s="279"/>
      <c r="N135" s="279"/>
      <c r="O135" s="279"/>
      <c r="P135" s="279"/>
      <c r="Q135" s="279"/>
      <c r="R135" s="279"/>
      <c r="S135" s="279"/>
      <c r="T135" s="279"/>
      <c r="U135" s="279"/>
      <c r="V135" s="279"/>
      <c r="W135" s="279"/>
      <c r="X135" s="279"/>
      <c r="Y135" s="279"/>
      <c r="Z135" s="279"/>
      <c r="AA135" s="279"/>
      <c r="AB135" s="279"/>
      <c r="AC135" s="279"/>
      <c r="AD135" s="279"/>
      <c r="AE135" s="10"/>
    </row>
    <row r="136" customFormat="false" ht="15" hidden="false" customHeight="true" outlineLevel="0" collapsed="false">
      <c r="A136" s="10"/>
      <c r="B136" s="267"/>
      <c r="C136" s="267"/>
      <c r="D136" s="280" t="str">
        <f aca="false">"Suite "&amp;"LWR GROUND"</f>
        <v>Suite LWR GROUND</v>
      </c>
      <c r="E136" s="280"/>
      <c r="F136" s="280"/>
      <c r="G136" s="280"/>
      <c r="H136" s="280"/>
      <c r="I136" s="280"/>
      <c r="J136" s="280"/>
      <c r="K136" s="280"/>
      <c r="L136" s="280"/>
      <c r="M136" s="280"/>
      <c r="N136" s="280"/>
      <c r="O136" s="280"/>
      <c r="P136" s="280"/>
      <c r="Q136" s="280"/>
      <c r="R136" s="280"/>
      <c r="S136" s="280"/>
      <c r="T136" s="280"/>
      <c r="U136" s="280"/>
      <c r="V136" s="280"/>
      <c r="W136" s="280"/>
      <c r="X136" s="280"/>
      <c r="Y136" s="280"/>
      <c r="Z136" s="280"/>
      <c r="AA136" s="280"/>
      <c r="AB136" s="280"/>
      <c r="AC136" s="280"/>
      <c r="AD136" s="280"/>
      <c r="AE136" s="10"/>
    </row>
    <row r="137" customFormat="false" ht="15" hidden="false" customHeight="true" outlineLevel="0" collapsed="false">
      <c r="A137" s="10"/>
      <c r="B137" s="267"/>
      <c r="C137" s="267"/>
      <c r="D137" s="280" t="str">
        <f aca="false"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280"/>
      <c r="F137" s="280"/>
      <c r="G137" s="280"/>
      <c r="H137" s="280"/>
      <c r="I137" s="280"/>
      <c r="J137" s="280"/>
      <c r="K137" s="280"/>
      <c r="L137" s="280"/>
      <c r="M137" s="280"/>
      <c r="N137" s="280"/>
      <c r="O137" s="280"/>
      <c r="P137" s="280"/>
      <c r="Q137" s="280"/>
      <c r="R137" s="280"/>
      <c r="S137" s="280"/>
      <c r="T137" s="280"/>
      <c r="U137" s="280"/>
      <c r="V137" s="280"/>
      <c r="W137" s="280"/>
      <c r="X137" s="280"/>
      <c r="Y137" s="280"/>
      <c r="Z137" s="280"/>
      <c r="AA137" s="280"/>
      <c r="AB137" s="280"/>
      <c r="AC137" s="280"/>
      <c r="AD137" s="280"/>
      <c r="AE137" s="10"/>
    </row>
    <row r="138" customFormat="false" ht="15" hidden="false" customHeight="true" outlineLevel="0" collapsed="false">
      <c r="A138" s="10"/>
      <c r="B138" s="267"/>
      <c r="C138" s="267"/>
      <c r="D138" s="280" t="str">
        <f aca="false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280"/>
      <c r="F138" s="280"/>
      <c r="G138" s="280"/>
      <c r="H138" s="280"/>
      <c r="I138" s="280"/>
      <c r="J138" s="280"/>
      <c r="K138" s="280"/>
      <c r="L138" s="280"/>
      <c r="M138" s="280"/>
      <c r="N138" s="280"/>
      <c r="O138" s="280"/>
      <c r="P138" s="280"/>
      <c r="Q138" s="280"/>
      <c r="R138" s="280"/>
      <c r="S138" s="280"/>
      <c r="T138" s="280"/>
      <c r="U138" s="280"/>
      <c r="V138" s="280"/>
      <c r="W138" s="280"/>
      <c r="X138" s="280"/>
      <c r="Y138" s="280"/>
      <c r="Z138" s="280"/>
      <c r="AA138" s="280"/>
      <c r="AB138" s="280"/>
      <c r="AC138" s="280"/>
      <c r="AD138" s="280"/>
      <c r="AE138" s="10"/>
    </row>
    <row r="139" customFormat="false" ht="15" hidden="false" customHeight="true" outlineLevel="0" collapsed="false">
      <c r="A139" s="10"/>
      <c r="B139" s="267"/>
      <c r="C139" s="267"/>
      <c r="D139" s="280" t="str">
        <f aca="false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280"/>
      <c r="F139" s="280"/>
      <c r="G139" s="280"/>
      <c r="H139" s="280"/>
      <c r="I139" s="280"/>
      <c r="J139" s="280"/>
      <c r="K139" s="280"/>
      <c r="L139" s="280"/>
      <c r="M139" s="280"/>
      <c r="N139" s="280"/>
      <c r="O139" s="280"/>
      <c r="P139" s="280"/>
      <c r="Q139" s="280"/>
      <c r="R139" s="280"/>
      <c r="S139" s="280"/>
      <c r="T139" s="280"/>
      <c r="U139" s="280"/>
      <c r="V139" s="280"/>
      <c r="W139" s="280"/>
      <c r="X139" s="280"/>
      <c r="Y139" s="280"/>
      <c r="Z139" s="280"/>
      <c r="AA139" s="280"/>
      <c r="AB139" s="280"/>
      <c r="AC139" s="280"/>
      <c r="AD139" s="280"/>
      <c r="AE139" s="10"/>
    </row>
    <row r="140" customFormat="false" ht="15" hidden="false" customHeight="true" outlineLevel="0" collapsed="false">
      <c r="A140" s="10"/>
      <c r="B140" s="267"/>
      <c r="C140" s="267"/>
      <c r="D140" s="280" t="str">
        <f aca="false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280"/>
      <c r="F140" s="280"/>
      <c r="G140" s="280"/>
      <c r="H140" s="280"/>
      <c r="I140" s="280"/>
      <c r="J140" s="280"/>
      <c r="K140" s="280"/>
      <c r="L140" s="280"/>
      <c r="M140" s="280"/>
      <c r="N140" s="280"/>
      <c r="O140" s="280"/>
      <c r="P140" s="280"/>
      <c r="Q140" s="280"/>
      <c r="R140" s="280"/>
      <c r="S140" s="280"/>
      <c r="T140" s="280"/>
      <c r="U140" s="280"/>
      <c r="V140" s="280"/>
      <c r="W140" s="280"/>
      <c r="X140" s="280"/>
      <c r="Y140" s="280"/>
      <c r="Z140" s="280"/>
      <c r="AA140" s="280"/>
      <c r="AB140" s="280"/>
      <c r="AC140" s="280"/>
      <c r="AD140" s="280"/>
      <c r="AE140" s="10"/>
    </row>
    <row r="141" customFormat="false" ht="15" hidden="false" customHeight="true" outlineLevel="0" collapsed="false">
      <c r="A141" s="10"/>
      <c r="B141" s="267"/>
      <c r="C141" s="267"/>
      <c r="D141" s="280" t="str">
        <f aca="true">IFERROR(IF((INDEX('Input Data'!H:H,MATCH("LWR GROUND",'Input Data'!$C:$C,0))-TODAY())&gt;0,TEXT((INDEX('Input Data'!H:H,MATCH("LWR GROUND",'Input Data'!$C:$C,0))-TODAY())/365.25,"0.0")&amp;" yrs remaining","⚠ EXPIRED"),"—")</f>
        <v>2.6 yrs remaining</v>
      </c>
      <c r="E141" s="280"/>
      <c r="F141" s="280"/>
      <c r="G141" s="280"/>
      <c r="H141" s="280"/>
      <c r="I141" s="280"/>
      <c r="J141" s="280"/>
      <c r="K141" s="280"/>
      <c r="L141" s="280"/>
      <c r="M141" s="280"/>
      <c r="N141" s="280"/>
      <c r="O141" s="280"/>
      <c r="P141" s="280"/>
      <c r="Q141" s="280"/>
      <c r="R141" s="280"/>
      <c r="S141" s="280"/>
      <c r="T141" s="280"/>
      <c r="U141" s="280"/>
      <c r="V141" s="280"/>
      <c r="W141" s="280"/>
      <c r="X141" s="280"/>
      <c r="Y141" s="280"/>
      <c r="Z141" s="280"/>
      <c r="AA141" s="280"/>
      <c r="AB141" s="280"/>
      <c r="AC141" s="280"/>
      <c r="AD141" s="280"/>
      <c r="AE141" s="10"/>
    </row>
    <row r="142" customFormat="false" ht="15" hidden="false" customHeight="true" outlineLevel="0" collapsed="false">
      <c r="A142" s="10"/>
      <c r="B142" s="267"/>
      <c r="C142" s="267"/>
      <c r="D142" s="280" t="str">
        <f aca="false">""</f>
        <v/>
      </c>
      <c r="E142" s="280"/>
      <c r="F142" s="280"/>
      <c r="G142" s="280"/>
      <c r="H142" s="280"/>
      <c r="I142" s="280"/>
      <c r="J142" s="280"/>
      <c r="K142" s="280"/>
      <c r="L142" s="280"/>
      <c r="M142" s="280"/>
      <c r="N142" s="280"/>
      <c r="O142" s="280"/>
      <c r="P142" s="280"/>
      <c r="Q142" s="280"/>
      <c r="R142" s="280"/>
      <c r="S142" s="280"/>
      <c r="T142" s="280"/>
      <c r="U142" s="280"/>
      <c r="V142" s="280"/>
      <c r="W142" s="280"/>
      <c r="X142" s="280"/>
      <c r="Y142" s="280"/>
      <c r="Z142" s="280"/>
      <c r="AA142" s="280"/>
      <c r="AB142" s="280"/>
      <c r="AC142" s="280"/>
      <c r="AD142" s="280"/>
      <c r="AE142" s="10"/>
    </row>
    <row r="143" customFormat="false" ht="3.75" hidden="false" customHeight="true" outlineLevel="0" collapsed="false">
      <c r="A143" s="10"/>
      <c r="B143" s="267"/>
      <c r="C143" s="267"/>
      <c r="D143" s="278" t="str">
        <f aca="false">""</f>
        <v/>
      </c>
      <c r="E143" s="278"/>
      <c r="F143" s="278"/>
      <c r="G143" s="278"/>
      <c r="H143" s="278"/>
      <c r="I143" s="278"/>
      <c r="J143" s="278"/>
      <c r="K143" s="278"/>
      <c r="L143" s="278"/>
      <c r="M143" s="278"/>
      <c r="N143" s="278"/>
      <c r="O143" s="278"/>
      <c r="P143" s="278"/>
      <c r="Q143" s="278"/>
      <c r="R143" s="278"/>
      <c r="S143" s="278"/>
      <c r="T143" s="278"/>
      <c r="U143" s="278"/>
      <c r="V143" s="278"/>
      <c r="W143" s="278"/>
      <c r="X143" s="278"/>
      <c r="Y143" s="278"/>
      <c r="Z143" s="278"/>
      <c r="AA143" s="278"/>
      <c r="AB143" s="278"/>
      <c r="AC143" s="278"/>
      <c r="AD143" s="278"/>
      <c r="AE143" s="10"/>
    </row>
    <row r="144" customFormat="false" ht="15" hidden="false" customHeight="true" outlineLevel="0" collapsed="false">
      <c r="A144" s="10"/>
      <c r="B144" s="34"/>
      <c r="C144" s="34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</row>
    <row r="145" customFormat="false" ht="7.5" hidden="false" customHeight="true" outlineLevel="0" collapsed="false">
      <c r="A145" s="10"/>
      <c r="B145" s="117"/>
      <c r="C145" s="117"/>
      <c r="D145" s="245"/>
      <c r="E145" s="245"/>
      <c r="F145" s="245"/>
      <c r="G145" s="245"/>
      <c r="H145" s="245"/>
      <c r="I145" s="245"/>
      <c r="J145" s="245"/>
      <c r="K145" s="245"/>
      <c r="L145" s="245"/>
      <c r="M145" s="245"/>
      <c r="N145" s="245"/>
      <c r="O145" s="245"/>
      <c r="P145" s="245"/>
      <c r="Q145" s="245"/>
      <c r="R145" s="245"/>
      <c r="S145" s="245"/>
      <c r="T145" s="245"/>
      <c r="U145" s="245"/>
      <c r="V145" s="245"/>
      <c r="W145" s="245"/>
      <c r="X145" s="245"/>
      <c r="Y145" s="245"/>
      <c r="Z145" s="245"/>
      <c r="AA145" s="245"/>
      <c r="AB145" s="245"/>
      <c r="AC145" s="245"/>
      <c r="AD145" s="245"/>
      <c r="AE145" s="10"/>
    </row>
    <row r="146" customFormat="false" ht="14.2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</row>
    <row r="147" customFormat="false" ht="18" hidden="false" customHeight="true" outlineLevel="0" collapsed="false">
      <c r="A147" s="10"/>
      <c r="B147" s="11" t="s">
        <v>609</v>
      </c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0"/>
    </row>
    <row r="148" customFormat="false" ht="19.5" hidden="false" customHeight="true" outlineLevel="0" collapsed="false">
      <c r="A148" s="10"/>
      <c r="B148" s="10"/>
      <c r="C148" s="10"/>
      <c r="D148" s="107" t="s">
        <v>610</v>
      </c>
      <c r="E148" s="107"/>
      <c r="F148" s="10"/>
      <c r="G148" s="108" t="s">
        <v>449</v>
      </c>
      <c r="H148" s="108"/>
      <c r="I148" s="10"/>
      <c r="J148" s="106" t="s">
        <v>450</v>
      </c>
      <c r="K148" s="106"/>
      <c r="L148" s="10"/>
      <c r="M148" s="109" t="s">
        <v>451</v>
      </c>
      <c r="N148" s="109"/>
      <c r="O148" s="10"/>
      <c r="P148" s="289" t="s">
        <v>452</v>
      </c>
      <c r="Q148" s="289"/>
      <c r="R148" s="10"/>
      <c r="S148" s="290" t="s">
        <v>453</v>
      </c>
      <c r="T148" s="290"/>
      <c r="U148" s="10"/>
      <c r="V148" s="291" t="s">
        <v>454</v>
      </c>
      <c r="W148" s="291"/>
      <c r="X148" s="10"/>
      <c r="Y148" s="174" t="s">
        <v>455</v>
      </c>
      <c r="Z148" s="174"/>
      <c r="AA148" s="10"/>
      <c r="AB148" s="10"/>
      <c r="AC148" s="10"/>
      <c r="AD148" s="10"/>
      <c r="AE148" s="10"/>
    </row>
    <row r="149" customFormat="false" ht="14.2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</row>
    <row r="150" customFormat="false" ht="18" hidden="false" customHeight="true" outlineLevel="0" collapsed="false">
      <c r="A150" s="10"/>
      <c r="B150" s="11" t="s">
        <v>611</v>
      </c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0"/>
    </row>
    <row r="151" customFormat="false" ht="19.5" hidden="false" customHeight="true" outlineLevel="0" collapsed="false">
      <c r="A151" s="10"/>
      <c r="B151" s="117"/>
      <c r="C151" s="117"/>
      <c r="D151" s="292" t="s">
        <v>612</v>
      </c>
      <c r="E151" s="292"/>
      <c r="F151" s="292"/>
      <c r="G151" s="292"/>
      <c r="H151" s="292" t="s">
        <v>613</v>
      </c>
      <c r="I151" s="292"/>
      <c r="J151" s="292"/>
      <c r="K151" s="292"/>
      <c r="L151" s="292" t="s">
        <v>614</v>
      </c>
      <c r="M151" s="292"/>
      <c r="N151" s="292"/>
      <c r="O151" s="292"/>
      <c r="P151" s="292" t="s">
        <v>615</v>
      </c>
      <c r="Q151" s="292"/>
      <c r="R151" s="292"/>
      <c r="S151" s="292"/>
      <c r="T151" s="292" t="s">
        <v>616</v>
      </c>
      <c r="U151" s="292"/>
      <c r="V151" s="292"/>
      <c r="W151" s="292"/>
      <c r="X151" s="292" t="s">
        <v>617</v>
      </c>
      <c r="Y151" s="292"/>
      <c r="Z151" s="292"/>
      <c r="AA151" s="292"/>
      <c r="AB151" s="10"/>
      <c r="AC151" s="10"/>
      <c r="AD151" s="10"/>
      <c r="AE151" s="10"/>
    </row>
  </sheetData>
  <mergeCells count="274">
    <mergeCell ref="A1:AE1"/>
    <mergeCell ref="A2:AE2"/>
    <mergeCell ref="D3:AD3"/>
    <mergeCell ref="D4:AD4"/>
    <mergeCell ref="B5:B13"/>
    <mergeCell ref="C5:C13"/>
    <mergeCell ref="D5:AD5"/>
    <mergeCell ref="D6:AD6"/>
    <mergeCell ref="D7:AD7"/>
    <mergeCell ref="D8:AD8"/>
    <mergeCell ref="D9:AD9"/>
    <mergeCell ref="D10:AD10"/>
    <mergeCell ref="D11:AD11"/>
    <mergeCell ref="D12:AD12"/>
    <mergeCell ref="D13:AD13"/>
    <mergeCell ref="B15:B23"/>
    <mergeCell ref="C15:C23"/>
    <mergeCell ref="D15:I15"/>
    <mergeCell ref="J15:S15"/>
    <mergeCell ref="T15:AD15"/>
    <mergeCell ref="D16:I16"/>
    <mergeCell ref="J16:S16"/>
    <mergeCell ref="T16:AD16"/>
    <mergeCell ref="D17:I17"/>
    <mergeCell ref="J17:S17"/>
    <mergeCell ref="T17:AD17"/>
    <mergeCell ref="D18:I18"/>
    <mergeCell ref="J18:S18"/>
    <mergeCell ref="T18:AD18"/>
    <mergeCell ref="D19:I19"/>
    <mergeCell ref="J19:S19"/>
    <mergeCell ref="T19:AD19"/>
    <mergeCell ref="D20:I20"/>
    <mergeCell ref="J20:S20"/>
    <mergeCell ref="T20:AD20"/>
    <mergeCell ref="D21:I21"/>
    <mergeCell ref="J21:S21"/>
    <mergeCell ref="T21:AD21"/>
    <mergeCell ref="D22:I22"/>
    <mergeCell ref="J22:S22"/>
    <mergeCell ref="T22:AD22"/>
    <mergeCell ref="D23:I23"/>
    <mergeCell ref="J23:S23"/>
    <mergeCell ref="T23:AD23"/>
    <mergeCell ref="B25:B33"/>
    <mergeCell ref="C25:C33"/>
    <mergeCell ref="D25:AD25"/>
    <mergeCell ref="D26:AD26"/>
    <mergeCell ref="D27:AD27"/>
    <mergeCell ref="D28:AD28"/>
    <mergeCell ref="D29:AD29"/>
    <mergeCell ref="D30:AD30"/>
    <mergeCell ref="D31:AD31"/>
    <mergeCell ref="D32:AD32"/>
    <mergeCell ref="D33:AD33"/>
    <mergeCell ref="B35:B43"/>
    <mergeCell ref="C35:C43"/>
    <mergeCell ref="D35:I35"/>
    <mergeCell ref="J35:AD35"/>
    <mergeCell ref="D36:I36"/>
    <mergeCell ref="J36:AD36"/>
    <mergeCell ref="D37:I37"/>
    <mergeCell ref="J37:AD37"/>
    <mergeCell ref="D38:I38"/>
    <mergeCell ref="J38:AD38"/>
    <mergeCell ref="D39:I39"/>
    <mergeCell ref="J39:AD39"/>
    <mergeCell ref="D40:I40"/>
    <mergeCell ref="J40:AD40"/>
    <mergeCell ref="D41:I41"/>
    <mergeCell ref="J41:AD41"/>
    <mergeCell ref="D42:I42"/>
    <mergeCell ref="J42:AD42"/>
    <mergeCell ref="D43:I43"/>
    <mergeCell ref="J43:AD43"/>
    <mergeCell ref="B45:B53"/>
    <mergeCell ref="C45:C53"/>
    <mergeCell ref="D45:T45"/>
    <mergeCell ref="U45:AD45"/>
    <mergeCell ref="D46:T46"/>
    <mergeCell ref="U46:AD46"/>
    <mergeCell ref="D47:T47"/>
    <mergeCell ref="U47:AD47"/>
    <mergeCell ref="D48:T48"/>
    <mergeCell ref="U48:AD48"/>
    <mergeCell ref="D49:T49"/>
    <mergeCell ref="U49:AD49"/>
    <mergeCell ref="D50:T50"/>
    <mergeCell ref="U50:AD50"/>
    <mergeCell ref="D51:T51"/>
    <mergeCell ref="U51:AD51"/>
    <mergeCell ref="D52:T52"/>
    <mergeCell ref="U52:AD52"/>
    <mergeCell ref="D53:T53"/>
    <mergeCell ref="U53:AD53"/>
    <mergeCell ref="B55:B63"/>
    <mergeCell ref="C55:C63"/>
    <mergeCell ref="D55:R55"/>
    <mergeCell ref="S55:AD55"/>
    <mergeCell ref="D56:R56"/>
    <mergeCell ref="S56:AD56"/>
    <mergeCell ref="D57:R57"/>
    <mergeCell ref="S57:AD57"/>
    <mergeCell ref="D58:R58"/>
    <mergeCell ref="S58:AD58"/>
    <mergeCell ref="D59:R59"/>
    <mergeCell ref="S59:AD59"/>
    <mergeCell ref="D60:R60"/>
    <mergeCell ref="S60:AD60"/>
    <mergeCell ref="D61:R61"/>
    <mergeCell ref="S61:AD61"/>
    <mergeCell ref="D62:R62"/>
    <mergeCell ref="S62:AD62"/>
    <mergeCell ref="D63:R63"/>
    <mergeCell ref="S63:AD63"/>
    <mergeCell ref="B65:B73"/>
    <mergeCell ref="C65:C73"/>
    <mergeCell ref="D65:S65"/>
    <mergeCell ref="T65:AD65"/>
    <mergeCell ref="D66:S66"/>
    <mergeCell ref="T66:AD66"/>
    <mergeCell ref="D67:S67"/>
    <mergeCell ref="T67:AD67"/>
    <mergeCell ref="D68:S68"/>
    <mergeCell ref="T68:AD68"/>
    <mergeCell ref="D69:S69"/>
    <mergeCell ref="T69:AD69"/>
    <mergeCell ref="D70:S70"/>
    <mergeCell ref="T70:AD70"/>
    <mergeCell ref="D71:S71"/>
    <mergeCell ref="T71:AD71"/>
    <mergeCell ref="D72:S72"/>
    <mergeCell ref="T72:AD72"/>
    <mergeCell ref="D73:S73"/>
    <mergeCell ref="T73:AD73"/>
    <mergeCell ref="B75:B83"/>
    <mergeCell ref="C75:C83"/>
    <mergeCell ref="D75:R75"/>
    <mergeCell ref="S75:AD75"/>
    <mergeCell ref="D76:R76"/>
    <mergeCell ref="S76:AD76"/>
    <mergeCell ref="D77:R77"/>
    <mergeCell ref="S77:AD77"/>
    <mergeCell ref="D78:R78"/>
    <mergeCell ref="S78:AD78"/>
    <mergeCell ref="D79:R79"/>
    <mergeCell ref="S79:AD79"/>
    <mergeCell ref="D80:R80"/>
    <mergeCell ref="S80:AD80"/>
    <mergeCell ref="D81:R81"/>
    <mergeCell ref="S81:AD81"/>
    <mergeCell ref="D82:R82"/>
    <mergeCell ref="S82:AD82"/>
    <mergeCell ref="D83:R83"/>
    <mergeCell ref="S83:AD83"/>
    <mergeCell ref="B85:B93"/>
    <mergeCell ref="C85:C93"/>
    <mergeCell ref="D85:S85"/>
    <mergeCell ref="T85:AD85"/>
    <mergeCell ref="D86:S86"/>
    <mergeCell ref="T86:AD86"/>
    <mergeCell ref="D87:S87"/>
    <mergeCell ref="T87:AD87"/>
    <mergeCell ref="D88:S88"/>
    <mergeCell ref="T88:AD88"/>
    <mergeCell ref="D89:S89"/>
    <mergeCell ref="T89:AD89"/>
    <mergeCell ref="D90:S90"/>
    <mergeCell ref="T90:AD90"/>
    <mergeCell ref="D91:S91"/>
    <mergeCell ref="T91:AD91"/>
    <mergeCell ref="D92:S92"/>
    <mergeCell ref="T92:AD92"/>
    <mergeCell ref="D93:S93"/>
    <mergeCell ref="T93:AD93"/>
    <mergeCell ref="B95:B103"/>
    <mergeCell ref="C95:C103"/>
    <mergeCell ref="D95:O95"/>
    <mergeCell ref="P95:AD95"/>
    <mergeCell ref="D96:O96"/>
    <mergeCell ref="P96:AD96"/>
    <mergeCell ref="D97:O97"/>
    <mergeCell ref="P97:AD97"/>
    <mergeCell ref="D98:O98"/>
    <mergeCell ref="P98:AD98"/>
    <mergeCell ref="D99:O99"/>
    <mergeCell ref="P99:AD99"/>
    <mergeCell ref="D100:O100"/>
    <mergeCell ref="P100:AD100"/>
    <mergeCell ref="D101:O101"/>
    <mergeCell ref="P101:AD101"/>
    <mergeCell ref="D102:O102"/>
    <mergeCell ref="P102:AD102"/>
    <mergeCell ref="D103:O103"/>
    <mergeCell ref="P103:AD103"/>
    <mergeCell ref="B105:B113"/>
    <mergeCell ref="C105:C113"/>
    <mergeCell ref="D105:AD105"/>
    <mergeCell ref="D106:AD106"/>
    <mergeCell ref="D107:AD107"/>
    <mergeCell ref="D108:AD108"/>
    <mergeCell ref="D109:AD109"/>
    <mergeCell ref="D110:AD110"/>
    <mergeCell ref="D111:AD111"/>
    <mergeCell ref="D112:AD112"/>
    <mergeCell ref="D113:AD113"/>
    <mergeCell ref="B115:B123"/>
    <mergeCell ref="C115:C123"/>
    <mergeCell ref="D115:P115"/>
    <mergeCell ref="Q115:W115"/>
    <mergeCell ref="X115:AD115"/>
    <mergeCell ref="D116:P116"/>
    <mergeCell ref="Q116:W116"/>
    <mergeCell ref="X116:AD116"/>
    <mergeCell ref="D117:P117"/>
    <mergeCell ref="Q117:W117"/>
    <mergeCell ref="X117:AD117"/>
    <mergeCell ref="D118:P118"/>
    <mergeCell ref="Q118:W118"/>
    <mergeCell ref="X118:AD118"/>
    <mergeCell ref="D119:P119"/>
    <mergeCell ref="Q119:W119"/>
    <mergeCell ref="X119:AD119"/>
    <mergeCell ref="D120:P120"/>
    <mergeCell ref="Q120:W120"/>
    <mergeCell ref="X120:AD120"/>
    <mergeCell ref="D121:P121"/>
    <mergeCell ref="Q121:W121"/>
    <mergeCell ref="X121:AD121"/>
    <mergeCell ref="D122:P122"/>
    <mergeCell ref="Q122:W122"/>
    <mergeCell ref="X122:AD122"/>
    <mergeCell ref="D123:P123"/>
    <mergeCell ref="Q123:W123"/>
    <mergeCell ref="X123:AD123"/>
    <mergeCell ref="B125:B133"/>
    <mergeCell ref="C125:C133"/>
    <mergeCell ref="D125:AD125"/>
    <mergeCell ref="D126:AD126"/>
    <mergeCell ref="D127:AD127"/>
    <mergeCell ref="D128:AD128"/>
    <mergeCell ref="D129:AD129"/>
    <mergeCell ref="D130:AD130"/>
    <mergeCell ref="D131:AD131"/>
    <mergeCell ref="D132:AD132"/>
    <mergeCell ref="D133:AD133"/>
    <mergeCell ref="B135:B143"/>
    <mergeCell ref="C135:C143"/>
    <mergeCell ref="D135:AD135"/>
    <mergeCell ref="D136:AD136"/>
    <mergeCell ref="D137:AD137"/>
    <mergeCell ref="D138:AD138"/>
    <mergeCell ref="D139:AD139"/>
    <mergeCell ref="D140:AD140"/>
    <mergeCell ref="D141:AD141"/>
    <mergeCell ref="D142:AD142"/>
    <mergeCell ref="D143:AD143"/>
    <mergeCell ref="D145:AD145"/>
    <mergeCell ref="B147:AD147"/>
    <mergeCell ref="D148:E148"/>
    <mergeCell ref="G148:H148"/>
    <mergeCell ref="J148:K148"/>
    <mergeCell ref="M148:N148"/>
    <mergeCell ref="P148:Q148"/>
    <mergeCell ref="S148:T148"/>
    <mergeCell ref="V148:W148"/>
    <mergeCell ref="Y148:Z148"/>
    <mergeCell ref="B150:AD150"/>
    <mergeCell ref="D151:G151"/>
    <mergeCell ref="H151:K151"/>
    <mergeCell ref="L151:O151"/>
    <mergeCell ref="P151:S151"/>
    <mergeCell ref="T151:W151"/>
    <mergeCell ref="X151:AA151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7" width="1.45"/>
    <col collapsed="false" customWidth="true" hidden="false" outlineLevel="0" max="2" min="2" style="7" width="14"/>
    <col collapsed="false" customWidth="true" hidden="false" outlineLevel="0" max="3" min="3" style="7" width="12"/>
    <col collapsed="false" customWidth="true" hidden="false" outlineLevel="0" max="6" min="4" style="7" width="14"/>
    <col collapsed="false" customWidth="true" hidden="false" outlineLevel="0" max="12" min="7" style="7" width="12"/>
    <col collapsed="false" customWidth="true" hidden="false" outlineLevel="0" max="13" min="13" style="7" width="1.45"/>
  </cols>
  <sheetData>
    <row r="1" customFormat="false" ht="30" hidden="false" customHeight="true" outlineLevel="0" collapsed="false">
      <c r="A1" s="8" t="s">
        <v>618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24" hidden="false" customHeight="true" outlineLevel="0" collapsed="false">
      <c r="A2" s="189" t="s">
        <v>619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</row>
    <row r="3" customFormat="false" ht="30" hidden="false" customHeight="true" outlineLevel="0" collapsed="false">
      <c r="A3" s="293" t="s">
        <v>620</v>
      </c>
      <c r="B3" s="293"/>
      <c r="C3" s="293"/>
      <c r="D3" s="293"/>
      <c r="E3" s="293"/>
      <c r="F3" s="293"/>
      <c r="G3" s="293"/>
      <c r="H3" s="293"/>
      <c r="I3" s="293"/>
      <c r="J3" s="293"/>
      <c r="K3" s="293"/>
      <c r="L3" s="293"/>
      <c r="M3" s="293"/>
    </row>
    <row r="4" customFormat="false" ht="36" hidden="false" customHeight="true" outlineLevel="0" collapsed="false">
      <c r="A4" s="10"/>
      <c r="B4" s="41" t="s">
        <v>371</v>
      </c>
      <c r="C4" s="41" t="s">
        <v>621</v>
      </c>
      <c r="D4" s="41" t="s">
        <v>622</v>
      </c>
      <c r="E4" s="41" t="s">
        <v>623</v>
      </c>
      <c r="F4" s="41" t="s">
        <v>624</v>
      </c>
      <c r="G4" s="41" t="s">
        <v>625</v>
      </c>
      <c r="H4" s="41" t="s">
        <v>626</v>
      </c>
      <c r="I4" s="41" t="s">
        <v>627</v>
      </c>
      <c r="J4" s="41" t="s">
        <v>628</v>
      </c>
      <c r="K4" s="41" t="s">
        <v>629</v>
      </c>
      <c r="L4" s="41" t="s">
        <v>630</v>
      </c>
      <c r="M4" s="41" t="s">
        <v>82</v>
      </c>
    </row>
    <row r="5" customFormat="false" ht="19.5" hidden="false" customHeight="true" outlineLevel="0" collapsed="false">
      <c r="A5" s="11" t="s">
        <v>631</v>
      </c>
      <c r="B5" s="168" t="n">
        <f aca="true">TODAY()</f>
        <v>46202</v>
      </c>
      <c r="C5" s="294" t="n">
        <f aca="false">SUMPRODUCT(('Input Data'!K3:K27&gt;0)*('Input Data'!Y3:Y27&lt;&gt;"EXPIRED")*'Input Data'!F3:F27)</f>
        <v>4328.7</v>
      </c>
      <c r="D5" s="184" t="n">
        <f aca="false">IFERROR(C5/SUM('Input Data'!F3:F27),0)</f>
        <v>0.920119034966521</v>
      </c>
      <c r="E5" s="186" t="n">
        <f aca="false">SUMPRODUCT(('Input Data'!K3:K27&gt;0)*('Input Data'!Y3:Y27&lt;&gt;"EXPIRED")*'Input Data'!K3:K27)</f>
        <v>4906203.941</v>
      </c>
      <c r="F5" s="186" t="n">
        <f aca="false">SUMPRODUCT(('Input Data'!K3:K27&gt;0)*('Input Data'!Y3:Y27&lt;&gt;"EXPIRED")*'Input Data'!N3:N27)</f>
        <v>4062126.511</v>
      </c>
      <c r="G5" s="186" t="n">
        <f aca="false">IFERROR(SUMPRODUCT(('Input Data'!K3:K27&gt;0)*('Input Data'!Y3:Y27&lt;&gt;"EXPIRED")*'Input Data'!J3:J27*'Input Data'!F3:F27)/SUMPRODUCT(('Input Data'!K3:K27&gt;0)*('Input Data'!Y3:Y27&lt;&gt;"EXPIRED")*'Input Data'!F3:F27),0)</f>
        <v>1133.41278929009</v>
      </c>
      <c r="H5" s="186" t="n">
        <f aca="false">IFERROR(SUMPRODUCT(('Input Data'!K3:K27&gt;0)*('Input Data'!Y3:Y27&lt;&gt;"EXPIRED")*('Input Data'!K3:K27+'Input Data'!L3:L27))/SUMPRODUCT(('Input Data'!K3:K27&gt;0)*('Input Data'!Y3:Y27&lt;&gt;"EXPIRED")*'Input Data'!F3:F27),0)</f>
        <v>938.417194769792</v>
      </c>
      <c r="I5" s="186" t="n">
        <f aca="false">IFERROR((E5-F5)/C5,0)</f>
        <v>194.995594520295</v>
      </c>
      <c r="J5" s="295" t="n">
        <f aca="false">IFERROR((E5-F5)/E5,0)</f>
        <v>0.172042874725659</v>
      </c>
      <c r="K5" s="296" t="n">
        <f aca="true">IFERROR(SUMPRODUCT(('Input Data'!K3:K27&gt;0)*('Input Data'!Y3:Y27&lt;&gt;"EXPIRED")*'Input Data'!F3:F27*MAX(('Input Data'!H3:H27-TODAY())/365.25,0))/SUMPRODUCT(('Input Data'!K3:K27&gt;0)*('Input Data'!Y3:Y27&lt;&gt;"EXPIRED")*'Input Data'!F3:F27),0)</f>
        <v>0</v>
      </c>
      <c r="L5" s="296" t="n">
        <f aca="true">IFERROR(SUMPRODUCT(('Input Data'!K3:K27&gt;0)*('Input Data'!Y3:Y27&lt;&gt;"EXPIRED")*'Input Data'!N3:N27*MAX(('Input Data'!H3:H27-TODAY())/365.25,0))/SUMPRODUCT(('Input Data'!K3:K27&gt;0)*('Input Data'!Y3:Y27&lt;&gt;"EXPIRED")*'Input Data'!N3:N27),0)</f>
        <v>0</v>
      </c>
      <c r="M5" s="43" t="str">
        <f aca="false">" ← Live (recalculates each month)"</f>
        <v> ← Live (recalculates each month)</v>
      </c>
    </row>
    <row r="6" customFormat="false" ht="18" hidden="false" customHeight="true" outlineLevel="0" collapsed="false">
      <c r="A6" s="297" t="n">
        <v>1</v>
      </c>
      <c r="B6" s="26" t="n">
        <v>46142</v>
      </c>
      <c r="C6" s="65" t="n">
        <v>4544.2</v>
      </c>
      <c r="D6" s="298" t="n">
        <v>0.9659</v>
      </c>
      <c r="E6" s="67" t="n">
        <v>4460629</v>
      </c>
      <c r="F6" s="67" t="n">
        <v>4009966</v>
      </c>
      <c r="G6" s="67" t="n">
        <v>980</v>
      </c>
      <c r="H6" s="67" t="n">
        <v>882</v>
      </c>
      <c r="I6" s="67" t="n">
        <v>98</v>
      </c>
      <c r="J6" s="68" t="n">
        <v>0.0982</v>
      </c>
      <c r="K6" s="69" t="n">
        <v>2.44</v>
      </c>
      <c r="L6" s="69" t="n">
        <v>2.51</v>
      </c>
      <c r="M6" s="37" t="s">
        <v>632</v>
      </c>
    </row>
    <row r="7" customFormat="false" ht="18" hidden="false" customHeight="true" outlineLevel="0" collapsed="false">
      <c r="A7" s="299" t="n">
        <v>2</v>
      </c>
      <c r="B7" s="300"/>
      <c r="C7" s="301"/>
      <c r="D7" s="302"/>
      <c r="E7" s="303"/>
      <c r="F7" s="303"/>
      <c r="G7" s="303"/>
      <c r="H7" s="303"/>
      <c r="I7" s="303"/>
      <c r="J7" s="304"/>
      <c r="K7" s="305"/>
      <c r="L7" s="305"/>
      <c r="M7" s="306"/>
    </row>
    <row r="8" customFormat="false" ht="18" hidden="false" customHeight="true" outlineLevel="0" collapsed="false">
      <c r="A8" s="297" t="n">
        <v>3</v>
      </c>
      <c r="B8" s="300"/>
      <c r="C8" s="301"/>
      <c r="D8" s="302"/>
      <c r="E8" s="303"/>
      <c r="F8" s="303"/>
      <c r="G8" s="303"/>
      <c r="H8" s="303"/>
      <c r="I8" s="303"/>
      <c r="J8" s="304"/>
      <c r="K8" s="305"/>
      <c r="L8" s="305"/>
      <c r="M8" s="306"/>
    </row>
    <row r="9" customFormat="false" ht="18" hidden="false" customHeight="true" outlineLevel="0" collapsed="false">
      <c r="A9" s="299" t="n">
        <v>4</v>
      </c>
      <c r="B9" s="300"/>
      <c r="C9" s="301"/>
      <c r="D9" s="302"/>
      <c r="E9" s="303"/>
      <c r="F9" s="303"/>
      <c r="G9" s="303"/>
      <c r="H9" s="303"/>
      <c r="I9" s="303"/>
      <c r="J9" s="304"/>
      <c r="K9" s="305"/>
      <c r="L9" s="305"/>
      <c r="M9" s="306"/>
    </row>
    <row r="10" customFormat="false" ht="18" hidden="false" customHeight="true" outlineLevel="0" collapsed="false">
      <c r="A10" s="297" t="n">
        <v>5</v>
      </c>
      <c r="B10" s="300"/>
      <c r="C10" s="301"/>
      <c r="D10" s="302"/>
      <c r="E10" s="303"/>
      <c r="F10" s="303"/>
      <c r="G10" s="303"/>
      <c r="H10" s="303"/>
      <c r="I10" s="303"/>
      <c r="J10" s="304"/>
      <c r="K10" s="305"/>
      <c r="L10" s="305"/>
      <c r="M10" s="306"/>
    </row>
    <row r="11" customFormat="false" ht="18" hidden="false" customHeight="true" outlineLevel="0" collapsed="false">
      <c r="A11" s="299" t="n">
        <v>6</v>
      </c>
      <c r="B11" s="300"/>
      <c r="C11" s="301"/>
      <c r="D11" s="302"/>
      <c r="E11" s="303"/>
      <c r="F11" s="303"/>
      <c r="G11" s="303"/>
      <c r="H11" s="303"/>
      <c r="I11" s="303"/>
      <c r="J11" s="304"/>
      <c r="K11" s="305"/>
      <c r="L11" s="305"/>
      <c r="M11" s="306"/>
    </row>
    <row r="12" customFormat="false" ht="18" hidden="false" customHeight="true" outlineLevel="0" collapsed="false">
      <c r="A12" s="297" t="n">
        <v>7</v>
      </c>
      <c r="B12" s="300"/>
      <c r="C12" s="301"/>
      <c r="D12" s="302"/>
      <c r="E12" s="303"/>
      <c r="F12" s="303"/>
      <c r="G12" s="303"/>
      <c r="H12" s="303"/>
      <c r="I12" s="303"/>
      <c r="J12" s="304"/>
      <c r="K12" s="305"/>
      <c r="L12" s="305"/>
      <c r="M12" s="306"/>
    </row>
    <row r="13" customFormat="false" ht="18" hidden="false" customHeight="true" outlineLevel="0" collapsed="false">
      <c r="A13" s="299" t="n">
        <v>8</v>
      </c>
      <c r="B13" s="300"/>
      <c r="C13" s="301"/>
      <c r="D13" s="302"/>
      <c r="E13" s="303"/>
      <c r="F13" s="303"/>
      <c r="G13" s="303"/>
      <c r="H13" s="303"/>
      <c r="I13" s="303"/>
      <c r="J13" s="304"/>
      <c r="K13" s="305"/>
      <c r="L13" s="305"/>
      <c r="M13" s="306"/>
    </row>
    <row r="14" customFormat="false" ht="18" hidden="false" customHeight="true" outlineLevel="0" collapsed="false">
      <c r="A14" s="297" t="n">
        <v>9</v>
      </c>
      <c r="B14" s="300"/>
      <c r="C14" s="301"/>
      <c r="D14" s="302"/>
      <c r="E14" s="303"/>
      <c r="F14" s="303"/>
      <c r="G14" s="303"/>
      <c r="H14" s="303"/>
      <c r="I14" s="303"/>
      <c r="J14" s="304"/>
      <c r="K14" s="305"/>
      <c r="L14" s="305"/>
      <c r="M14" s="306"/>
    </row>
    <row r="15" customFormat="false" ht="18" hidden="false" customHeight="true" outlineLevel="0" collapsed="false">
      <c r="A15" s="299" t="n">
        <v>10</v>
      </c>
      <c r="B15" s="300"/>
      <c r="C15" s="301"/>
      <c r="D15" s="302"/>
      <c r="E15" s="303"/>
      <c r="F15" s="303"/>
      <c r="G15" s="303"/>
      <c r="H15" s="303"/>
      <c r="I15" s="303"/>
      <c r="J15" s="304"/>
      <c r="K15" s="305"/>
      <c r="L15" s="305"/>
      <c r="M15" s="306"/>
    </row>
    <row r="16" customFormat="false" ht="18" hidden="false" customHeight="true" outlineLevel="0" collapsed="false">
      <c r="A16" s="297" t="n">
        <v>11</v>
      </c>
      <c r="B16" s="300"/>
      <c r="C16" s="301"/>
      <c r="D16" s="302"/>
      <c r="E16" s="303"/>
      <c r="F16" s="303"/>
      <c r="G16" s="303"/>
      <c r="H16" s="303"/>
      <c r="I16" s="303"/>
      <c r="J16" s="304"/>
      <c r="K16" s="305"/>
      <c r="L16" s="305"/>
      <c r="M16" s="306"/>
    </row>
    <row r="17" customFormat="false" ht="18" hidden="false" customHeight="true" outlineLevel="0" collapsed="false">
      <c r="A17" s="299" t="n">
        <v>12</v>
      </c>
      <c r="B17" s="300"/>
      <c r="C17" s="301"/>
      <c r="D17" s="302"/>
      <c r="E17" s="303"/>
      <c r="F17" s="303"/>
      <c r="G17" s="303"/>
      <c r="H17" s="303"/>
      <c r="I17" s="303"/>
      <c r="J17" s="304"/>
      <c r="K17" s="305"/>
      <c r="L17" s="305"/>
      <c r="M17" s="306"/>
    </row>
    <row r="18" customFormat="false" ht="18" hidden="false" customHeight="true" outlineLevel="0" collapsed="false">
      <c r="A18" s="297" t="n">
        <v>13</v>
      </c>
      <c r="B18" s="300"/>
      <c r="C18" s="301"/>
      <c r="D18" s="302"/>
      <c r="E18" s="303"/>
      <c r="F18" s="303"/>
      <c r="G18" s="303"/>
      <c r="H18" s="303"/>
      <c r="I18" s="303"/>
      <c r="J18" s="304"/>
      <c r="K18" s="305"/>
      <c r="L18" s="305"/>
      <c r="M18" s="306"/>
    </row>
    <row r="19" customFormat="false" ht="18" hidden="false" customHeight="true" outlineLevel="0" collapsed="false">
      <c r="A19" s="299" t="n">
        <v>14</v>
      </c>
      <c r="B19" s="300"/>
      <c r="C19" s="301"/>
      <c r="D19" s="302"/>
      <c r="E19" s="303"/>
      <c r="F19" s="303"/>
      <c r="G19" s="303"/>
      <c r="H19" s="303"/>
      <c r="I19" s="303"/>
      <c r="J19" s="304"/>
      <c r="K19" s="305"/>
      <c r="L19" s="305"/>
      <c r="M19" s="306"/>
    </row>
    <row r="20" customFormat="false" ht="18" hidden="false" customHeight="true" outlineLevel="0" collapsed="false">
      <c r="A20" s="297" t="n">
        <v>15</v>
      </c>
      <c r="B20" s="300"/>
      <c r="C20" s="301"/>
      <c r="D20" s="302"/>
      <c r="E20" s="303"/>
      <c r="F20" s="303"/>
      <c r="G20" s="303"/>
      <c r="H20" s="303"/>
      <c r="I20" s="303"/>
      <c r="J20" s="304"/>
      <c r="K20" s="305"/>
      <c r="L20" s="305"/>
      <c r="M20" s="306"/>
    </row>
    <row r="21" customFormat="false" ht="18" hidden="false" customHeight="true" outlineLevel="0" collapsed="false">
      <c r="A21" s="299" t="n">
        <v>16</v>
      </c>
      <c r="B21" s="300"/>
      <c r="C21" s="301"/>
      <c r="D21" s="302"/>
      <c r="E21" s="303"/>
      <c r="F21" s="303"/>
      <c r="G21" s="303"/>
      <c r="H21" s="303"/>
      <c r="I21" s="303"/>
      <c r="J21" s="304"/>
      <c r="K21" s="305"/>
      <c r="L21" s="305"/>
      <c r="M21" s="306"/>
    </row>
    <row r="22" customFormat="false" ht="18" hidden="false" customHeight="true" outlineLevel="0" collapsed="false">
      <c r="A22" s="297" t="n">
        <v>17</v>
      </c>
      <c r="B22" s="300"/>
      <c r="C22" s="301"/>
      <c r="D22" s="302"/>
      <c r="E22" s="303"/>
      <c r="F22" s="303"/>
      <c r="G22" s="303"/>
      <c r="H22" s="303"/>
      <c r="I22" s="303"/>
      <c r="J22" s="304"/>
      <c r="K22" s="305"/>
      <c r="L22" s="305"/>
      <c r="M22" s="306"/>
    </row>
    <row r="23" customFormat="false" ht="18" hidden="false" customHeight="true" outlineLevel="0" collapsed="false">
      <c r="A23" s="299" t="n">
        <v>18</v>
      </c>
      <c r="B23" s="300"/>
      <c r="C23" s="301"/>
      <c r="D23" s="302"/>
      <c r="E23" s="303"/>
      <c r="F23" s="303"/>
      <c r="G23" s="303"/>
      <c r="H23" s="303"/>
      <c r="I23" s="303"/>
      <c r="J23" s="304"/>
      <c r="K23" s="305"/>
      <c r="L23" s="305"/>
      <c r="M23" s="306"/>
    </row>
    <row r="24" customFormat="false" ht="18" hidden="false" customHeight="true" outlineLevel="0" collapsed="false">
      <c r="A24" s="297" t="n">
        <v>19</v>
      </c>
      <c r="B24" s="300"/>
      <c r="C24" s="301"/>
      <c r="D24" s="302"/>
      <c r="E24" s="303"/>
      <c r="F24" s="303"/>
      <c r="G24" s="303"/>
      <c r="H24" s="303"/>
      <c r="I24" s="303"/>
      <c r="J24" s="304"/>
      <c r="K24" s="305"/>
      <c r="L24" s="305"/>
      <c r="M24" s="306"/>
    </row>
    <row r="25" customFormat="false" ht="18" hidden="false" customHeight="true" outlineLevel="0" collapsed="false">
      <c r="A25" s="299" t="n">
        <v>20</v>
      </c>
      <c r="B25" s="300"/>
      <c r="C25" s="301"/>
      <c r="D25" s="302"/>
      <c r="E25" s="303"/>
      <c r="F25" s="303"/>
      <c r="G25" s="303"/>
      <c r="H25" s="303"/>
      <c r="I25" s="303"/>
      <c r="J25" s="304"/>
      <c r="K25" s="305"/>
      <c r="L25" s="305"/>
      <c r="M25" s="306"/>
    </row>
    <row r="26" customFormat="false" ht="18" hidden="false" customHeight="true" outlineLevel="0" collapsed="false">
      <c r="A26" s="297" t="n">
        <v>21</v>
      </c>
      <c r="B26" s="300"/>
      <c r="C26" s="301"/>
      <c r="D26" s="302"/>
      <c r="E26" s="303"/>
      <c r="F26" s="303"/>
      <c r="G26" s="303"/>
      <c r="H26" s="303"/>
      <c r="I26" s="303"/>
      <c r="J26" s="304"/>
      <c r="K26" s="305"/>
      <c r="L26" s="305"/>
      <c r="M26" s="306"/>
    </row>
    <row r="27" customFormat="false" ht="18" hidden="false" customHeight="true" outlineLevel="0" collapsed="false">
      <c r="A27" s="299" t="n">
        <v>22</v>
      </c>
      <c r="B27" s="300"/>
      <c r="C27" s="301"/>
      <c r="D27" s="302"/>
      <c r="E27" s="303"/>
      <c r="F27" s="303"/>
      <c r="G27" s="303"/>
      <c r="H27" s="303"/>
      <c r="I27" s="303"/>
      <c r="J27" s="304"/>
      <c r="K27" s="305"/>
      <c r="L27" s="305"/>
      <c r="M27" s="306"/>
    </row>
    <row r="28" customFormat="false" ht="18" hidden="false" customHeight="true" outlineLevel="0" collapsed="false">
      <c r="A28" s="297" t="n">
        <v>23</v>
      </c>
      <c r="B28" s="300"/>
      <c r="C28" s="301"/>
      <c r="D28" s="302"/>
      <c r="E28" s="303"/>
      <c r="F28" s="303"/>
      <c r="G28" s="303"/>
      <c r="H28" s="303"/>
      <c r="I28" s="303"/>
      <c r="J28" s="304"/>
      <c r="K28" s="305"/>
      <c r="L28" s="305"/>
      <c r="M28" s="306"/>
    </row>
    <row r="29" customFormat="false" ht="18" hidden="false" customHeight="true" outlineLevel="0" collapsed="false">
      <c r="A29" s="299" t="n">
        <v>24</v>
      </c>
      <c r="B29" s="300"/>
      <c r="C29" s="301"/>
      <c r="D29" s="302"/>
      <c r="E29" s="303"/>
      <c r="F29" s="303"/>
      <c r="G29" s="303"/>
      <c r="H29" s="303"/>
      <c r="I29" s="303"/>
      <c r="J29" s="304"/>
      <c r="K29" s="305"/>
      <c r="L29" s="305"/>
      <c r="M29" s="306"/>
    </row>
    <row r="30" customFormat="false" ht="18" hidden="false" customHeight="true" outlineLevel="0" collapsed="false">
      <c r="A30" s="297" t="n">
        <v>25</v>
      </c>
      <c r="B30" s="300"/>
      <c r="C30" s="301"/>
      <c r="D30" s="302"/>
      <c r="E30" s="303"/>
      <c r="F30" s="303"/>
      <c r="G30" s="303"/>
      <c r="H30" s="303"/>
      <c r="I30" s="303"/>
      <c r="J30" s="304"/>
      <c r="K30" s="305"/>
      <c r="L30" s="305"/>
      <c r="M30" s="306"/>
    </row>
    <row r="31" customFormat="false" ht="14.2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</row>
    <row r="32" customFormat="false" ht="7.5" hidden="false" customHeight="tru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</row>
    <row r="33" customFormat="false" ht="19.5" hidden="false" customHeight="true" outlineLevel="0" collapsed="false">
      <c r="A33" s="10"/>
      <c r="B33" s="11" t="s">
        <v>633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0"/>
    </row>
  </sheetData>
  <mergeCells count="4">
    <mergeCell ref="A1:M1"/>
    <mergeCell ref="A2:M2"/>
    <mergeCell ref="A3:M3"/>
    <mergeCell ref="B33:L33"/>
  </mergeCells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12" activeCellId="0" sqref="C1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307" width="3"/>
    <col collapsed="false" customWidth="true" hidden="false" outlineLevel="0" max="2" min="2" style="307" width="34"/>
    <col collapsed="false" customWidth="true" hidden="false" outlineLevel="0" max="4" min="3" style="307" width="18.82"/>
    <col collapsed="false" customWidth="true" hidden="false" outlineLevel="0" max="5" min="5" style="307" width="19.45"/>
    <col collapsed="false" customWidth="true" hidden="false" outlineLevel="0" max="6" min="6" style="307" width="24.54"/>
    <col collapsed="false" customWidth="true" hidden="false" outlineLevel="0" max="7" min="7" style="307" width="14.45"/>
    <col collapsed="false" customWidth="true" hidden="false" outlineLevel="0" max="9" min="8" style="307" width="14"/>
    <col collapsed="false" customWidth="true" hidden="false" outlineLevel="0" max="11" min="10" style="307" width="14.18"/>
    <col collapsed="false" customWidth="true" hidden="false" outlineLevel="0" max="12" min="12" style="307" width="16.54"/>
    <col collapsed="false" customWidth="true" hidden="false" outlineLevel="0" max="13" min="13" style="307" width="11.73"/>
    <col collapsed="false" customWidth="false" hidden="false" outlineLevel="0" max="235" min="14" style="307" width="8.73"/>
    <col collapsed="false" customWidth="true" hidden="true" outlineLevel="0" max="238" min="236" style="307" width="13"/>
    <col collapsed="false" customWidth="true" hidden="false" outlineLevel="0" max="239" min="239" style="307" width="35"/>
    <col collapsed="false" customWidth="true" hidden="false" outlineLevel="0" max="240" min="240" style="307" width="22.73"/>
    <col collapsed="false" customWidth="false" hidden="false" outlineLevel="0" max="241" min="241" style="307" width="8.73"/>
    <col collapsed="false" customWidth="true" hidden="false" outlineLevel="0" max="242" min="242" style="307" width="36.45"/>
    <col collapsed="false" customWidth="true" hidden="false" outlineLevel="0" max="243" min="243" style="307" width="20.82"/>
    <col collapsed="false" customWidth="false" hidden="false" outlineLevel="0" max="244" min="244" style="307" width="8.73"/>
    <col collapsed="false" customWidth="true" hidden="false" outlineLevel="0" max="245" min="245" style="307" width="34.45"/>
    <col collapsed="false" customWidth="true" hidden="false" outlineLevel="0" max="246" min="246" style="307" width="20.27"/>
    <col collapsed="false" customWidth="false" hidden="false" outlineLevel="0" max="247" min="247" style="307" width="8.73"/>
    <col collapsed="false" customWidth="true" hidden="false" outlineLevel="0" max="248" min="248" style="307" width="18.27"/>
    <col collapsed="false" customWidth="true" hidden="false" outlineLevel="0" max="249" min="249" style="307" width="15.54"/>
    <col collapsed="false" customWidth="false" hidden="false" outlineLevel="0" max="491" min="250" style="307" width="8.73"/>
    <col collapsed="false" customWidth="true" hidden="true" outlineLevel="0" max="494" min="492" style="307" width="13"/>
    <col collapsed="false" customWidth="true" hidden="false" outlineLevel="0" max="495" min="495" style="307" width="35"/>
    <col collapsed="false" customWidth="true" hidden="false" outlineLevel="0" max="496" min="496" style="307" width="22.73"/>
    <col collapsed="false" customWidth="false" hidden="false" outlineLevel="0" max="497" min="497" style="307" width="8.73"/>
    <col collapsed="false" customWidth="true" hidden="false" outlineLevel="0" max="498" min="498" style="307" width="36.45"/>
    <col collapsed="false" customWidth="true" hidden="false" outlineLevel="0" max="499" min="499" style="307" width="20.82"/>
    <col collapsed="false" customWidth="false" hidden="false" outlineLevel="0" max="500" min="500" style="307" width="8.73"/>
    <col collapsed="false" customWidth="true" hidden="false" outlineLevel="0" max="501" min="501" style="307" width="34.45"/>
    <col collapsed="false" customWidth="true" hidden="false" outlineLevel="0" max="502" min="502" style="307" width="20.27"/>
    <col collapsed="false" customWidth="false" hidden="false" outlineLevel="0" max="503" min="503" style="307" width="8.73"/>
    <col collapsed="false" customWidth="true" hidden="false" outlineLevel="0" max="504" min="504" style="307" width="18.27"/>
    <col collapsed="false" customWidth="true" hidden="false" outlineLevel="0" max="505" min="505" style="307" width="15.54"/>
    <col collapsed="false" customWidth="false" hidden="false" outlineLevel="0" max="747" min="506" style="307" width="8.73"/>
    <col collapsed="false" customWidth="true" hidden="true" outlineLevel="0" max="750" min="748" style="307" width="13"/>
    <col collapsed="false" customWidth="true" hidden="false" outlineLevel="0" max="751" min="751" style="307" width="35"/>
    <col collapsed="false" customWidth="true" hidden="false" outlineLevel="0" max="752" min="752" style="307" width="22.73"/>
    <col collapsed="false" customWidth="false" hidden="false" outlineLevel="0" max="753" min="753" style="307" width="8.73"/>
    <col collapsed="false" customWidth="true" hidden="false" outlineLevel="0" max="754" min="754" style="307" width="36.45"/>
    <col collapsed="false" customWidth="true" hidden="false" outlineLevel="0" max="755" min="755" style="307" width="20.82"/>
    <col collapsed="false" customWidth="false" hidden="false" outlineLevel="0" max="756" min="756" style="307" width="8.73"/>
    <col collapsed="false" customWidth="true" hidden="false" outlineLevel="0" max="757" min="757" style="307" width="34.45"/>
    <col collapsed="false" customWidth="true" hidden="false" outlineLevel="0" max="758" min="758" style="307" width="20.27"/>
    <col collapsed="false" customWidth="false" hidden="false" outlineLevel="0" max="759" min="759" style="307" width="8.73"/>
    <col collapsed="false" customWidth="true" hidden="false" outlineLevel="0" max="760" min="760" style="307" width="18.27"/>
    <col collapsed="false" customWidth="true" hidden="false" outlineLevel="0" max="761" min="761" style="307" width="15.54"/>
    <col collapsed="false" customWidth="false" hidden="false" outlineLevel="0" max="1003" min="762" style="307" width="8.73"/>
    <col collapsed="false" customWidth="true" hidden="true" outlineLevel="0" max="1006" min="1004" style="307" width="13"/>
    <col collapsed="false" customWidth="true" hidden="false" outlineLevel="0" max="1007" min="1007" style="307" width="35"/>
    <col collapsed="false" customWidth="true" hidden="false" outlineLevel="0" max="1008" min="1008" style="307" width="22.73"/>
    <col collapsed="false" customWidth="false" hidden="false" outlineLevel="0" max="1009" min="1009" style="307" width="8.73"/>
    <col collapsed="false" customWidth="true" hidden="false" outlineLevel="0" max="1010" min="1010" style="307" width="36.45"/>
    <col collapsed="false" customWidth="true" hidden="false" outlineLevel="0" max="1011" min="1011" style="307" width="20.82"/>
    <col collapsed="false" customWidth="false" hidden="false" outlineLevel="0" max="1012" min="1012" style="307" width="8.73"/>
    <col collapsed="false" customWidth="true" hidden="false" outlineLevel="0" max="1013" min="1013" style="307" width="34.45"/>
    <col collapsed="false" customWidth="true" hidden="false" outlineLevel="0" max="1014" min="1014" style="307" width="20.27"/>
    <col collapsed="false" customWidth="false" hidden="false" outlineLevel="0" max="1015" min="1015" style="307" width="8.73"/>
    <col collapsed="false" customWidth="true" hidden="false" outlineLevel="0" max="1016" min="1016" style="307" width="18.27"/>
    <col collapsed="false" customWidth="true" hidden="false" outlineLevel="0" max="1017" min="1017" style="307" width="15.54"/>
    <col collapsed="false" customWidth="false" hidden="false" outlineLevel="0" max="1259" min="1018" style="307" width="8.73"/>
    <col collapsed="false" customWidth="true" hidden="true" outlineLevel="0" max="1262" min="1260" style="307" width="13"/>
    <col collapsed="false" customWidth="true" hidden="false" outlineLevel="0" max="1263" min="1263" style="307" width="35"/>
    <col collapsed="false" customWidth="true" hidden="false" outlineLevel="0" max="1264" min="1264" style="307" width="22.73"/>
    <col collapsed="false" customWidth="false" hidden="false" outlineLevel="0" max="1265" min="1265" style="307" width="8.73"/>
    <col collapsed="false" customWidth="true" hidden="false" outlineLevel="0" max="1266" min="1266" style="307" width="36.45"/>
    <col collapsed="false" customWidth="true" hidden="false" outlineLevel="0" max="1267" min="1267" style="307" width="20.82"/>
    <col collapsed="false" customWidth="false" hidden="false" outlineLevel="0" max="1268" min="1268" style="307" width="8.73"/>
    <col collapsed="false" customWidth="true" hidden="false" outlineLevel="0" max="1269" min="1269" style="307" width="34.45"/>
    <col collapsed="false" customWidth="true" hidden="false" outlineLevel="0" max="1270" min="1270" style="307" width="20.27"/>
    <col collapsed="false" customWidth="false" hidden="false" outlineLevel="0" max="1271" min="1271" style="307" width="8.73"/>
    <col collapsed="false" customWidth="true" hidden="false" outlineLevel="0" max="1272" min="1272" style="307" width="18.27"/>
    <col collapsed="false" customWidth="true" hidden="false" outlineLevel="0" max="1273" min="1273" style="307" width="15.54"/>
    <col collapsed="false" customWidth="false" hidden="false" outlineLevel="0" max="1515" min="1274" style="307" width="8.73"/>
    <col collapsed="false" customWidth="true" hidden="true" outlineLevel="0" max="1518" min="1516" style="307" width="13"/>
    <col collapsed="false" customWidth="true" hidden="false" outlineLevel="0" max="1519" min="1519" style="307" width="35"/>
    <col collapsed="false" customWidth="true" hidden="false" outlineLevel="0" max="1520" min="1520" style="307" width="22.73"/>
    <col collapsed="false" customWidth="false" hidden="false" outlineLevel="0" max="1521" min="1521" style="307" width="8.73"/>
    <col collapsed="false" customWidth="true" hidden="false" outlineLevel="0" max="1522" min="1522" style="307" width="36.45"/>
    <col collapsed="false" customWidth="true" hidden="false" outlineLevel="0" max="1523" min="1523" style="307" width="20.82"/>
    <col collapsed="false" customWidth="false" hidden="false" outlineLevel="0" max="1524" min="1524" style="307" width="8.73"/>
    <col collapsed="false" customWidth="true" hidden="false" outlineLevel="0" max="1525" min="1525" style="307" width="34.45"/>
    <col collapsed="false" customWidth="true" hidden="false" outlineLevel="0" max="1526" min="1526" style="307" width="20.27"/>
    <col collapsed="false" customWidth="false" hidden="false" outlineLevel="0" max="1527" min="1527" style="307" width="8.73"/>
    <col collapsed="false" customWidth="true" hidden="false" outlineLevel="0" max="1528" min="1528" style="307" width="18.27"/>
    <col collapsed="false" customWidth="true" hidden="false" outlineLevel="0" max="1529" min="1529" style="307" width="15.54"/>
    <col collapsed="false" customWidth="false" hidden="false" outlineLevel="0" max="1771" min="1530" style="307" width="8.73"/>
    <col collapsed="false" customWidth="true" hidden="true" outlineLevel="0" max="1774" min="1772" style="307" width="13"/>
    <col collapsed="false" customWidth="true" hidden="false" outlineLevel="0" max="1775" min="1775" style="307" width="35"/>
    <col collapsed="false" customWidth="true" hidden="false" outlineLevel="0" max="1776" min="1776" style="307" width="22.73"/>
    <col collapsed="false" customWidth="false" hidden="false" outlineLevel="0" max="1777" min="1777" style="307" width="8.73"/>
    <col collapsed="false" customWidth="true" hidden="false" outlineLevel="0" max="1778" min="1778" style="307" width="36.45"/>
    <col collapsed="false" customWidth="true" hidden="false" outlineLevel="0" max="1779" min="1779" style="307" width="20.82"/>
    <col collapsed="false" customWidth="false" hidden="false" outlineLevel="0" max="1780" min="1780" style="307" width="8.73"/>
    <col collapsed="false" customWidth="true" hidden="false" outlineLevel="0" max="1781" min="1781" style="307" width="34.45"/>
    <col collapsed="false" customWidth="true" hidden="false" outlineLevel="0" max="1782" min="1782" style="307" width="20.27"/>
    <col collapsed="false" customWidth="false" hidden="false" outlineLevel="0" max="1783" min="1783" style="307" width="8.73"/>
    <col collapsed="false" customWidth="true" hidden="false" outlineLevel="0" max="1784" min="1784" style="307" width="18.27"/>
    <col collapsed="false" customWidth="true" hidden="false" outlineLevel="0" max="1785" min="1785" style="307" width="15.54"/>
    <col collapsed="false" customWidth="false" hidden="false" outlineLevel="0" max="2027" min="1786" style="307" width="8.73"/>
    <col collapsed="false" customWidth="true" hidden="true" outlineLevel="0" max="2030" min="2028" style="307" width="13"/>
    <col collapsed="false" customWidth="true" hidden="false" outlineLevel="0" max="2031" min="2031" style="307" width="35"/>
    <col collapsed="false" customWidth="true" hidden="false" outlineLevel="0" max="2032" min="2032" style="307" width="22.73"/>
    <col collapsed="false" customWidth="false" hidden="false" outlineLevel="0" max="2033" min="2033" style="307" width="8.73"/>
    <col collapsed="false" customWidth="true" hidden="false" outlineLevel="0" max="2034" min="2034" style="307" width="36.45"/>
    <col collapsed="false" customWidth="true" hidden="false" outlineLevel="0" max="2035" min="2035" style="307" width="20.82"/>
    <col collapsed="false" customWidth="false" hidden="false" outlineLevel="0" max="2036" min="2036" style="307" width="8.73"/>
    <col collapsed="false" customWidth="true" hidden="false" outlineLevel="0" max="2037" min="2037" style="307" width="34.45"/>
    <col collapsed="false" customWidth="true" hidden="false" outlineLevel="0" max="2038" min="2038" style="307" width="20.27"/>
    <col collapsed="false" customWidth="false" hidden="false" outlineLevel="0" max="2039" min="2039" style="307" width="8.73"/>
    <col collapsed="false" customWidth="true" hidden="false" outlineLevel="0" max="2040" min="2040" style="307" width="18.27"/>
    <col collapsed="false" customWidth="true" hidden="false" outlineLevel="0" max="2041" min="2041" style="307" width="15.54"/>
    <col collapsed="false" customWidth="false" hidden="false" outlineLevel="0" max="2283" min="2042" style="307" width="8.73"/>
    <col collapsed="false" customWidth="true" hidden="true" outlineLevel="0" max="2286" min="2284" style="307" width="13"/>
    <col collapsed="false" customWidth="true" hidden="false" outlineLevel="0" max="2287" min="2287" style="307" width="35"/>
    <col collapsed="false" customWidth="true" hidden="false" outlineLevel="0" max="2288" min="2288" style="307" width="22.73"/>
    <col collapsed="false" customWidth="false" hidden="false" outlineLevel="0" max="2289" min="2289" style="307" width="8.73"/>
    <col collapsed="false" customWidth="true" hidden="false" outlineLevel="0" max="2290" min="2290" style="307" width="36.45"/>
    <col collapsed="false" customWidth="true" hidden="false" outlineLevel="0" max="2291" min="2291" style="307" width="20.82"/>
    <col collapsed="false" customWidth="false" hidden="false" outlineLevel="0" max="2292" min="2292" style="307" width="8.73"/>
    <col collapsed="false" customWidth="true" hidden="false" outlineLevel="0" max="2293" min="2293" style="307" width="34.45"/>
    <col collapsed="false" customWidth="true" hidden="false" outlineLevel="0" max="2294" min="2294" style="307" width="20.27"/>
    <col collapsed="false" customWidth="false" hidden="false" outlineLevel="0" max="2295" min="2295" style="307" width="8.73"/>
    <col collapsed="false" customWidth="true" hidden="false" outlineLevel="0" max="2296" min="2296" style="307" width="18.27"/>
    <col collapsed="false" customWidth="true" hidden="false" outlineLevel="0" max="2297" min="2297" style="307" width="15.54"/>
    <col collapsed="false" customWidth="false" hidden="false" outlineLevel="0" max="2539" min="2298" style="307" width="8.73"/>
    <col collapsed="false" customWidth="true" hidden="true" outlineLevel="0" max="2542" min="2540" style="307" width="13"/>
    <col collapsed="false" customWidth="true" hidden="false" outlineLevel="0" max="2543" min="2543" style="307" width="35"/>
    <col collapsed="false" customWidth="true" hidden="false" outlineLevel="0" max="2544" min="2544" style="307" width="22.73"/>
    <col collapsed="false" customWidth="false" hidden="false" outlineLevel="0" max="2545" min="2545" style="307" width="8.73"/>
    <col collapsed="false" customWidth="true" hidden="false" outlineLevel="0" max="2546" min="2546" style="307" width="36.45"/>
    <col collapsed="false" customWidth="true" hidden="false" outlineLevel="0" max="2547" min="2547" style="307" width="20.82"/>
    <col collapsed="false" customWidth="false" hidden="false" outlineLevel="0" max="2548" min="2548" style="307" width="8.73"/>
    <col collapsed="false" customWidth="true" hidden="false" outlineLevel="0" max="2549" min="2549" style="307" width="34.45"/>
    <col collapsed="false" customWidth="true" hidden="false" outlineLevel="0" max="2550" min="2550" style="307" width="20.27"/>
    <col collapsed="false" customWidth="false" hidden="false" outlineLevel="0" max="2551" min="2551" style="307" width="8.73"/>
    <col collapsed="false" customWidth="true" hidden="false" outlineLevel="0" max="2552" min="2552" style="307" width="18.27"/>
    <col collapsed="false" customWidth="true" hidden="false" outlineLevel="0" max="2553" min="2553" style="307" width="15.54"/>
    <col collapsed="false" customWidth="false" hidden="false" outlineLevel="0" max="2795" min="2554" style="307" width="8.73"/>
    <col collapsed="false" customWidth="true" hidden="true" outlineLevel="0" max="2798" min="2796" style="307" width="13"/>
    <col collapsed="false" customWidth="true" hidden="false" outlineLevel="0" max="2799" min="2799" style="307" width="35"/>
    <col collapsed="false" customWidth="true" hidden="false" outlineLevel="0" max="2800" min="2800" style="307" width="22.73"/>
    <col collapsed="false" customWidth="false" hidden="false" outlineLevel="0" max="2801" min="2801" style="307" width="8.73"/>
    <col collapsed="false" customWidth="true" hidden="false" outlineLevel="0" max="2802" min="2802" style="307" width="36.45"/>
    <col collapsed="false" customWidth="true" hidden="false" outlineLevel="0" max="2803" min="2803" style="307" width="20.82"/>
    <col collapsed="false" customWidth="false" hidden="false" outlineLevel="0" max="2804" min="2804" style="307" width="8.73"/>
    <col collapsed="false" customWidth="true" hidden="false" outlineLevel="0" max="2805" min="2805" style="307" width="34.45"/>
    <col collapsed="false" customWidth="true" hidden="false" outlineLevel="0" max="2806" min="2806" style="307" width="20.27"/>
    <col collapsed="false" customWidth="false" hidden="false" outlineLevel="0" max="2807" min="2807" style="307" width="8.73"/>
    <col collapsed="false" customWidth="true" hidden="false" outlineLevel="0" max="2808" min="2808" style="307" width="18.27"/>
    <col collapsed="false" customWidth="true" hidden="false" outlineLevel="0" max="2809" min="2809" style="307" width="15.54"/>
    <col collapsed="false" customWidth="false" hidden="false" outlineLevel="0" max="3051" min="2810" style="307" width="8.73"/>
    <col collapsed="false" customWidth="true" hidden="true" outlineLevel="0" max="3054" min="3052" style="307" width="13"/>
    <col collapsed="false" customWidth="true" hidden="false" outlineLevel="0" max="3055" min="3055" style="307" width="35"/>
    <col collapsed="false" customWidth="true" hidden="false" outlineLevel="0" max="3056" min="3056" style="307" width="22.73"/>
    <col collapsed="false" customWidth="false" hidden="false" outlineLevel="0" max="3057" min="3057" style="307" width="8.73"/>
    <col collapsed="false" customWidth="true" hidden="false" outlineLevel="0" max="3058" min="3058" style="307" width="36.45"/>
    <col collapsed="false" customWidth="true" hidden="false" outlineLevel="0" max="3059" min="3059" style="307" width="20.82"/>
    <col collapsed="false" customWidth="false" hidden="false" outlineLevel="0" max="3060" min="3060" style="307" width="8.73"/>
    <col collapsed="false" customWidth="true" hidden="false" outlineLevel="0" max="3061" min="3061" style="307" width="34.45"/>
    <col collapsed="false" customWidth="true" hidden="false" outlineLevel="0" max="3062" min="3062" style="307" width="20.27"/>
    <col collapsed="false" customWidth="false" hidden="false" outlineLevel="0" max="3063" min="3063" style="307" width="8.73"/>
    <col collapsed="false" customWidth="true" hidden="false" outlineLevel="0" max="3064" min="3064" style="307" width="18.27"/>
    <col collapsed="false" customWidth="true" hidden="false" outlineLevel="0" max="3065" min="3065" style="307" width="15.54"/>
    <col collapsed="false" customWidth="false" hidden="false" outlineLevel="0" max="3307" min="3066" style="307" width="8.73"/>
    <col collapsed="false" customWidth="true" hidden="true" outlineLevel="0" max="3310" min="3308" style="307" width="13"/>
    <col collapsed="false" customWidth="true" hidden="false" outlineLevel="0" max="3311" min="3311" style="307" width="35"/>
    <col collapsed="false" customWidth="true" hidden="false" outlineLevel="0" max="3312" min="3312" style="307" width="22.73"/>
    <col collapsed="false" customWidth="false" hidden="false" outlineLevel="0" max="3313" min="3313" style="307" width="8.73"/>
    <col collapsed="false" customWidth="true" hidden="false" outlineLevel="0" max="3314" min="3314" style="307" width="36.45"/>
    <col collapsed="false" customWidth="true" hidden="false" outlineLevel="0" max="3315" min="3315" style="307" width="20.82"/>
    <col collapsed="false" customWidth="false" hidden="false" outlineLevel="0" max="3316" min="3316" style="307" width="8.73"/>
    <col collapsed="false" customWidth="true" hidden="false" outlineLevel="0" max="3317" min="3317" style="307" width="34.45"/>
    <col collapsed="false" customWidth="true" hidden="false" outlineLevel="0" max="3318" min="3318" style="307" width="20.27"/>
    <col collapsed="false" customWidth="false" hidden="false" outlineLevel="0" max="3319" min="3319" style="307" width="8.73"/>
    <col collapsed="false" customWidth="true" hidden="false" outlineLevel="0" max="3320" min="3320" style="307" width="18.27"/>
    <col collapsed="false" customWidth="true" hidden="false" outlineLevel="0" max="3321" min="3321" style="307" width="15.54"/>
    <col collapsed="false" customWidth="false" hidden="false" outlineLevel="0" max="3563" min="3322" style="307" width="8.73"/>
    <col collapsed="false" customWidth="true" hidden="true" outlineLevel="0" max="3566" min="3564" style="307" width="13"/>
    <col collapsed="false" customWidth="true" hidden="false" outlineLevel="0" max="3567" min="3567" style="307" width="35"/>
    <col collapsed="false" customWidth="true" hidden="false" outlineLevel="0" max="3568" min="3568" style="307" width="22.73"/>
    <col collapsed="false" customWidth="false" hidden="false" outlineLevel="0" max="3569" min="3569" style="307" width="8.73"/>
    <col collapsed="false" customWidth="true" hidden="false" outlineLevel="0" max="3570" min="3570" style="307" width="36.45"/>
    <col collapsed="false" customWidth="true" hidden="false" outlineLevel="0" max="3571" min="3571" style="307" width="20.82"/>
    <col collapsed="false" customWidth="false" hidden="false" outlineLevel="0" max="3572" min="3572" style="307" width="8.73"/>
    <col collapsed="false" customWidth="true" hidden="false" outlineLevel="0" max="3573" min="3573" style="307" width="34.45"/>
    <col collapsed="false" customWidth="true" hidden="false" outlineLevel="0" max="3574" min="3574" style="307" width="20.27"/>
    <col collapsed="false" customWidth="false" hidden="false" outlineLevel="0" max="3575" min="3575" style="307" width="8.73"/>
    <col collapsed="false" customWidth="true" hidden="false" outlineLevel="0" max="3576" min="3576" style="307" width="18.27"/>
    <col collapsed="false" customWidth="true" hidden="false" outlineLevel="0" max="3577" min="3577" style="307" width="15.54"/>
    <col collapsed="false" customWidth="false" hidden="false" outlineLevel="0" max="3819" min="3578" style="307" width="8.73"/>
    <col collapsed="false" customWidth="true" hidden="true" outlineLevel="0" max="3822" min="3820" style="307" width="13"/>
    <col collapsed="false" customWidth="true" hidden="false" outlineLevel="0" max="3823" min="3823" style="307" width="35"/>
    <col collapsed="false" customWidth="true" hidden="false" outlineLevel="0" max="3824" min="3824" style="307" width="22.73"/>
    <col collapsed="false" customWidth="false" hidden="false" outlineLevel="0" max="3825" min="3825" style="307" width="8.73"/>
    <col collapsed="false" customWidth="true" hidden="false" outlineLevel="0" max="3826" min="3826" style="307" width="36.45"/>
    <col collapsed="false" customWidth="true" hidden="false" outlineLevel="0" max="3827" min="3827" style="307" width="20.82"/>
    <col collapsed="false" customWidth="false" hidden="false" outlineLevel="0" max="3828" min="3828" style="307" width="8.73"/>
    <col collapsed="false" customWidth="true" hidden="false" outlineLevel="0" max="3829" min="3829" style="307" width="34.45"/>
    <col collapsed="false" customWidth="true" hidden="false" outlineLevel="0" max="3830" min="3830" style="307" width="20.27"/>
    <col collapsed="false" customWidth="false" hidden="false" outlineLevel="0" max="3831" min="3831" style="307" width="8.73"/>
    <col collapsed="false" customWidth="true" hidden="false" outlineLevel="0" max="3832" min="3832" style="307" width="18.27"/>
    <col collapsed="false" customWidth="true" hidden="false" outlineLevel="0" max="3833" min="3833" style="307" width="15.54"/>
    <col collapsed="false" customWidth="false" hidden="false" outlineLevel="0" max="4075" min="3834" style="307" width="8.73"/>
    <col collapsed="false" customWidth="true" hidden="true" outlineLevel="0" max="4078" min="4076" style="307" width="13"/>
    <col collapsed="false" customWidth="true" hidden="false" outlineLevel="0" max="4079" min="4079" style="307" width="35"/>
    <col collapsed="false" customWidth="true" hidden="false" outlineLevel="0" max="4080" min="4080" style="307" width="22.73"/>
    <col collapsed="false" customWidth="false" hidden="false" outlineLevel="0" max="4081" min="4081" style="307" width="8.73"/>
    <col collapsed="false" customWidth="true" hidden="false" outlineLevel="0" max="4082" min="4082" style="307" width="36.45"/>
    <col collapsed="false" customWidth="true" hidden="false" outlineLevel="0" max="4083" min="4083" style="307" width="20.82"/>
    <col collapsed="false" customWidth="false" hidden="false" outlineLevel="0" max="4084" min="4084" style="307" width="8.73"/>
    <col collapsed="false" customWidth="true" hidden="false" outlineLevel="0" max="4085" min="4085" style="307" width="34.45"/>
    <col collapsed="false" customWidth="true" hidden="false" outlineLevel="0" max="4086" min="4086" style="307" width="20.27"/>
    <col collapsed="false" customWidth="false" hidden="false" outlineLevel="0" max="4087" min="4087" style="307" width="8.73"/>
    <col collapsed="false" customWidth="true" hidden="false" outlineLevel="0" max="4088" min="4088" style="307" width="18.27"/>
    <col collapsed="false" customWidth="true" hidden="false" outlineLevel="0" max="4089" min="4089" style="307" width="15.54"/>
    <col collapsed="false" customWidth="false" hidden="false" outlineLevel="0" max="4331" min="4090" style="307" width="8.73"/>
    <col collapsed="false" customWidth="true" hidden="true" outlineLevel="0" max="4334" min="4332" style="307" width="13"/>
    <col collapsed="false" customWidth="true" hidden="false" outlineLevel="0" max="4335" min="4335" style="307" width="35"/>
    <col collapsed="false" customWidth="true" hidden="false" outlineLevel="0" max="4336" min="4336" style="307" width="22.73"/>
    <col collapsed="false" customWidth="false" hidden="false" outlineLevel="0" max="4337" min="4337" style="307" width="8.73"/>
    <col collapsed="false" customWidth="true" hidden="false" outlineLevel="0" max="4338" min="4338" style="307" width="36.45"/>
    <col collapsed="false" customWidth="true" hidden="false" outlineLevel="0" max="4339" min="4339" style="307" width="20.82"/>
    <col collapsed="false" customWidth="false" hidden="false" outlineLevel="0" max="4340" min="4340" style="307" width="8.73"/>
    <col collapsed="false" customWidth="true" hidden="false" outlineLevel="0" max="4341" min="4341" style="307" width="34.45"/>
    <col collapsed="false" customWidth="true" hidden="false" outlineLevel="0" max="4342" min="4342" style="307" width="20.27"/>
    <col collapsed="false" customWidth="false" hidden="false" outlineLevel="0" max="4343" min="4343" style="307" width="8.73"/>
    <col collapsed="false" customWidth="true" hidden="false" outlineLevel="0" max="4344" min="4344" style="307" width="18.27"/>
    <col collapsed="false" customWidth="true" hidden="false" outlineLevel="0" max="4345" min="4345" style="307" width="15.54"/>
    <col collapsed="false" customWidth="false" hidden="false" outlineLevel="0" max="4587" min="4346" style="307" width="8.73"/>
    <col collapsed="false" customWidth="true" hidden="true" outlineLevel="0" max="4590" min="4588" style="307" width="13"/>
    <col collapsed="false" customWidth="true" hidden="false" outlineLevel="0" max="4591" min="4591" style="307" width="35"/>
    <col collapsed="false" customWidth="true" hidden="false" outlineLevel="0" max="4592" min="4592" style="307" width="22.73"/>
    <col collapsed="false" customWidth="false" hidden="false" outlineLevel="0" max="4593" min="4593" style="307" width="8.73"/>
    <col collapsed="false" customWidth="true" hidden="false" outlineLevel="0" max="4594" min="4594" style="307" width="36.45"/>
    <col collapsed="false" customWidth="true" hidden="false" outlineLevel="0" max="4595" min="4595" style="307" width="20.82"/>
    <col collapsed="false" customWidth="false" hidden="false" outlineLevel="0" max="4596" min="4596" style="307" width="8.73"/>
    <col collapsed="false" customWidth="true" hidden="false" outlineLevel="0" max="4597" min="4597" style="307" width="34.45"/>
    <col collapsed="false" customWidth="true" hidden="false" outlineLevel="0" max="4598" min="4598" style="307" width="20.27"/>
    <col collapsed="false" customWidth="false" hidden="false" outlineLevel="0" max="4599" min="4599" style="307" width="8.73"/>
    <col collapsed="false" customWidth="true" hidden="false" outlineLevel="0" max="4600" min="4600" style="307" width="18.27"/>
    <col collapsed="false" customWidth="true" hidden="false" outlineLevel="0" max="4601" min="4601" style="307" width="15.54"/>
    <col collapsed="false" customWidth="false" hidden="false" outlineLevel="0" max="4843" min="4602" style="307" width="8.73"/>
    <col collapsed="false" customWidth="true" hidden="true" outlineLevel="0" max="4846" min="4844" style="307" width="13"/>
    <col collapsed="false" customWidth="true" hidden="false" outlineLevel="0" max="4847" min="4847" style="307" width="35"/>
    <col collapsed="false" customWidth="true" hidden="false" outlineLevel="0" max="4848" min="4848" style="307" width="22.73"/>
    <col collapsed="false" customWidth="false" hidden="false" outlineLevel="0" max="4849" min="4849" style="307" width="8.73"/>
    <col collapsed="false" customWidth="true" hidden="false" outlineLevel="0" max="4850" min="4850" style="307" width="36.45"/>
    <col collapsed="false" customWidth="true" hidden="false" outlineLevel="0" max="4851" min="4851" style="307" width="20.82"/>
    <col collapsed="false" customWidth="false" hidden="false" outlineLevel="0" max="4852" min="4852" style="307" width="8.73"/>
    <col collapsed="false" customWidth="true" hidden="false" outlineLevel="0" max="4853" min="4853" style="307" width="34.45"/>
    <col collapsed="false" customWidth="true" hidden="false" outlineLevel="0" max="4854" min="4854" style="307" width="20.27"/>
    <col collapsed="false" customWidth="false" hidden="false" outlineLevel="0" max="4855" min="4855" style="307" width="8.73"/>
    <col collapsed="false" customWidth="true" hidden="false" outlineLevel="0" max="4856" min="4856" style="307" width="18.27"/>
    <col collapsed="false" customWidth="true" hidden="false" outlineLevel="0" max="4857" min="4857" style="307" width="15.54"/>
    <col collapsed="false" customWidth="false" hidden="false" outlineLevel="0" max="5099" min="4858" style="307" width="8.73"/>
    <col collapsed="false" customWidth="true" hidden="true" outlineLevel="0" max="5102" min="5100" style="307" width="13"/>
    <col collapsed="false" customWidth="true" hidden="false" outlineLevel="0" max="5103" min="5103" style="307" width="35"/>
    <col collapsed="false" customWidth="true" hidden="false" outlineLevel="0" max="5104" min="5104" style="307" width="22.73"/>
    <col collapsed="false" customWidth="false" hidden="false" outlineLevel="0" max="5105" min="5105" style="307" width="8.73"/>
    <col collapsed="false" customWidth="true" hidden="false" outlineLevel="0" max="5106" min="5106" style="307" width="36.45"/>
    <col collapsed="false" customWidth="true" hidden="false" outlineLevel="0" max="5107" min="5107" style="307" width="20.82"/>
    <col collapsed="false" customWidth="false" hidden="false" outlineLevel="0" max="5108" min="5108" style="307" width="8.73"/>
    <col collapsed="false" customWidth="true" hidden="false" outlineLevel="0" max="5109" min="5109" style="307" width="34.45"/>
    <col collapsed="false" customWidth="true" hidden="false" outlineLevel="0" max="5110" min="5110" style="307" width="20.27"/>
    <col collapsed="false" customWidth="false" hidden="false" outlineLevel="0" max="5111" min="5111" style="307" width="8.73"/>
    <col collapsed="false" customWidth="true" hidden="false" outlineLevel="0" max="5112" min="5112" style="307" width="18.27"/>
    <col collapsed="false" customWidth="true" hidden="false" outlineLevel="0" max="5113" min="5113" style="307" width="15.54"/>
    <col collapsed="false" customWidth="false" hidden="false" outlineLevel="0" max="5355" min="5114" style="307" width="8.73"/>
    <col collapsed="false" customWidth="true" hidden="true" outlineLevel="0" max="5358" min="5356" style="307" width="13"/>
    <col collapsed="false" customWidth="true" hidden="false" outlineLevel="0" max="5359" min="5359" style="307" width="35"/>
    <col collapsed="false" customWidth="true" hidden="false" outlineLevel="0" max="5360" min="5360" style="307" width="22.73"/>
    <col collapsed="false" customWidth="false" hidden="false" outlineLevel="0" max="5361" min="5361" style="307" width="8.73"/>
    <col collapsed="false" customWidth="true" hidden="false" outlineLevel="0" max="5362" min="5362" style="307" width="36.45"/>
    <col collapsed="false" customWidth="true" hidden="false" outlineLevel="0" max="5363" min="5363" style="307" width="20.82"/>
    <col collapsed="false" customWidth="false" hidden="false" outlineLevel="0" max="5364" min="5364" style="307" width="8.73"/>
    <col collapsed="false" customWidth="true" hidden="false" outlineLevel="0" max="5365" min="5365" style="307" width="34.45"/>
    <col collapsed="false" customWidth="true" hidden="false" outlineLevel="0" max="5366" min="5366" style="307" width="20.27"/>
    <col collapsed="false" customWidth="false" hidden="false" outlineLevel="0" max="5367" min="5367" style="307" width="8.73"/>
    <col collapsed="false" customWidth="true" hidden="false" outlineLevel="0" max="5368" min="5368" style="307" width="18.27"/>
    <col collapsed="false" customWidth="true" hidden="false" outlineLevel="0" max="5369" min="5369" style="307" width="15.54"/>
    <col collapsed="false" customWidth="false" hidden="false" outlineLevel="0" max="5611" min="5370" style="307" width="8.73"/>
    <col collapsed="false" customWidth="true" hidden="true" outlineLevel="0" max="5614" min="5612" style="307" width="13"/>
    <col collapsed="false" customWidth="true" hidden="false" outlineLevel="0" max="5615" min="5615" style="307" width="35"/>
    <col collapsed="false" customWidth="true" hidden="false" outlineLevel="0" max="5616" min="5616" style="307" width="22.73"/>
    <col collapsed="false" customWidth="false" hidden="false" outlineLevel="0" max="5617" min="5617" style="307" width="8.73"/>
    <col collapsed="false" customWidth="true" hidden="false" outlineLevel="0" max="5618" min="5618" style="307" width="36.45"/>
    <col collapsed="false" customWidth="true" hidden="false" outlineLevel="0" max="5619" min="5619" style="307" width="20.82"/>
    <col collapsed="false" customWidth="false" hidden="false" outlineLevel="0" max="5620" min="5620" style="307" width="8.73"/>
    <col collapsed="false" customWidth="true" hidden="false" outlineLevel="0" max="5621" min="5621" style="307" width="34.45"/>
    <col collapsed="false" customWidth="true" hidden="false" outlineLevel="0" max="5622" min="5622" style="307" width="20.27"/>
    <col collapsed="false" customWidth="false" hidden="false" outlineLevel="0" max="5623" min="5623" style="307" width="8.73"/>
    <col collapsed="false" customWidth="true" hidden="false" outlineLevel="0" max="5624" min="5624" style="307" width="18.27"/>
    <col collapsed="false" customWidth="true" hidden="false" outlineLevel="0" max="5625" min="5625" style="307" width="15.54"/>
    <col collapsed="false" customWidth="false" hidden="false" outlineLevel="0" max="5867" min="5626" style="307" width="8.73"/>
    <col collapsed="false" customWidth="true" hidden="true" outlineLevel="0" max="5870" min="5868" style="307" width="13"/>
    <col collapsed="false" customWidth="true" hidden="false" outlineLevel="0" max="5871" min="5871" style="307" width="35"/>
    <col collapsed="false" customWidth="true" hidden="false" outlineLevel="0" max="5872" min="5872" style="307" width="22.73"/>
    <col collapsed="false" customWidth="false" hidden="false" outlineLevel="0" max="5873" min="5873" style="307" width="8.73"/>
    <col collapsed="false" customWidth="true" hidden="false" outlineLevel="0" max="5874" min="5874" style="307" width="36.45"/>
    <col collapsed="false" customWidth="true" hidden="false" outlineLevel="0" max="5875" min="5875" style="307" width="20.82"/>
    <col collapsed="false" customWidth="false" hidden="false" outlineLevel="0" max="5876" min="5876" style="307" width="8.73"/>
    <col collapsed="false" customWidth="true" hidden="false" outlineLevel="0" max="5877" min="5877" style="307" width="34.45"/>
    <col collapsed="false" customWidth="true" hidden="false" outlineLevel="0" max="5878" min="5878" style="307" width="20.27"/>
    <col collapsed="false" customWidth="false" hidden="false" outlineLevel="0" max="5879" min="5879" style="307" width="8.73"/>
    <col collapsed="false" customWidth="true" hidden="false" outlineLevel="0" max="5880" min="5880" style="307" width="18.27"/>
    <col collapsed="false" customWidth="true" hidden="false" outlineLevel="0" max="5881" min="5881" style="307" width="15.54"/>
    <col collapsed="false" customWidth="false" hidden="false" outlineLevel="0" max="6123" min="5882" style="307" width="8.73"/>
    <col collapsed="false" customWidth="true" hidden="true" outlineLevel="0" max="6126" min="6124" style="307" width="13"/>
    <col collapsed="false" customWidth="true" hidden="false" outlineLevel="0" max="6127" min="6127" style="307" width="35"/>
    <col collapsed="false" customWidth="true" hidden="false" outlineLevel="0" max="6128" min="6128" style="307" width="22.73"/>
    <col collapsed="false" customWidth="false" hidden="false" outlineLevel="0" max="6129" min="6129" style="307" width="8.73"/>
    <col collapsed="false" customWidth="true" hidden="false" outlineLevel="0" max="6130" min="6130" style="307" width="36.45"/>
    <col collapsed="false" customWidth="true" hidden="false" outlineLevel="0" max="6131" min="6131" style="307" width="20.82"/>
    <col collapsed="false" customWidth="false" hidden="false" outlineLevel="0" max="6132" min="6132" style="307" width="8.73"/>
    <col collapsed="false" customWidth="true" hidden="false" outlineLevel="0" max="6133" min="6133" style="307" width="34.45"/>
    <col collapsed="false" customWidth="true" hidden="false" outlineLevel="0" max="6134" min="6134" style="307" width="20.27"/>
    <col collapsed="false" customWidth="false" hidden="false" outlineLevel="0" max="6135" min="6135" style="307" width="8.73"/>
    <col collapsed="false" customWidth="true" hidden="false" outlineLevel="0" max="6136" min="6136" style="307" width="18.27"/>
    <col collapsed="false" customWidth="true" hidden="false" outlineLevel="0" max="6137" min="6137" style="307" width="15.54"/>
    <col collapsed="false" customWidth="false" hidden="false" outlineLevel="0" max="6379" min="6138" style="307" width="8.73"/>
    <col collapsed="false" customWidth="true" hidden="true" outlineLevel="0" max="6382" min="6380" style="307" width="13"/>
    <col collapsed="false" customWidth="true" hidden="false" outlineLevel="0" max="6383" min="6383" style="307" width="35"/>
    <col collapsed="false" customWidth="true" hidden="false" outlineLevel="0" max="6384" min="6384" style="307" width="22.73"/>
    <col collapsed="false" customWidth="false" hidden="false" outlineLevel="0" max="6385" min="6385" style="307" width="8.73"/>
    <col collapsed="false" customWidth="true" hidden="false" outlineLevel="0" max="6386" min="6386" style="307" width="36.45"/>
    <col collapsed="false" customWidth="true" hidden="false" outlineLevel="0" max="6387" min="6387" style="307" width="20.82"/>
    <col collapsed="false" customWidth="false" hidden="false" outlineLevel="0" max="6388" min="6388" style="307" width="8.73"/>
    <col collapsed="false" customWidth="true" hidden="false" outlineLevel="0" max="6389" min="6389" style="307" width="34.45"/>
    <col collapsed="false" customWidth="true" hidden="false" outlineLevel="0" max="6390" min="6390" style="307" width="20.27"/>
    <col collapsed="false" customWidth="false" hidden="false" outlineLevel="0" max="6391" min="6391" style="307" width="8.73"/>
    <col collapsed="false" customWidth="true" hidden="false" outlineLevel="0" max="6392" min="6392" style="307" width="18.27"/>
    <col collapsed="false" customWidth="true" hidden="false" outlineLevel="0" max="6393" min="6393" style="307" width="15.54"/>
    <col collapsed="false" customWidth="false" hidden="false" outlineLevel="0" max="6635" min="6394" style="307" width="8.73"/>
    <col collapsed="false" customWidth="true" hidden="true" outlineLevel="0" max="6638" min="6636" style="307" width="13"/>
    <col collapsed="false" customWidth="true" hidden="false" outlineLevel="0" max="6639" min="6639" style="307" width="35"/>
    <col collapsed="false" customWidth="true" hidden="false" outlineLevel="0" max="6640" min="6640" style="307" width="22.73"/>
    <col collapsed="false" customWidth="false" hidden="false" outlineLevel="0" max="6641" min="6641" style="307" width="8.73"/>
    <col collapsed="false" customWidth="true" hidden="false" outlineLevel="0" max="6642" min="6642" style="307" width="36.45"/>
    <col collapsed="false" customWidth="true" hidden="false" outlineLevel="0" max="6643" min="6643" style="307" width="20.82"/>
    <col collapsed="false" customWidth="false" hidden="false" outlineLevel="0" max="6644" min="6644" style="307" width="8.73"/>
    <col collapsed="false" customWidth="true" hidden="false" outlineLevel="0" max="6645" min="6645" style="307" width="34.45"/>
    <col collapsed="false" customWidth="true" hidden="false" outlineLevel="0" max="6646" min="6646" style="307" width="20.27"/>
    <col collapsed="false" customWidth="false" hidden="false" outlineLevel="0" max="6647" min="6647" style="307" width="8.73"/>
    <col collapsed="false" customWidth="true" hidden="false" outlineLevel="0" max="6648" min="6648" style="307" width="18.27"/>
    <col collapsed="false" customWidth="true" hidden="false" outlineLevel="0" max="6649" min="6649" style="307" width="15.54"/>
    <col collapsed="false" customWidth="false" hidden="false" outlineLevel="0" max="6891" min="6650" style="307" width="8.73"/>
    <col collapsed="false" customWidth="true" hidden="true" outlineLevel="0" max="6894" min="6892" style="307" width="13"/>
    <col collapsed="false" customWidth="true" hidden="false" outlineLevel="0" max="6895" min="6895" style="307" width="35"/>
    <col collapsed="false" customWidth="true" hidden="false" outlineLevel="0" max="6896" min="6896" style="307" width="22.73"/>
    <col collapsed="false" customWidth="false" hidden="false" outlineLevel="0" max="6897" min="6897" style="307" width="8.73"/>
    <col collapsed="false" customWidth="true" hidden="false" outlineLevel="0" max="6898" min="6898" style="307" width="36.45"/>
    <col collapsed="false" customWidth="true" hidden="false" outlineLevel="0" max="6899" min="6899" style="307" width="20.82"/>
    <col collapsed="false" customWidth="false" hidden="false" outlineLevel="0" max="6900" min="6900" style="307" width="8.73"/>
    <col collapsed="false" customWidth="true" hidden="false" outlineLevel="0" max="6901" min="6901" style="307" width="34.45"/>
    <col collapsed="false" customWidth="true" hidden="false" outlineLevel="0" max="6902" min="6902" style="307" width="20.27"/>
    <col collapsed="false" customWidth="false" hidden="false" outlineLevel="0" max="6903" min="6903" style="307" width="8.73"/>
    <col collapsed="false" customWidth="true" hidden="false" outlineLevel="0" max="6904" min="6904" style="307" width="18.27"/>
    <col collapsed="false" customWidth="true" hidden="false" outlineLevel="0" max="6905" min="6905" style="307" width="15.54"/>
    <col collapsed="false" customWidth="false" hidden="false" outlineLevel="0" max="7147" min="6906" style="307" width="8.73"/>
    <col collapsed="false" customWidth="true" hidden="true" outlineLevel="0" max="7150" min="7148" style="307" width="13"/>
    <col collapsed="false" customWidth="true" hidden="false" outlineLevel="0" max="7151" min="7151" style="307" width="35"/>
    <col collapsed="false" customWidth="true" hidden="false" outlineLevel="0" max="7152" min="7152" style="307" width="22.73"/>
    <col collapsed="false" customWidth="false" hidden="false" outlineLevel="0" max="7153" min="7153" style="307" width="8.73"/>
    <col collapsed="false" customWidth="true" hidden="false" outlineLevel="0" max="7154" min="7154" style="307" width="36.45"/>
    <col collapsed="false" customWidth="true" hidden="false" outlineLevel="0" max="7155" min="7155" style="307" width="20.82"/>
    <col collapsed="false" customWidth="false" hidden="false" outlineLevel="0" max="7156" min="7156" style="307" width="8.73"/>
    <col collapsed="false" customWidth="true" hidden="false" outlineLevel="0" max="7157" min="7157" style="307" width="34.45"/>
    <col collapsed="false" customWidth="true" hidden="false" outlineLevel="0" max="7158" min="7158" style="307" width="20.27"/>
    <col collapsed="false" customWidth="false" hidden="false" outlineLevel="0" max="7159" min="7159" style="307" width="8.73"/>
    <col collapsed="false" customWidth="true" hidden="false" outlineLevel="0" max="7160" min="7160" style="307" width="18.27"/>
    <col collapsed="false" customWidth="true" hidden="false" outlineLevel="0" max="7161" min="7161" style="307" width="15.54"/>
    <col collapsed="false" customWidth="false" hidden="false" outlineLevel="0" max="7403" min="7162" style="307" width="8.73"/>
    <col collapsed="false" customWidth="true" hidden="true" outlineLevel="0" max="7406" min="7404" style="307" width="13"/>
    <col collapsed="false" customWidth="true" hidden="false" outlineLevel="0" max="7407" min="7407" style="307" width="35"/>
    <col collapsed="false" customWidth="true" hidden="false" outlineLevel="0" max="7408" min="7408" style="307" width="22.73"/>
    <col collapsed="false" customWidth="false" hidden="false" outlineLevel="0" max="7409" min="7409" style="307" width="8.73"/>
    <col collapsed="false" customWidth="true" hidden="false" outlineLevel="0" max="7410" min="7410" style="307" width="36.45"/>
    <col collapsed="false" customWidth="true" hidden="false" outlineLevel="0" max="7411" min="7411" style="307" width="20.82"/>
    <col collapsed="false" customWidth="false" hidden="false" outlineLevel="0" max="7412" min="7412" style="307" width="8.73"/>
    <col collapsed="false" customWidth="true" hidden="false" outlineLevel="0" max="7413" min="7413" style="307" width="34.45"/>
    <col collapsed="false" customWidth="true" hidden="false" outlineLevel="0" max="7414" min="7414" style="307" width="20.27"/>
    <col collapsed="false" customWidth="false" hidden="false" outlineLevel="0" max="7415" min="7415" style="307" width="8.73"/>
    <col collapsed="false" customWidth="true" hidden="false" outlineLevel="0" max="7416" min="7416" style="307" width="18.27"/>
    <col collapsed="false" customWidth="true" hidden="false" outlineLevel="0" max="7417" min="7417" style="307" width="15.54"/>
    <col collapsed="false" customWidth="false" hidden="false" outlineLevel="0" max="7659" min="7418" style="307" width="8.73"/>
    <col collapsed="false" customWidth="true" hidden="true" outlineLevel="0" max="7662" min="7660" style="307" width="13"/>
    <col collapsed="false" customWidth="true" hidden="false" outlineLevel="0" max="7663" min="7663" style="307" width="35"/>
    <col collapsed="false" customWidth="true" hidden="false" outlineLevel="0" max="7664" min="7664" style="307" width="22.73"/>
    <col collapsed="false" customWidth="false" hidden="false" outlineLevel="0" max="7665" min="7665" style="307" width="8.73"/>
    <col collapsed="false" customWidth="true" hidden="false" outlineLevel="0" max="7666" min="7666" style="307" width="36.45"/>
    <col collapsed="false" customWidth="true" hidden="false" outlineLevel="0" max="7667" min="7667" style="307" width="20.82"/>
    <col collapsed="false" customWidth="false" hidden="false" outlineLevel="0" max="7668" min="7668" style="307" width="8.73"/>
    <col collapsed="false" customWidth="true" hidden="false" outlineLevel="0" max="7669" min="7669" style="307" width="34.45"/>
    <col collapsed="false" customWidth="true" hidden="false" outlineLevel="0" max="7670" min="7670" style="307" width="20.27"/>
    <col collapsed="false" customWidth="false" hidden="false" outlineLevel="0" max="7671" min="7671" style="307" width="8.73"/>
    <col collapsed="false" customWidth="true" hidden="false" outlineLevel="0" max="7672" min="7672" style="307" width="18.27"/>
    <col collapsed="false" customWidth="true" hidden="false" outlineLevel="0" max="7673" min="7673" style="307" width="15.54"/>
    <col collapsed="false" customWidth="false" hidden="false" outlineLevel="0" max="7915" min="7674" style="307" width="8.73"/>
    <col collapsed="false" customWidth="true" hidden="true" outlineLevel="0" max="7918" min="7916" style="307" width="13"/>
    <col collapsed="false" customWidth="true" hidden="false" outlineLevel="0" max="7919" min="7919" style="307" width="35"/>
    <col collapsed="false" customWidth="true" hidden="false" outlineLevel="0" max="7920" min="7920" style="307" width="22.73"/>
    <col collapsed="false" customWidth="false" hidden="false" outlineLevel="0" max="7921" min="7921" style="307" width="8.73"/>
    <col collapsed="false" customWidth="true" hidden="false" outlineLevel="0" max="7922" min="7922" style="307" width="36.45"/>
    <col collapsed="false" customWidth="true" hidden="false" outlineLevel="0" max="7923" min="7923" style="307" width="20.82"/>
    <col collapsed="false" customWidth="false" hidden="false" outlineLevel="0" max="7924" min="7924" style="307" width="8.73"/>
    <col collapsed="false" customWidth="true" hidden="false" outlineLevel="0" max="7925" min="7925" style="307" width="34.45"/>
    <col collapsed="false" customWidth="true" hidden="false" outlineLevel="0" max="7926" min="7926" style="307" width="20.27"/>
    <col collapsed="false" customWidth="false" hidden="false" outlineLevel="0" max="7927" min="7927" style="307" width="8.73"/>
    <col collapsed="false" customWidth="true" hidden="false" outlineLevel="0" max="7928" min="7928" style="307" width="18.27"/>
    <col collapsed="false" customWidth="true" hidden="false" outlineLevel="0" max="7929" min="7929" style="307" width="15.54"/>
    <col collapsed="false" customWidth="false" hidden="false" outlineLevel="0" max="8171" min="7930" style="307" width="8.73"/>
    <col collapsed="false" customWidth="true" hidden="true" outlineLevel="0" max="8174" min="8172" style="307" width="13"/>
    <col collapsed="false" customWidth="true" hidden="false" outlineLevel="0" max="8175" min="8175" style="307" width="35"/>
    <col collapsed="false" customWidth="true" hidden="false" outlineLevel="0" max="8176" min="8176" style="307" width="22.73"/>
    <col collapsed="false" customWidth="false" hidden="false" outlineLevel="0" max="8177" min="8177" style="307" width="8.73"/>
    <col collapsed="false" customWidth="true" hidden="false" outlineLevel="0" max="8178" min="8178" style="307" width="36.45"/>
    <col collapsed="false" customWidth="true" hidden="false" outlineLevel="0" max="8179" min="8179" style="307" width="20.82"/>
    <col collapsed="false" customWidth="false" hidden="false" outlineLevel="0" max="8180" min="8180" style="307" width="8.73"/>
    <col collapsed="false" customWidth="true" hidden="false" outlineLevel="0" max="8181" min="8181" style="307" width="34.45"/>
    <col collapsed="false" customWidth="true" hidden="false" outlineLevel="0" max="8182" min="8182" style="307" width="20.27"/>
    <col collapsed="false" customWidth="false" hidden="false" outlineLevel="0" max="8183" min="8183" style="307" width="8.73"/>
    <col collapsed="false" customWidth="true" hidden="false" outlineLevel="0" max="8184" min="8184" style="307" width="18.27"/>
    <col collapsed="false" customWidth="true" hidden="false" outlineLevel="0" max="8185" min="8185" style="307" width="15.54"/>
    <col collapsed="false" customWidth="false" hidden="false" outlineLevel="0" max="8427" min="8186" style="307" width="8.73"/>
    <col collapsed="false" customWidth="true" hidden="true" outlineLevel="0" max="8430" min="8428" style="307" width="13"/>
    <col collapsed="false" customWidth="true" hidden="false" outlineLevel="0" max="8431" min="8431" style="307" width="35"/>
    <col collapsed="false" customWidth="true" hidden="false" outlineLevel="0" max="8432" min="8432" style="307" width="22.73"/>
    <col collapsed="false" customWidth="false" hidden="false" outlineLevel="0" max="8433" min="8433" style="307" width="8.73"/>
    <col collapsed="false" customWidth="true" hidden="false" outlineLevel="0" max="8434" min="8434" style="307" width="36.45"/>
    <col collapsed="false" customWidth="true" hidden="false" outlineLevel="0" max="8435" min="8435" style="307" width="20.82"/>
    <col collapsed="false" customWidth="false" hidden="false" outlineLevel="0" max="8436" min="8436" style="307" width="8.73"/>
    <col collapsed="false" customWidth="true" hidden="false" outlineLevel="0" max="8437" min="8437" style="307" width="34.45"/>
    <col collapsed="false" customWidth="true" hidden="false" outlineLevel="0" max="8438" min="8438" style="307" width="20.27"/>
    <col collapsed="false" customWidth="false" hidden="false" outlineLevel="0" max="8439" min="8439" style="307" width="8.73"/>
    <col collapsed="false" customWidth="true" hidden="false" outlineLevel="0" max="8440" min="8440" style="307" width="18.27"/>
    <col collapsed="false" customWidth="true" hidden="false" outlineLevel="0" max="8441" min="8441" style="307" width="15.54"/>
    <col collapsed="false" customWidth="false" hidden="false" outlineLevel="0" max="8683" min="8442" style="307" width="8.73"/>
    <col collapsed="false" customWidth="true" hidden="true" outlineLevel="0" max="8686" min="8684" style="307" width="13"/>
    <col collapsed="false" customWidth="true" hidden="false" outlineLevel="0" max="8687" min="8687" style="307" width="35"/>
    <col collapsed="false" customWidth="true" hidden="false" outlineLevel="0" max="8688" min="8688" style="307" width="22.73"/>
    <col collapsed="false" customWidth="false" hidden="false" outlineLevel="0" max="8689" min="8689" style="307" width="8.73"/>
    <col collapsed="false" customWidth="true" hidden="false" outlineLevel="0" max="8690" min="8690" style="307" width="36.45"/>
    <col collapsed="false" customWidth="true" hidden="false" outlineLevel="0" max="8691" min="8691" style="307" width="20.82"/>
    <col collapsed="false" customWidth="false" hidden="false" outlineLevel="0" max="8692" min="8692" style="307" width="8.73"/>
    <col collapsed="false" customWidth="true" hidden="false" outlineLevel="0" max="8693" min="8693" style="307" width="34.45"/>
    <col collapsed="false" customWidth="true" hidden="false" outlineLevel="0" max="8694" min="8694" style="307" width="20.27"/>
    <col collapsed="false" customWidth="false" hidden="false" outlineLevel="0" max="8695" min="8695" style="307" width="8.73"/>
    <col collapsed="false" customWidth="true" hidden="false" outlineLevel="0" max="8696" min="8696" style="307" width="18.27"/>
    <col collapsed="false" customWidth="true" hidden="false" outlineLevel="0" max="8697" min="8697" style="307" width="15.54"/>
    <col collapsed="false" customWidth="false" hidden="false" outlineLevel="0" max="8939" min="8698" style="307" width="8.73"/>
    <col collapsed="false" customWidth="true" hidden="true" outlineLevel="0" max="8942" min="8940" style="307" width="13"/>
    <col collapsed="false" customWidth="true" hidden="false" outlineLevel="0" max="8943" min="8943" style="307" width="35"/>
    <col collapsed="false" customWidth="true" hidden="false" outlineLevel="0" max="8944" min="8944" style="307" width="22.73"/>
    <col collapsed="false" customWidth="false" hidden="false" outlineLevel="0" max="8945" min="8945" style="307" width="8.73"/>
    <col collapsed="false" customWidth="true" hidden="false" outlineLevel="0" max="8946" min="8946" style="307" width="36.45"/>
    <col collapsed="false" customWidth="true" hidden="false" outlineLevel="0" max="8947" min="8947" style="307" width="20.82"/>
    <col collapsed="false" customWidth="false" hidden="false" outlineLevel="0" max="8948" min="8948" style="307" width="8.73"/>
    <col collapsed="false" customWidth="true" hidden="false" outlineLevel="0" max="8949" min="8949" style="307" width="34.45"/>
    <col collapsed="false" customWidth="true" hidden="false" outlineLevel="0" max="8950" min="8950" style="307" width="20.27"/>
    <col collapsed="false" customWidth="false" hidden="false" outlineLevel="0" max="8951" min="8951" style="307" width="8.73"/>
    <col collapsed="false" customWidth="true" hidden="false" outlineLevel="0" max="8952" min="8952" style="307" width="18.27"/>
    <col collapsed="false" customWidth="true" hidden="false" outlineLevel="0" max="8953" min="8953" style="307" width="15.54"/>
    <col collapsed="false" customWidth="false" hidden="false" outlineLevel="0" max="9195" min="8954" style="307" width="8.73"/>
    <col collapsed="false" customWidth="true" hidden="true" outlineLevel="0" max="9198" min="9196" style="307" width="13"/>
    <col collapsed="false" customWidth="true" hidden="false" outlineLevel="0" max="9199" min="9199" style="307" width="35"/>
    <col collapsed="false" customWidth="true" hidden="false" outlineLevel="0" max="9200" min="9200" style="307" width="22.73"/>
    <col collapsed="false" customWidth="false" hidden="false" outlineLevel="0" max="9201" min="9201" style="307" width="8.73"/>
    <col collapsed="false" customWidth="true" hidden="false" outlineLevel="0" max="9202" min="9202" style="307" width="36.45"/>
    <col collapsed="false" customWidth="true" hidden="false" outlineLevel="0" max="9203" min="9203" style="307" width="20.82"/>
    <col collapsed="false" customWidth="false" hidden="false" outlineLevel="0" max="9204" min="9204" style="307" width="8.73"/>
    <col collapsed="false" customWidth="true" hidden="false" outlineLevel="0" max="9205" min="9205" style="307" width="34.45"/>
    <col collapsed="false" customWidth="true" hidden="false" outlineLevel="0" max="9206" min="9206" style="307" width="20.27"/>
    <col collapsed="false" customWidth="false" hidden="false" outlineLevel="0" max="9207" min="9207" style="307" width="8.73"/>
    <col collapsed="false" customWidth="true" hidden="false" outlineLevel="0" max="9208" min="9208" style="307" width="18.27"/>
    <col collapsed="false" customWidth="true" hidden="false" outlineLevel="0" max="9209" min="9209" style="307" width="15.54"/>
    <col collapsed="false" customWidth="false" hidden="false" outlineLevel="0" max="9451" min="9210" style="307" width="8.73"/>
    <col collapsed="false" customWidth="true" hidden="true" outlineLevel="0" max="9454" min="9452" style="307" width="13"/>
    <col collapsed="false" customWidth="true" hidden="false" outlineLevel="0" max="9455" min="9455" style="307" width="35"/>
    <col collapsed="false" customWidth="true" hidden="false" outlineLevel="0" max="9456" min="9456" style="307" width="22.73"/>
    <col collapsed="false" customWidth="false" hidden="false" outlineLevel="0" max="9457" min="9457" style="307" width="8.73"/>
    <col collapsed="false" customWidth="true" hidden="false" outlineLevel="0" max="9458" min="9458" style="307" width="36.45"/>
    <col collapsed="false" customWidth="true" hidden="false" outlineLevel="0" max="9459" min="9459" style="307" width="20.82"/>
    <col collapsed="false" customWidth="false" hidden="false" outlineLevel="0" max="9460" min="9460" style="307" width="8.73"/>
    <col collapsed="false" customWidth="true" hidden="false" outlineLevel="0" max="9461" min="9461" style="307" width="34.45"/>
    <col collapsed="false" customWidth="true" hidden="false" outlineLevel="0" max="9462" min="9462" style="307" width="20.27"/>
    <col collapsed="false" customWidth="false" hidden="false" outlineLevel="0" max="9463" min="9463" style="307" width="8.73"/>
    <col collapsed="false" customWidth="true" hidden="false" outlineLevel="0" max="9464" min="9464" style="307" width="18.27"/>
    <col collapsed="false" customWidth="true" hidden="false" outlineLevel="0" max="9465" min="9465" style="307" width="15.54"/>
    <col collapsed="false" customWidth="false" hidden="false" outlineLevel="0" max="9707" min="9466" style="307" width="8.73"/>
    <col collapsed="false" customWidth="true" hidden="true" outlineLevel="0" max="9710" min="9708" style="307" width="13"/>
    <col collapsed="false" customWidth="true" hidden="false" outlineLevel="0" max="9711" min="9711" style="307" width="35"/>
    <col collapsed="false" customWidth="true" hidden="false" outlineLevel="0" max="9712" min="9712" style="307" width="22.73"/>
    <col collapsed="false" customWidth="false" hidden="false" outlineLevel="0" max="9713" min="9713" style="307" width="8.73"/>
    <col collapsed="false" customWidth="true" hidden="false" outlineLevel="0" max="9714" min="9714" style="307" width="36.45"/>
    <col collapsed="false" customWidth="true" hidden="false" outlineLevel="0" max="9715" min="9715" style="307" width="20.82"/>
    <col collapsed="false" customWidth="false" hidden="false" outlineLevel="0" max="9716" min="9716" style="307" width="8.73"/>
    <col collapsed="false" customWidth="true" hidden="false" outlineLevel="0" max="9717" min="9717" style="307" width="34.45"/>
    <col collapsed="false" customWidth="true" hidden="false" outlineLevel="0" max="9718" min="9718" style="307" width="20.27"/>
    <col collapsed="false" customWidth="false" hidden="false" outlineLevel="0" max="9719" min="9719" style="307" width="8.73"/>
    <col collapsed="false" customWidth="true" hidden="false" outlineLevel="0" max="9720" min="9720" style="307" width="18.27"/>
    <col collapsed="false" customWidth="true" hidden="false" outlineLevel="0" max="9721" min="9721" style="307" width="15.54"/>
    <col collapsed="false" customWidth="false" hidden="false" outlineLevel="0" max="9963" min="9722" style="307" width="8.73"/>
    <col collapsed="false" customWidth="true" hidden="true" outlineLevel="0" max="9966" min="9964" style="307" width="13"/>
    <col collapsed="false" customWidth="true" hidden="false" outlineLevel="0" max="9967" min="9967" style="307" width="35"/>
    <col collapsed="false" customWidth="true" hidden="false" outlineLevel="0" max="9968" min="9968" style="307" width="22.73"/>
    <col collapsed="false" customWidth="false" hidden="false" outlineLevel="0" max="9969" min="9969" style="307" width="8.73"/>
    <col collapsed="false" customWidth="true" hidden="false" outlineLevel="0" max="9970" min="9970" style="307" width="36.45"/>
    <col collapsed="false" customWidth="true" hidden="false" outlineLevel="0" max="9971" min="9971" style="307" width="20.82"/>
    <col collapsed="false" customWidth="false" hidden="false" outlineLevel="0" max="9972" min="9972" style="307" width="8.73"/>
    <col collapsed="false" customWidth="true" hidden="false" outlineLevel="0" max="9973" min="9973" style="307" width="34.45"/>
    <col collapsed="false" customWidth="true" hidden="false" outlineLevel="0" max="9974" min="9974" style="307" width="20.27"/>
    <col collapsed="false" customWidth="false" hidden="false" outlineLevel="0" max="9975" min="9975" style="307" width="8.73"/>
    <col collapsed="false" customWidth="true" hidden="false" outlineLevel="0" max="9976" min="9976" style="307" width="18.27"/>
    <col collapsed="false" customWidth="true" hidden="false" outlineLevel="0" max="9977" min="9977" style="307" width="15.54"/>
    <col collapsed="false" customWidth="false" hidden="false" outlineLevel="0" max="10219" min="9978" style="307" width="8.73"/>
    <col collapsed="false" customWidth="true" hidden="true" outlineLevel="0" max="10222" min="10220" style="307" width="13"/>
    <col collapsed="false" customWidth="true" hidden="false" outlineLevel="0" max="10223" min="10223" style="307" width="35"/>
    <col collapsed="false" customWidth="true" hidden="false" outlineLevel="0" max="10224" min="10224" style="307" width="22.73"/>
    <col collapsed="false" customWidth="false" hidden="false" outlineLevel="0" max="10225" min="10225" style="307" width="8.73"/>
    <col collapsed="false" customWidth="true" hidden="false" outlineLevel="0" max="10226" min="10226" style="307" width="36.45"/>
    <col collapsed="false" customWidth="true" hidden="false" outlineLevel="0" max="10227" min="10227" style="307" width="20.82"/>
    <col collapsed="false" customWidth="false" hidden="false" outlineLevel="0" max="10228" min="10228" style="307" width="8.73"/>
    <col collapsed="false" customWidth="true" hidden="false" outlineLevel="0" max="10229" min="10229" style="307" width="34.45"/>
    <col collapsed="false" customWidth="true" hidden="false" outlineLevel="0" max="10230" min="10230" style="307" width="20.27"/>
    <col collapsed="false" customWidth="false" hidden="false" outlineLevel="0" max="10231" min="10231" style="307" width="8.73"/>
    <col collapsed="false" customWidth="true" hidden="false" outlineLevel="0" max="10232" min="10232" style="307" width="18.27"/>
    <col collapsed="false" customWidth="true" hidden="false" outlineLevel="0" max="10233" min="10233" style="307" width="15.54"/>
    <col collapsed="false" customWidth="false" hidden="false" outlineLevel="0" max="10475" min="10234" style="307" width="8.73"/>
    <col collapsed="false" customWidth="true" hidden="true" outlineLevel="0" max="10478" min="10476" style="307" width="13"/>
    <col collapsed="false" customWidth="true" hidden="false" outlineLevel="0" max="10479" min="10479" style="307" width="35"/>
    <col collapsed="false" customWidth="true" hidden="false" outlineLevel="0" max="10480" min="10480" style="307" width="22.73"/>
    <col collapsed="false" customWidth="false" hidden="false" outlineLevel="0" max="10481" min="10481" style="307" width="8.73"/>
    <col collapsed="false" customWidth="true" hidden="false" outlineLevel="0" max="10482" min="10482" style="307" width="36.45"/>
    <col collapsed="false" customWidth="true" hidden="false" outlineLevel="0" max="10483" min="10483" style="307" width="20.82"/>
    <col collapsed="false" customWidth="false" hidden="false" outlineLevel="0" max="10484" min="10484" style="307" width="8.73"/>
    <col collapsed="false" customWidth="true" hidden="false" outlineLevel="0" max="10485" min="10485" style="307" width="34.45"/>
    <col collapsed="false" customWidth="true" hidden="false" outlineLevel="0" max="10486" min="10486" style="307" width="20.27"/>
    <col collapsed="false" customWidth="false" hidden="false" outlineLevel="0" max="10487" min="10487" style="307" width="8.73"/>
    <col collapsed="false" customWidth="true" hidden="false" outlineLevel="0" max="10488" min="10488" style="307" width="18.27"/>
    <col collapsed="false" customWidth="true" hidden="false" outlineLevel="0" max="10489" min="10489" style="307" width="15.54"/>
    <col collapsed="false" customWidth="false" hidden="false" outlineLevel="0" max="10731" min="10490" style="307" width="8.73"/>
    <col collapsed="false" customWidth="true" hidden="true" outlineLevel="0" max="10734" min="10732" style="307" width="13"/>
    <col collapsed="false" customWidth="true" hidden="false" outlineLevel="0" max="10735" min="10735" style="307" width="35"/>
    <col collapsed="false" customWidth="true" hidden="false" outlineLevel="0" max="10736" min="10736" style="307" width="22.73"/>
    <col collapsed="false" customWidth="false" hidden="false" outlineLevel="0" max="10737" min="10737" style="307" width="8.73"/>
    <col collapsed="false" customWidth="true" hidden="false" outlineLevel="0" max="10738" min="10738" style="307" width="36.45"/>
    <col collapsed="false" customWidth="true" hidden="false" outlineLevel="0" max="10739" min="10739" style="307" width="20.82"/>
    <col collapsed="false" customWidth="false" hidden="false" outlineLevel="0" max="10740" min="10740" style="307" width="8.73"/>
    <col collapsed="false" customWidth="true" hidden="false" outlineLevel="0" max="10741" min="10741" style="307" width="34.45"/>
    <col collapsed="false" customWidth="true" hidden="false" outlineLevel="0" max="10742" min="10742" style="307" width="20.27"/>
    <col collapsed="false" customWidth="false" hidden="false" outlineLevel="0" max="10743" min="10743" style="307" width="8.73"/>
    <col collapsed="false" customWidth="true" hidden="false" outlineLevel="0" max="10744" min="10744" style="307" width="18.27"/>
    <col collapsed="false" customWidth="true" hidden="false" outlineLevel="0" max="10745" min="10745" style="307" width="15.54"/>
    <col collapsed="false" customWidth="false" hidden="false" outlineLevel="0" max="10987" min="10746" style="307" width="8.73"/>
    <col collapsed="false" customWidth="true" hidden="true" outlineLevel="0" max="10990" min="10988" style="307" width="13"/>
    <col collapsed="false" customWidth="true" hidden="false" outlineLevel="0" max="10991" min="10991" style="307" width="35"/>
    <col collapsed="false" customWidth="true" hidden="false" outlineLevel="0" max="10992" min="10992" style="307" width="22.73"/>
    <col collapsed="false" customWidth="false" hidden="false" outlineLevel="0" max="10993" min="10993" style="307" width="8.73"/>
    <col collapsed="false" customWidth="true" hidden="false" outlineLevel="0" max="10994" min="10994" style="307" width="36.45"/>
    <col collapsed="false" customWidth="true" hidden="false" outlineLevel="0" max="10995" min="10995" style="307" width="20.82"/>
    <col collapsed="false" customWidth="false" hidden="false" outlineLevel="0" max="10996" min="10996" style="307" width="8.73"/>
    <col collapsed="false" customWidth="true" hidden="false" outlineLevel="0" max="10997" min="10997" style="307" width="34.45"/>
    <col collapsed="false" customWidth="true" hidden="false" outlineLevel="0" max="10998" min="10998" style="307" width="20.27"/>
    <col collapsed="false" customWidth="false" hidden="false" outlineLevel="0" max="10999" min="10999" style="307" width="8.73"/>
    <col collapsed="false" customWidth="true" hidden="false" outlineLevel="0" max="11000" min="11000" style="307" width="18.27"/>
    <col collapsed="false" customWidth="true" hidden="false" outlineLevel="0" max="11001" min="11001" style="307" width="15.54"/>
    <col collapsed="false" customWidth="false" hidden="false" outlineLevel="0" max="11243" min="11002" style="307" width="8.73"/>
    <col collapsed="false" customWidth="true" hidden="true" outlineLevel="0" max="11246" min="11244" style="307" width="13"/>
    <col collapsed="false" customWidth="true" hidden="false" outlineLevel="0" max="11247" min="11247" style="307" width="35"/>
    <col collapsed="false" customWidth="true" hidden="false" outlineLevel="0" max="11248" min="11248" style="307" width="22.73"/>
    <col collapsed="false" customWidth="false" hidden="false" outlineLevel="0" max="11249" min="11249" style="307" width="8.73"/>
    <col collapsed="false" customWidth="true" hidden="false" outlineLevel="0" max="11250" min="11250" style="307" width="36.45"/>
    <col collapsed="false" customWidth="true" hidden="false" outlineLevel="0" max="11251" min="11251" style="307" width="20.82"/>
    <col collapsed="false" customWidth="false" hidden="false" outlineLevel="0" max="11252" min="11252" style="307" width="8.73"/>
    <col collapsed="false" customWidth="true" hidden="false" outlineLevel="0" max="11253" min="11253" style="307" width="34.45"/>
    <col collapsed="false" customWidth="true" hidden="false" outlineLevel="0" max="11254" min="11254" style="307" width="20.27"/>
    <col collapsed="false" customWidth="false" hidden="false" outlineLevel="0" max="11255" min="11255" style="307" width="8.73"/>
    <col collapsed="false" customWidth="true" hidden="false" outlineLevel="0" max="11256" min="11256" style="307" width="18.27"/>
    <col collapsed="false" customWidth="true" hidden="false" outlineLevel="0" max="11257" min="11257" style="307" width="15.54"/>
    <col collapsed="false" customWidth="false" hidden="false" outlineLevel="0" max="11499" min="11258" style="307" width="8.73"/>
    <col collapsed="false" customWidth="true" hidden="true" outlineLevel="0" max="11502" min="11500" style="307" width="13"/>
    <col collapsed="false" customWidth="true" hidden="false" outlineLevel="0" max="11503" min="11503" style="307" width="35"/>
    <col collapsed="false" customWidth="true" hidden="false" outlineLevel="0" max="11504" min="11504" style="307" width="22.73"/>
    <col collapsed="false" customWidth="false" hidden="false" outlineLevel="0" max="11505" min="11505" style="307" width="8.73"/>
    <col collapsed="false" customWidth="true" hidden="false" outlineLevel="0" max="11506" min="11506" style="307" width="36.45"/>
    <col collapsed="false" customWidth="true" hidden="false" outlineLevel="0" max="11507" min="11507" style="307" width="20.82"/>
    <col collapsed="false" customWidth="false" hidden="false" outlineLevel="0" max="11508" min="11508" style="307" width="8.73"/>
    <col collapsed="false" customWidth="true" hidden="false" outlineLevel="0" max="11509" min="11509" style="307" width="34.45"/>
    <col collapsed="false" customWidth="true" hidden="false" outlineLevel="0" max="11510" min="11510" style="307" width="20.27"/>
    <col collapsed="false" customWidth="false" hidden="false" outlineLevel="0" max="11511" min="11511" style="307" width="8.73"/>
    <col collapsed="false" customWidth="true" hidden="false" outlineLevel="0" max="11512" min="11512" style="307" width="18.27"/>
    <col collapsed="false" customWidth="true" hidden="false" outlineLevel="0" max="11513" min="11513" style="307" width="15.54"/>
    <col collapsed="false" customWidth="false" hidden="false" outlineLevel="0" max="11755" min="11514" style="307" width="8.73"/>
    <col collapsed="false" customWidth="true" hidden="true" outlineLevel="0" max="11758" min="11756" style="307" width="13"/>
    <col collapsed="false" customWidth="true" hidden="false" outlineLevel="0" max="11759" min="11759" style="307" width="35"/>
    <col collapsed="false" customWidth="true" hidden="false" outlineLevel="0" max="11760" min="11760" style="307" width="22.73"/>
    <col collapsed="false" customWidth="false" hidden="false" outlineLevel="0" max="11761" min="11761" style="307" width="8.73"/>
    <col collapsed="false" customWidth="true" hidden="false" outlineLevel="0" max="11762" min="11762" style="307" width="36.45"/>
    <col collapsed="false" customWidth="true" hidden="false" outlineLevel="0" max="11763" min="11763" style="307" width="20.82"/>
    <col collapsed="false" customWidth="false" hidden="false" outlineLevel="0" max="11764" min="11764" style="307" width="8.73"/>
    <col collapsed="false" customWidth="true" hidden="false" outlineLevel="0" max="11765" min="11765" style="307" width="34.45"/>
    <col collapsed="false" customWidth="true" hidden="false" outlineLevel="0" max="11766" min="11766" style="307" width="20.27"/>
    <col collapsed="false" customWidth="false" hidden="false" outlineLevel="0" max="11767" min="11767" style="307" width="8.73"/>
    <col collapsed="false" customWidth="true" hidden="false" outlineLevel="0" max="11768" min="11768" style="307" width="18.27"/>
    <col collapsed="false" customWidth="true" hidden="false" outlineLevel="0" max="11769" min="11769" style="307" width="15.54"/>
    <col collapsed="false" customWidth="false" hidden="false" outlineLevel="0" max="12011" min="11770" style="307" width="8.73"/>
    <col collapsed="false" customWidth="true" hidden="true" outlineLevel="0" max="12014" min="12012" style="307" width="13"/>
    <col collapsed="false" customWidth="true" hidden="false" outlineLevel="0" max="12015" min="12015" style="307" width="35"/>
    <col collapsed="false" customWidth="true" hidden="false" outlineLevel="0" max="12016" min="12016" style="307" width="22.73"/>
    <col collapsed="false" customWidth="false" hidden="false" outlineLevel="0" max="12017" min="12017" style="307" width="8.73"/>
    <col collapsed="false" customWidth="true" hidden="false" outlineLevel="0" max="12018" min="12018" style="307" width="36.45"/>
    <col collapsed="false" customWidth="true" hidden="false" outlineLevel="0" max="12019" min="12019" style="307" width="20.82"/>
    <col collapsed="false" customWidth="false" hidden="false" outlineLevel="0" max="12020" min="12020" style="307" width="8.73"/>
    <col collapsed="false" customWidth="true" hidden="false" outlineLevel="0" max="12021" min="12021" style="307" width="34.45"/>
    <col collapsed="false" customWidth="true" hidden="false" outlineLevel="0" max="12022" min="12022" style="307" width="20.27"/>
    <col collapsed="false" customWidth="false" hidden="false" outlineLevel="0" max="12023" min="12023" style="307" width="8.73"/>
    <col collapsed="false" customWidth="true" hidden="false" outlineLevel="0" max="12024" min="12024" style="307" width="18.27"/>
    <col collapsed="false" customWidth="true" hidden="false" outlineLevel="0" max="12025" min="12025" style="307" width="15.54"/>
    <col collapsed="false" customWidth="false" hidden="false" outlineLevel="0" max="12267" min="12026" style="307" width="8.73"/>
    <col collapsed="false" customWidth="true" hidden="true" outlineLevel="0" max="12270" min="12268" style="307" width="13"/>
    <col collapsed="false" customWidth="true" hidden="false" outlineLevel="0" max="12271" min="12271" style="307" width="35"/>
    <col collapsed="false" customWidth="true" hidden="false" outlineLevel="0" max="12272" min="12272" style="307" width="22.73"/>
    <col collapsed="false" customWidth="false" hidden="false" outlineLevel="0" max="12273" min="12273" style="307" width="8.73"/>
    <col collapsed="false" customWidth="true" hidden="false" outlineLevel="0" max="12274" min="12274" style="307" width="36.45"/>
    <col collapsed="false" customWidth="true" hidden="false" outlineLevel="0" max="12275" min="12275" style="307" width="20.82"/>
    <col collapsed="false" customWidth="false" hidden="false" outlineLevel="0" max="12276" min="12276" style="307" width="8.73"/>
    <col collapsed="false" customWidth="true" hidden="false" outlineLevel="0" max="12277" min="12277" style="307" width="34.45"/>
    <col collapsed="false" customWidth="true" hidden="false" outlineLevel="0" max="12278" min="12278" style="307" width="20.27"/>
    <col collapsed="false" customWidth="false" hidden="false" outlineLevel="0" max="12279" min="12279" style="307" width="8.73"/>
    <col collapsed="false" customWidth="true" hidden="false" outlineLevel="0" max="12280" min="12280" style="307" width="18.27"/>
    <col collapsed="false" customWidth="true" hidden="false" outlineLevel="0" max="12281" min="12281" style="307" width="15.54"/>
    <col collapsed="false" customWidth="false" hidden="false" outlineLevel="0" max="12523" min="12282" style="307" width="8.73"/>
    <col collapsed="false" customWidth="true" hidden="true" outlineLevel="0" max="12526" min="12524" style="307" width="13"/>
    <col collapsed="false" customWidth="true" hidden="false" outlineLevel="0" max="12527" min="12527" style="307" width="35"/>
    <col collapsed="false" customWidth="true" hidden="false" outlineLevel="0" max="12528" min="12528" style="307" width="22.73"/>
    <col collapsed="false" customWidth="false" hidden="false" outlineLevel="0" max="12529" min="12529" style="307" width="8.73"/>
    <col collapsed="false" customWidth="true" hidden="false" outlineLevel="0" max="12530" min="12530" style="307" width="36.45"/>
    <col collapsed="false" customWidth="true" hidden="false" outlineLevel="0" max="12531" min="12531" style="307" width="20.82"/>
    <col collapsed="false" customWidth="false" hidden="false" outlineLevel="0" max="12532" min="12532" style="307" width="8.73"/>
    <col collapsed="false" customWidth="true" hidden="false" outlineLevel="0" max="12533" min="12533" style="307" width="34.45"/>
    <col collapsed="false" customWidth="true" hidden="false" outlineLevel="0" max="12534" min="12534" style="307" width="20.27"/>
    <col collapsed="false" customWidth="false" hidden="false" outlineLevel="0" max="12535" min="12535" style="307" width="8.73"/>
    <col collapsed="false" customWidth="true" hidden="false" outlineLevel="0" max="12536" min="12536" style="307" width="18.27"/>
    <col collapsed="false" customWidth="true" hidden="false" outlineLevel="0" max="12537" min="12537" style="307" width="15.54"/>
    <col collapsed="false" customWidth="false" hidden="false" outlineLevel="0" max="12779" min="12538" style="307" width="8.73"/>
    <col collapsed="false" customWidth="true" hidden="true" outlineLevel="0" max="12782" min="12780" style="307" width="13"/>
    <col collapsed="false" customWidth="true" hidden="false" outlineLevel="0" max="12783" min="12783" style="307" width="35"/>
    <col collapsed="false" customWidth="true" hidden="false" outlineLevel="0" max="12784" min="12784" style="307" width="22.73"/>
    <col collapsed="false" customWidth="false" hidden="false" outlineLevel="0" max="12785" min="12785" style="307" width="8.73"/>
    <col collapsed="false" customWidth="true" hidden="false" outlineLevel="0" max="12786" min="12786" style="307" width="36.45"/>
    <col collapsed="false" customWidth="true" hidden="false" outlineLevel="0" max="12787" min="12787" style="307" width="20.82"/>
    <col collapsed="false" customWidth="false" hidden="false" outlineLevel="0" max="12788" min="12788" style="307" width="8.73"/>
    <col collapsed="false" customWidth="true" hidden="false" outlineLevel="0" max="12789" min="12789" style="307" width="34.45"/>
    <col collapsed="false" customWidth="true" hidden="false" outlineLevel="0" max="12790" min="12790" style="307" width="20.27"/>
    <col collapsed="false" customWidth="false" hidden="false" outlineLevel="0" max="12791" min="12791" style="307" width="8.73"/>
    <col collapsed="false" customWidth="true" hidden="false" outlineLevel="0" max="12792" min="12792" style="307" width="18.27"/>
    <col collapsed="false" customWidth="true" hidden="false" outlineLevel="0" max="12793" min="12793" style="307" width="15.54"/>
    <col collapsed="false" customWidth="false" hidden="false" outlineLevel="0" max="13035" min="12794" style="307" width="8.73"/>
    <col collapsed="false" customWidth="true" hidden="true" outlineLevel="0" max="13038" min="13036" style="307" width="13"/>
    <col collapsed="false" customWidth="true" hidden="false" outlineLevel="0" max="13039" min="13039" style="307" width="35"/>
    <col collapsed="false" customWidth="true" hidden="false" outlineLevel="0" max="13040" min="13040" style="307" width="22.73"/>
    <col collapsed="false" customWidth="false" hidden="false" outlineLevel="0" max="13041" min="13041" style="307" width="8.73"/>
    <col collapsed="false" customWidth="true" hidden="false" outlineLevel="0" max="13042" min="13042" style="307" width="36.45"/>
    <col collapsed="false" customWidth="true" hidden="false" outlineLevel="0" max="13043" min="13043" style="307" width="20.82"/>
    <col collapsed="false" customWidth="false" hidden="false" outlineLevel="0" max="13044" min="13044" style="307" width="8.73"/>
    <col collapsed="false" customWidth="true" hidden="false" outlineLevel="0" max="13045" min="13045" style="307" width="34.45"/>
    <col collapsed="false" customWidth="true" hidden="false" outlineLevel="0" max="13046" min="13046" style="307" width="20.27"/>
    <col collapsed="false" customWidth="false" hidden="false" outlineLevel="0" max="13047" min="13047" style="307" width="8.73"/>
    <col collapsed="false" customWidth="true" hidden="false" outlineLevel="0" max="13048" min="13048" style="307" width="18.27"/>
    <col collapsed="false" customWidth="true" hidden="false" outlineLevel="0" max="13049" min="13049" style="307" width="15.54"/>
    <col collapsed="false" customWidth="false" hidden="false" outlineLevel="0" max="13291" min="13050" style="307" width="8.73"/>
    <col collapsed="false" customWidth="true" hidden="true" outlineLevel="0" max="13294" min="13292" style="307" width="13"/>
    <col collapsed="false" customWidth="true" hidden="false" outlineLevel="0" max="13295" min="13295" style="307" width="35"/>
    <col collapsed="false" customWidth="true" hidden="false" outlineLevel="0" max="13296" min="13296" style="307" width="22.73"/>
    <col collapsed="false" customWidth="false" hidden="false" outlineLevel="0" max="13297" min="13297" style="307" width="8.73"/>
    <col collapsed="false" customWidth="true" hidden="false" outlineLevel="0" max="13298" min="13298" style="307" width="36.45"/>
    <col collapsed="false" customWidth="true" hidden="false" outlineLevel="0" max="13299" min="13299" style="307" width="20.82"/>
    <col collapsed="false" customWidth="false" hidden="false" outlineLevel="0" max="13300" min="13300" style="307" width="8.73"/>
    <col collapsed="false" customWidth="true" hidden="false" outlineLevel="0" max="13301" min="13301" style="307" width="34.45"/>
    <col collapsed="false" customWidth="true" hidden="false" outlineLevel="0" max="13302" min="13302" style="307" width="20.27"/>
    <col collapsed="false" customWidth="false" hidden="false" outlineLevel="0" max="13303" min="13303" style="307" width="8.73"/>
    <col collapsed="false" customWidth="true" hidden="false" outlineLevel="0" max="13304" min="13304" style="307" width="18.27"/>
    <col collapsed="false" customWidth="true" hidden="false" outlineLevel="0" max="13305" min="13305" style="307" width="15.54"/>
    <col collapsed="false" customWidth="false" hidden="false" outlineLevel="0" max="13547" min="13306" style="307" width="8.73"/>
    <col collapsed="false" customWidth="true" hidden="true" outlineLevel="0" max="13550" min="13548" style="307" width="13"/>
    <col collapsed="false" customWidth="true" hidden="false" outlineLevel="0" max="13551" min="13551" style="307" width="35"/>
    <col collapsed="false" customWidth="true" hidden="false" outlineLevel="0" max="13552" min="13552" style="307" width="22.73"/>
    <col collapsed="false" customWidth="false" hidden="false" outlineLevel="0" max="13553" min="13553" style="307" width="8.73"/>
    <col collapsed="false" customWidth="true" hidden="false" outlineLevel="0" max="13554" min="13554" style="307" width="36.45"/>
    <col collapsed="false" customWidth="true" hidden="false" outlineLevel="0" max="13555" min="13555" style="307" width="20.82"/>
    <col collapsed="false" customWidth="false" hidden="false" outlineLevel="0" max="13556" min="13556" style="307" width="8.73"/>
    <col collapsed="false" customWidth="true" hidden="false" outlineLevel="0" max="13557" min="13557" style="307" width="34.45"/>
    <col collapsed="false" customWidth="true" hidden="false" outlineLevel="0" max="13558" min="13558" style="307" width="20.27"/>
    <col collapsed="false" customWidth="false" hidden="false" outlineLevel="0" max="13559" min="13559" style="307" width="8.73"/>
    <col collapsed="false" customWidth="true" hidden="false" outlineLevel="0" max="13560" min="13560" style="307" width="18.27"/>
    <col collapsed="false" customWidth="true" hidden="false" outlineLevel="0" max="13561" min="13561" style="307" width="15.54"/>
    <col collapsed="false" customWidth="false" hidden="false" outlineLevel="0" max="13803" min="13562" style="307" width="8.73"/>
    <col collapsed="false" customWidth="true" hidden="true" outlineLevel="0" max="13806" min="13804" style="307" width="13"/>
    <col collapsed="false" customWidth="true" hidden="false" outlineLevel="0" max="13807" min="13807" style="307" width="35"/>
    <col collapsed="false" customWidth="true" hidden="false" outlineLevel="0" max="13808" min="13808" style="307" width="22.73"/>
    <col collapsed="false" customWidth="false" hidden="false" outlineLevel="0" max="13809" min="13809" style="307" width="8.73"/>
    <col collapsed="false" customWidth="true" hidden="false" outlineLevel="0" max="13810" min="13810" style="307" width="36.45"/>
    <col collapsed="false" customWidth="true" hidden="false" outlineLevel="0" max="13811" min="13811" style="307" width="20.82"/>
    <col collapsed="false" customWidth="false" hidden="false" outlineLevel="0" max="13812" min="13812" style="307" width="8.73"/>
    <col collapsed="false" customWidth="true" hidden="false" outlineLevel="0" max="13813" min="13813" style="307" width="34.45"/>
    <col collapsed="false" customWidth="true" hidden="false" outlineLevel="0" max="13814" min="13814" style="307" width="20.27"/>
    <col collapsed="false" customWidth="false" hidden="false" outlineLevel="0" max="13815" min="13815" style="307" width="8.73"/>
    <col collapsed="false" customWidth="true" hidden="false" outlineLevel="0" max="13816" min="13816" style="307" width="18.27"/>
    <col collapsed="false" customWidth="true" hidden="false" outlineLevel="0" max="13817" min="13817" style="307" width="15.54"/>
    <col collapsed="false" customWidth="false" hidden="false" outlineLevel="0" max="14059" min="13818" style="307" width="8.73"/>
    <col collapsed="false" customWidth="true" hidden="true" outlineLevel="0" max="14062" min="14060" style="307" width="13"/>
    <col collapsed="false" customWidth="true" hidden="false" outlineLevel="0" max="14063" min="14063" style="307" width="35"/>
    <col collapsed="false" customWidth="true" hidden="false" outlineLevel="0" max="14064" min="14064" style="307" width="22.73"/>
    <col collapsed="false" customWidth="false" hidden="false" outlineLevel="0" max="14065" min="14065" style="307" width="8.73"/>
    <col collapsed="false" customWidth="true" hidden="false" outlineLevel="0" max="14066" min="14066" style="307" width="36.45"/>
    <col collapsed="false" customWidth="true" hidden="false" outlineLevel="0" max="14067" min="14067" style="307" width="20.82"/>
    <col collapsed="false" customWidth="false" hidden="false" outlineLevel="0" max="14068" min="14068" style="307" width="8.73"/>
    <col collapsed="false" customWidth="true" hidden="false" outlineLevel="0" max="14069" min="14069" style="307" width="34.45"/>
    <col collapsed="false" customWidth="true" hidden="false" outlineLevel="0" max="14070" min="14070" style="307" width="20.27"/>
    <col collapsed="false" customWidth="false" hidden="false" outlineLevel="0" max="14071" min="14071" style="307" width="8.73"/>
    <col collapsed="false" customWidth="true" hidden="false" outlineLevel="0" max="14072" min="14072" style="307" width="18.27"/>
    <col collapsed="false" customWidth="true" hidden="false" outlineLevel="0" max="14073" min="14073" style="307" width="15.54"/>
    <col collapsed="false" customWidth="false" hidden="false" outlineLevel="0" max="14315" min="14074" style="307" width="8.73"/>
    <col collapsed="false" customWidth="true" hidden="true" outlineLevel="0" max="14318" min="14316" style="307" width="13"/>
    <col collapsed="false" customWidth="true" hidden="false" outlineLevel="0" max="14319" min="14319" style="307" width="35"/>
    <col collapsed="false" customWidth="true" hidden="false" outlineLevel="0" max="14320" min="14320" style="307" width="22.73"/>
    <col collapsed="false" customWidth="false" hidden="false" outlineLevel="0" max="14321" min="14321" style="307" width="8.73"/>
    <col collapsed="false" customWidth="true" hidden="false" outlineLevel="0" max="14322" min="14322" style="307" width="36.45"/>
    <col collapsed="false" customWidth="true" hidden="false" outlineLevel="0" max="14323" min="14323" style="307" width="20.82"/>
    <col collapsed="false" customWidth="false" hidden="false" outlineLevel="0" max="14324" min="14324" style="307" width="8.73"/>
    <col collapsed="false" customWidth="true" hidden="false" outlineLevel="0" max="14325" min="14325" style="307" width="34.45"/>
    <col collapsed="false" customWidth="true" hidden="false" outlineLevel="0" max="14326" min="14326" style="307" width="20.27"/>
    <col collapsed="false" customWidth="false" hidden="false" outlineLevel="0" max="14327" min="14327" style="307" width="8.73"/>
    <col collapsed="false" customWidth="true" hidden="false" outlineLevel="0" max="14328" min="14328" style="307" width="18.27"/>
    <col collapsed="false" customWidth="true" hidden="false" outlineLevel="0" max="14329" min="14329" style="307" width="15.54"/>
    <col collapsed="false" customWidth="false" hidden="false" outlineLevel="0" max="14571" min="14330" style="307" width="8.73"/>
    <col collapsed="false" customWidth="true" hidden="true" outlineLevel="0" max="14574" min="14572" style="307" width="13"/>
    <col collapsed="false" customWidth="true" hidden="false" outlineLevel="0" max="14575" min="14575" style="307" width="35"/>
    <col collapsed="false" customWidth="true" hidden="false" outlineLevel="0" max="14576" min="14576" style="307" width="22.73"/>
    <col collapsed="false" customWidth="false" hidden="false" outlineLevel="0" max="14577" min="14577" style="307" width="8.73"/>
    <col collapsed="false" customWidth="true" hidden="false" outlineLevel="0" max="14578" min="14578" style="307" width="36.45"/>
    <col collapsed="false" customWidth="true" hidden="false" outlineLevel="0" max="14579" min="14579" style="307" width="20.82"/>
    <col collapsed="false" customWidth="false" hidden="false" outlineLevel="0" max="14580" min="14580" style="307" width="8.73"/>
    <col collapsed="false" customWidth="true" hidden="false" outlineLevel="0" max="14581" min="14581" style="307" width="34.45"/>
    <col collapsed="false" customWidth="true" hidden="false" outlineLevel="0" max="14582" min="14582" style="307" width="20.27"/>
    <col collapsed="false" customWidth="false" hidden="false" outlineLevel="0" max="14583" min="14583" style="307" width="8.73"/>
    <col collapsed="false" customWidth="true" hidden="false" outlineLevel="0" max="14584" min="14584" style="307" width="18.27"/>
    <col collapsed="false" customWidth="true" hidden="false" outlineLevel="0" max="14585" min="14585" style="307" width="15.54"/>
    <col collapsed="false" customWidth="false" hidden="false" outlineLevel="0" max="14827" min="14586" style="307" width="8.73"/>
    <col collapsed="false" customWidth="true" hidden="true" outlineLevel="0" max="14830" min="14828" style="307" width="13"/>
    <col collapsed="false" customWidth="true" hidden="false" outlineLevel="0" max="14831" min="14831" style="307" width="35"/>
    <col collapsed="false" customWidth="true" hidden="false" outlineLevel="0" max="14832" min="14832" style="307" width="22.73"/>
    <col collapsed="false" customWidth="false" hidden="false" outlineLevel="0" max="14833" min="14833" style="307" width="8.73"/>
    <col collapsed="false" customWidth="true" hidden="false" outlineLevel="0" max="14834" min="14834" style="307" width="36.45"/>
    <col collapsed="false" customWidth="true" hidden="false" outlineLevel="0" max="14835" min="14835" style="307" width="20.82"/>
    <col collapsed="false" customWidth="false" hidden="false" outlineLevel="0" max="14836" min="14836" style="307" width="8.73"/>
    <col collapsed="false" customWidth="true" hidden="false" outlineLevel="0" max="14837" min="14837" style="307" width="34.45"/>
    <col collapsed="false" customWidth="true" hidden="false" outlineLevel="0" max="14838" min="14838" style="307" width="20.27"/>
    <col collapsed="false" customWidth="false" hidden="false" outlineLevel="0" max="14839" min="14839" style="307" width="8.73"/>
    <col collapsed="false" customWidth="true" hidden="false" outlineLevel="0" max="14840" min="14840" style="307" width="18.27"/>
    <col collapsed="false" customWidth="true" hidden="false" outlineLevel="0" max="14841" min="14841" style="307" width="15.54"/>
    <col collapsed="false" customWidth="false" hidden="false" outlineLevel="0" max="15083" min="14842" style="307" width="8.73"/>
    <col collapsed="false" customWidth="true" hidden="true" outlineLevel="0" max="15086" min="15084" style="307" width="13"/>
    <col collapsed="false" customWidth="true" hidden="false" outlineLevel="0" max="15087" min="15087" style="307" width="35"/>
    <col collapsed="false" customWidth="true" hidden="false" outlineLevel="0" max="15088" min="15088" style="307" width="22.73"/>
    <col collapsed="false" customWidth="false" hidden="false" outlineLevel="0" max="15089" min="15089" style="307" width="8.73"/>
    <col collapsed="false" customWidth="true" hidden="false" outlineLevel="0" max="15090" min="15090" style="307" width="36.45"/>
    <col collapsed="false" customWidth="true" hidden="false" outlineLevel="0" max="15091" min="15091" style="307" width="20.82"/>
    <col collapsed="false" customWidth="false" hidden="false" outlineLevel="0" max="15092" min="15092" style="307" width="8.73"/>
    <col collapsed="false" customWidth="true" hidden="false" outlineLevel="0" max="15093" min="15093" style="307" width="34.45"/>
    <col collapsed="false" customWidth="true" hidden="false" outlineLevel="0" max="15094" min="15094" style="307" width="20.27"/>
    <col collapsed="false" customWidth="false" hidden="false" outlineLevel="0" max="15095" min="15095" style="307" width="8.73"/>
    <col collapsed="false" customWidth="true" hidden="false" outlineLevel="0" max="15096" min="15096" style="307" width="18.27"/>
    <col collapsed="false" customWidth="true" hidden="false" outlineLevel="0" max="15097" min="15097" style="307" width="15.54"/>
    <col collapsed="false" customWidth="false" hidden="false" outlineLevel="0" max="15339" min="15098" style="307" width="8.73"/>
    <col collapsed="false" customWidth="true" hidden="true" outlineLevel="0" max="15342" min="15340" style="307" width="13"/>
    <col collapsed="false" customWidth="true" hidden="false" outlineLevel="0" max="15343" min="15343" style="307" width="35"/>
    <col collapsed="false" customWidth="true" hidden="false" outlineLevel="0" max="15344" min="15344" style="307" width="22.73"/>
    <col collapsed="false" customWidth="false" hidden="false" outlineLevel="0" max="15345" min="15345" style="307" width="8.73"/>
    <col collapsed="false" customWidth="true" hidden="false" outlineLevel="0" max="15346" min="15346" style="307" width="36.45"/>
    <col collapsed="false" customWidth="true" hidden="false" outlineLevel="0" max="15347" min="15347" style="307" width="20.82"/>
    <col collapsed="false" customWidth="false" hidden="false" outlineLevel="0" max="15348" min="15348" style="307" width="8.73"/>
    <col collapsed="false" customWidth="true" hidden="false" outlineLevel="0" max="15349" min="15349" style="307" width="34.45"/>
    <col collapsed="false" customWidth="true" hidden="false" outlineLevel="0" max="15350" min="15350" style="307" width="20.27"/>
    <col collapsed="false" customWidth="false" hidden="false" outlineLevel="0" max="15351" min="15351" style="307" width="8.73"/>
    <col collapsed="false" customWidth="true" hidden="false" outlineLevel="0" max="15352" min="15352" style="307" width="18.27"/>
    <col collapsed="false" customWidth="true" hidden="false" outlineLevel="0" max="15353" min="15353" style="307" width="15.54"/>
    <col collapsed="false" customWidth="false" hidden="false" outlineLevel="0" max="15595" min="15354" style="307" width="8.73"/>
    <col collapsed="false" customWidth="true" hidden="true" outlineLevel="0" max="15598" min="15596" style="307" width="13"/>
    <col collapsed="false" customWidth="true" hidden="false" outlineLevel="0" max="15599" min="15599" style="307" width="35"/>
    <col collapsed="false" customWidth="true" hidden="false" outlineLevel="0" max="15600" min="15600" style="307" width="22.73"/>
    <col collapsed="false" customWidth="false" hidden="false" outlineLevel="0" max="15601" min="15601" style="307" width="8.73"/>
    <col collapsed="false" customWidth="true" hidden="false" outlineLevel="0" max="15602" min="15602" style="307" width="36.45"/>
    <col collapsed="false" customWidth="true" hidden="false" outlineLevel="0" max="15603" min="15603" style="307" width="20.82"/>
    <col collapsed="false" customWidth="false" hidden="false" outlineLevel="0" max="15604" min="15604" style="307" width="8.73"/>
    <col collapsed="false" customWidth="true" hidden="false" outlineLevel="0" max="15605" min="15605" style="307" width="34.45"/>
    <col collapsed="false" customWidth="true" hidden="false" outlineLevel="0" max="15606" min="15606" style="307" width="20.27"/>
    <col collapsed="false" customWidth="false" hidden="false" outlineLevel="0" max="15607" min="15607" style="307" width="8.73"/>
    <col collapsed="false" customWidth="true" hidden="false" outlineLevel="0" max="15608" min="15608" style="307" width="18.27"/>
    <col collapsed="false" customWidth="true" hidden="false" outlineLevel="0" max="15609" min="15609" style="307" width="15.54"/>
    <col collapsed="false" customWidth="false" hidden="false" outlineLevel="0" max="15851" min="15610" style="307" width="8.73"/>
    <col collapsed="false" customWidth="true" hidden="true" outlineLevel="0" max="15854" min="15852" style="307" width="13"/>
    <col collapsed="false" customWidth="true" hidden="false" outlineLevel="0" max="15855" min="15855" style="307" width="35"/>
    <col collapsed="false" customWidth="true" hidden="false" outlineLevel="0" max="15856" min="15856" style="307" width="22.73"/>
    <col collapsed="false" customWidth="false" hidden="false" outlineLevel="0" max="15857" min="15857" style="307" width="8.73"/>
    <col collapsed="false" customWidth="true" hidden="false" outlineLevel="0" max="15858" min="15858" style="307" width="36.45"/>
    <col collapsed="false" customWidth="true" hidden="false" outlineLevel="0" max="15859" min="15859" style="307" width="20.82"/>
    <col collapsed="false" customWidth="false" hidden="false" outlineLevel="0" max="15860" min="15860" style="307" width="8.73"/>
    <col collapsed="false" customWidth="true" hidden="false" outlineLevel="0" max="15861" min="15861" style="307" width="34.45"/>
    <col collapsed="false" customWidth="true" hidden="false" outlineLevel="0" max="15862" min="15862" style="307" width="20.27"/>
    <col collapsed="false" customWidth="false" hidden="false" outlineLevel="0" max="15863" min="15863" style="307" width="8.73"/>
    <col collapsed="false" customWidth="true" hidden="false" outlineLevel="0" max="15864" min="15864" style="307" width="18.27"/>
    <col collapsed="false" customWidth="true" hidden="false" outlineLevel="0" max="15865" min="15865" style="307" width="15.54"/>
    <col collapsed="false" customWidth="false" hidden="false" outlineLevel="0" max="16107" min="15866" style="307" width="8.73"/>
    <col collapsed="false" customWidth="true" hidden="true" outlineLevel="0" max="16110" min="16108" style="307" width="13"/>
    <col collapsed="false" customWidth="true" hidden="false" outlineLevel="0" max="16111" min="16111" style="307" width="35"/>
    <col collapsed="false" customWidth="true" hidden="false" outlineLevel="0" max="16112" min="16112" style="307" width="22.73"/>
    <col collapsed="false" customWidth="false" hidden="false" outlineLevel="0" max="16113" min="16113" style="307" width="8.73"/>
    <col collapsed="false" customWidth="true" hidden="false" outlineLevel="0" max="16114" min="16114" style="307" width="36.45"/>
    <col collapsed="false" customWidth="true" hidden="false" outlineLevel="0" max="16115" min="16115" style="307" width="20.82"/>
    <col collapsed="false" customWidth="false" hidden="false" outlineLevel="0" max="16116" min="16116" style="307" width="8.73"/>
    <col collapsed="false" customWidth="true" hidden="false" outlineLevel="0" max="16117" min="16117" style="307" width="34.45"/>
    <col collapsed="false" customWidth="true" hidden="false" outlineLevel="0" max="16118" min="16118" style="307" width="20.27"/>
    <col collapsed="false" customWidth="false" hidden="false" outlineLevel="0" max="16119" min="16119" style="307" width="8.73"/>
    <col collapsed="false" customWidth="true" hidden="false" outlineLevel="0" max="16120" min="16120" style="307" width="18.27"/>
    <col collapsed="false" customWidth="true" hidden="false" outlineLevel="0" max="16121" min="16121" style="307" width="15.54"/>
    <col collapsed="false" customWidth="false" hidden="false" outlineLevel="0" max="16384" min="16122" style="307" width="8.73"/>
  </cols>
  <sheetData>
    <row r="1" customFormat="false" ht="19.5" hidden="false" customHeight="true" outlineLevel="0" collapsed="false">
      <c r="A1" s="308"/>
      <c r="B1" s="309" t="s">
        <v>1</v>
      </c>
      <c r="C1" s="308"/>
      <c r="D1" s="308"/>
      <c r="E1" s="308"/>
      <c r="F1" s="308"/>
      <c r="G1" s="308"/>
      <c r="H1" s="308"/>
      <c r="I1" s="308"/>
      <c r="J1" s="308"/>
      <c r="K1" s="10"/>
      <c r="L1" s="10"/>
      <c r="M1" s="10"/>
    </row>
    <row r="2" customFormat="false" ht="19.5" hidden="false" customHeight="true" outlineLevel="0" collapsed="false">
      <c r="A2" s="310"/>
      <c r="B2" s="311"/>
      <c r="C2" s="310"/>
      <c r="D2" s="310"/>
      <c r="E2" s="310"/>
      <c r="F2" s="310"/>
      <c r="G2" s="310"/>
      <c r="H2" s="310"/>
      <c r="I2" s="310"/>
      <c r="J2" s="310"/>
      <c r="K2" s="10"/>
      <c r="L2" s="10"/>
      <c r="M2" s="10"/>
    </row>
    <row r="3" customFormat="false" ht="19.5" hidden="false" customHeight="true" outlineLevel="0" collapsed="false">
      <c r="A3" s="308"/>
      <c r="B3" s="312" t="s">
        <v>634</v>
      </c>
      <c r="C3" s="308"/>
      <c r="D3" s="308"/>
      <c r="E3" s="308"/>
      <c r="F3" s="308"/>
      <c r="G3" s="308"/>
      <c r="H3" s="308"/>
      <c r="I3" s="308"/>
      <c r="J3" s="308"/>
      <c r="K3" s="10"/>
      <c r="L3" s="10"/>
      <c r="M3" s="10"/>
    </row>
    <row r="4" customFormat="false" ht="15" hidden="false" customHeight="true" outlineLevel="0" collapsed="false">
      <c r="A4" s="310"/>
      <c r="B4" s="310"/>
      <c r="C4" s="313"/>
      <c r="D4" s="313"/>
      <c r="E4" s="310"/>
      <c r="F4" s="314"/>
      <c r="G4" s="314"/>
      <c r="H4" s="314"/>
      <c r="I4" s="310"/>
      <c r="J4" s="310"/>
      <c r="K4" s="10"/>
      <c r="L4" s="10"/>
      <c r="M4" s="10"/>
    </row>
    <row r="5" customFormat="false" ht="18" hidden="false" customHeight="true" outlineLevel="0" collapsed="false">
      <c r="A5" s="308"/>
      <c r="B5" s="315" t="s">
        <v>1</v>
      </c>
      <c r="C5" s="316"/>
      <c r="D5" s="316"/>
      <c r="E5" s="308"/>
      <c r="F5" s="317" t="s">
        <v>635</v>
      </c>
      <c r="G5" s="308"/>
      <c r="H5" s="308"/>
      <c r="I5" s="308"/>
      <c r="J5" s="308"/>
      <c r="K5" s="10"/>
      <c r="L5" s="318"/>
      <c r="M5" s="10"/>
    </row>
    <row r="6" customFormat="false" ht="15" hidden="false" customHeight="true" outlineLevel="0" collapsed="false">
      <c r="A6" s="310"/>
      <c r="B6" s="319" t="s">
        <v>636</v>
      </c>
      <c r="C6" s="319" t="n">
        <v>5</v>
      </c>
      <c r="D6" s="320"/>
      <c r="E6" s="310"/>
      <c r="F6" s="310"/>
      <c r="G6" s="310"/>
      <c r="H6" s="310"/>
      <c r="I6" s="310"/>
      <c r="J6" s="310"/>
      <c r="K6" s="10"/>
      <c r="L6" s="10"/>
      <c r="M6" s="314"/>
    </row>
    <row r="7" customFormat="false" ht="15" hidden="false" customHeight="true" outlineLevel="0" collapsed="false">
      <c r="A7" s="308"/>
      <c r="B7" s="319" t="s">
        <v>637</v>
      </c>
      <c r="C7" s="321" t="n">
        <v>1115</v>
      </c>
      <c r="D7" s="320"/>
      <c r="E7" s="308"/>
      <c r="F7" s="317" t="s">
        <v>638</v>
      </c>
      <c r="G7" s="322" t="s">
        <v>639</v>
      </c>
      <c r="H7" s="323" t="s">
        <v>640</v>
      </c>
      <c r="I7" s="323" t="s">
        <v>641</v>
      </c>
      <c r="J7" s="308"/>
      <c r="K7" s="10"/>
      <c r="L7" s="10"/>
      <c r="M7" s="10"/>
    </row>
    <row r="8" customFormat="false" ht="14.25" hidden="false" customHeight="true" outlineLevel="0" collapsed="false">
      <c r="A8" s="310"/>
      <c r="B8" s="319" t="s">
        <v>642</v>
      </c>
      <c r="C8" s="324" t="n">
        <v>0</v>
      </c>
      <c r="D8" s="320"/>
      <c r="E8" s="310"/>
      <c r="F8" s="325" t="s">
        <v>643</v>
      </c>
      <c r="G8" s="326" t="n">
        <f aca="false">C14</f>
        <v>262560.2</v>
      </c>
      <c r="H8" s="327" t="n">
        <f aca="false">G8/(E18*C6)</f>
        <v>0.29</v>
      </c>
      <c r="I8" s="326" t="n">
        <f aca="false">C15</f>
        <v>1616.75</v>
      </c>
      <c r="J8" s="310"/>
      <c r="K8" s="10"/>
      <c r="L8" s="10"/>
      <c r="M8" s="10"/>
    </row>
    <row r="9" customFormat="false" ht="14.25" hidden="false" customHeight="true" outlineLevel="0" collapsed="false">
      <c r="A9" s="308"/>
      <c r="B9" s="319" t="s">
        <v>644</v>
      </c>
      <c r="C9" s="328" t="n">
        <f aca="false">C7</f>
        <v>1115</v>
      </c>
      <c r="D9" s="329"/>
      <c r="E9" s="308"/>
      <c r="F9" s="330" t="s">
        <v>645</v>
      </c>
      <c r="G9" s="331" t="n">
        <f aca="false">C10*C13</f>
        <v>231420</v>
      </c>
      <c r="H9" s="332" t="n">
        <f aca="false">G9/(C6*E18)</f>
        <v>0.255605381165919</v>
      </c>
      <c r="I9" s="331" t="n">
        <f aca="false">G9/C10</f>
        <v>1425</v>
      </c>
      <c r="J9" s="10"/>
      <c r="K9" s="10"/>
      <c r="L9" s="10"/>
      <c r="M9" s="10"/>
    </row>
    <row r="10" customFormat="false" ht="15" hidden="false" customHeight="true" outlineLevel="0" collapsed="false">
      <c r="A10" s="310"/>
      <c r="B10" s="319" t="s">
        <v>646</v>
      </c>
      <c r="C10" s="333" t="n">
        <v>162.4</v>
      </c>
      <c r="D10" s="334"/>
      <c r="E10" s="310"/>
      <c r="F10" s="335" t="s">
        <v>647</v>
      </c>
      <c r="G10" s="326" t="n">
        <f aca="false">G8-(SUM(G9))</f>
        <v>31140.2</v>
      </c>
      <c r="H10" s="327" t="n">
        <f aca="false">G10/(C6*E18)</f>
        <v>0.0343946188340807</v>
      </c>
      <c r="I10" s="326" t="n">
        <f aca="false">G10/C10</f>
        <v>191.75</v>
      </c>
      <c r="J10" s="310"/>
      <c r="K10" s="10"/>
      <c r="L10" s="10"/>
      <c r="M10" s="10"/>
    </row>
    <row r="11" customFormat="false" ht="15" hidden="false" customHeight="true" outlineLevel="0" collapsed="false">
      <c r="A11" s="308"/>
      <c r="B11" s="319" t="s">
        <v>648</v>
      </c>
      <c r="C11" s="336" t="n">
        <v>0.04</v>
      </c>
      <c r="D11" s="337"/>
      <c r="E11" s="308"/>
      <c r="F11" s="330" t="s">
        <v>639</v>
      </c>
      <c r="G11" s="331" t="n">
        <f aca="false">SUM(G9:G10)</f>
        <v>262560.2</v>
      </c>
      <c r="H11" s="332" t="n">
        <f aca="false">SUM(H9:H10)</f>
        <v>0.29</v>
      </c>
      <c r="I11" s="331" t="n">
        <f aca="false">SUM(I9:I10)</f>
        <v>1616.75</v>
      </c>
      <c r="J11" s="308"/>
      <c r="K11" s="10"/>
      <c r="L11" s="10"/>
      <c r="M11" s="10"/>
    </row>
    <row r="12" customFormat="false" ht="14.25" hidden="false" customHeight="true" outlineLevel="0" collapsed="false">
      <c r="A12" s="310"/>
      <c r="B12" s="319" t="s">
        <v>378</v>
      </c>
      <c r="C12" s="336" t="n">
        <v>0.29</v>
      </c>
      <c r="D12" s="337"/>
      <c r="E12" s="310"/>
      <c r="F12" s="310"/>
      <c r="G12" s="310"/>
      <c r="H12" s="338"/>
      <c r="I12" s="310"/>
      <c r="J12" s="310"/>
      <c r="K12" s="10"/>
      <c r="L12" s="10"/>
      <c r="M12" s="10"/>
    </row>
    <row r="13" customFormat="false" ht="14.25" hidden="false" customHeight="true" outlineLevel="0" collapsed="false">
      <c r="A13" s="308"/>
      <c r="B13" s="319" t="s">
        <v>649</v>
      </c>
      <c r="C13" s="339" t="n">
        <v>1425</v>
      </c>
      <c r="D13" s="337"/>
      <c r="E13" s="340"/>
      <c r="F13" s="340"/>
      <c r="G13" s="340"/>
      <c r="H13" s="340"/>
      <c r="I13" s="340"/>
      <c r="J13" s="308"/>
      <c r="K13" s="10"/>
      <c r="L13" s="10"/>
      <c r="M13" s="10"/>
    </row>
    <row r="14" customFormat="false" ht="14.25" hidden="false" customHeight="true" outlineLevel="0" collapsed="false">
      <c r="A14" s="310"/>
      <c r="B14" s="319" t="s">
        <v>650</v>
      </c>
      <c r="C14" s="341" t="n">
        <f aca="false">E18*C6*C12</f>
        <v>262560.2</v>
      </c>
      <c r="D14" s="342"/>
      <c r="E14" s="343"/>
      <c r="F14" s="343"/>
      <c r="G14" s="343"/>
      <c r="H14" s="343"/>
      <c r="I14" s="343"/>
      <c r="J14" s="310"/>
      <c r="K14" s="10"/>
      <c r="L14" s="10"/>
      <c r="M14" s="10"/>
    </row>
    <row r="15" customFormat="false" ht="15" hidden="false" customHeight="true" outlineLevel="0" collapsed="false">
      <c r="A15" s="308"/>
      <c r="B15" s="319" t="s">
        <v>651</v>
      </c>
      <c r="C15" s="341" t="n">
        <f aca="false">C14/C10</f>
        <v>1616.75</v>
      </c>
      <c r="D15" s="342"/>
      <c r="E15" s="308"/>
      <c r="F15" s="308"/>
      <c r="G15" s="344"/>
      <c r="H15" s="308"/>
      <c r="I15" s="308"/>
      <c r="J15" s="308"/>
      <c r="K15" s="10"/>
      <c r="L15" s="10"/>
      <c r="M15" s="10"/>
    </row>
    <row r="16" customFormat="false" ht="14.25" hidden="false" customHeight="true" outlineLevel="0" collapsed="false">
      <c r="A16" s="310"/>
      <c r="B16" s="314"/>
      <c r="C16" s="314"/>
      <c r="D16" s="314"/>
      <c r="E16" s="310"/>
      <c r="F16" s="310"/>
      <c r="G16" s="310"/>
      <c r="H16" s="310"/>
      <c r="I16" s="310"/>
      <c r="J16" s="310"/>
      <c r="K16" s="10"/>
      <c r="L16" s="10"/>
      <c r="M16" s="10"/>
    </row>
    <row r="17" customFormat="false" ht="14.25" hidden="false" customHeight="true" outlineLevel="0" collapsed="false">
      <c r="A17" s="308"/>
      <c r="B17" s="345" t="s">
        <v>652</v>
      </c>
      <c r="C17" s="126" t="s">
        <v>653</v>
      </c>
      <c r="D17" s="345" t="s">
        <v>654</v>
      </c>
      <c r="E17" s="346" t="s">
        <v>655</v>
      </c>
      <c r="F17" s="347"/>
      <c r="G17" s="344"/>
      <c r="H17" s="340"/>
      <c r="I17" s="308"/>
      <c r="J17" s="344"/>
      <c r="K17" s="10"/>
      <c r="L17" s="10"/>
      <c r="M17" s="10"/>
    </row>
    <row r="18" customFormat="false" ht="14.25" hidden="false" customHeight="true" outlineLevel="0" collapsed="false">
      <c r="A18" s="310"/>
      <c r="B18" s="348" t="s">
        <v>656</v>
      </c>
      <c r="C18" s="349" t="n">
        <f aca="false">C7</f>
        <v>1115</v>
      </c>
      <c r="D18" s="349" t="n">
        <v>0</v>
      </c>
      <c r="E18" s="349" t="n">
        <f aca="false">C10*(C18+D18)</f>
        <v>181076</v>
      </c>
      <c r="F18" s="350"/>
      <c r="G18" s="310"/>
      <c r="H18" s="310"/>
      <c r="I18" s="310"/>
      <c r="J18" s="350"/>
      <c r="K18" s="10"/>
      <c r="L18" s="10"/>
      <c r="M18" s="10"/>
    </row>
    <row r="19" customFormat="false" ht="14.25" hidden="false" customHeight="true" outlineLevel="0" collapsed="false">
      <c r="A19" s="308"/>
      <c r="B19" s="10"/>
      <c r="C19" s="10"/>
      <c r="D19" s="10"/>
      <c r="E19" s="10"/>
      <c r="F19" s="308"/>
      <c r="G19" s="10"/>
      <c r="H19" s="10"/>
      <c r="I19" s="10"/>
      <c r="J19" s="10"/>
      <c r="K19" s="10"/>
      <c r="L19" s="10"/>
      <c r="M19" s="10"/>
    </row>
    <row r="20" customFormat="false" ht="14.2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</row>
    <row r="21" customFormat="false" ht="14.2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</row>
    <row r="22" customFormat="false" ht="14.25" hidden="false" customHeight="true" outlineLevel="0" collapsed="false">
      <c r="A22" s="10"/>
      <c r="B22" s="10"/>
      <c r="C22" s="10"/>
      <c r="D22" s="314"/>
      <c r="E22" s="10"/>
      <c r="F22" s="10"/>
      <c r="G22" s="10"/>
      <c r="H22" s="10"/>
      <c r="I22" s="10"/>
      <c r="J22" s="10"/>
      <c r="K22" s="10"/>
      <c r="L22" s="10"/>
      <c r="M22" s="10"/>
    </row>
    <row r="23" customFormat="false" ht="14.25" hidden="false" customHeight="true" outlineLevel="0" collapsed="false">
      <c r="A23" s="10"/>
      <c r="B23" s="318"/>
      <c r="C23" s="351"/>
      <c r="D23" s="10"/>
      <c r="E23" s="10"/>
      <c r="F23" s="10"/>
      <c r="G23" s="10"/>
      <c r="H23" s="10"/>
      <c r="I23" s="10"/>
      <c r="J23" s="10"/>
      <c r="K23" s="10"/>
      <c r="L23" s="10"/>
      <c r="M23" s="10"/>
    </row>
    <row r="24" customFormat="false" ht="14.25" hidden="false" customHeight="true" outlineLevel="0" collapsed="false">
      <c r="A24" s="10"/>
      <c r="B24" s="313"/>
      <c r="C24" s="352"/>
      <c r="D24" s="352"/>
      <c r="E24" s="353"/>
      <c r="F24" s="10"/>
      <c r="G24" s="10"/>
      <c r="H24" s="10"/>
      <c r="I24" s="10"/>
      <c r="J24" s="314"/>
      <c r="K24" s="10"/>
      <c r="L24" s="10"/>
      <c r="M24" s="10"/>
    </row>
    <row r="25" customFormat="false" ht="14.25" hidden="false" customHeight="true" outlineLevel="0" collapsed="false">
      <c r="A25" s="10"/>
      <c r="B25" s="318"/>
      <c r="C25" s="351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customFormat="false" ht="14.2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customFormat="false" ht="14.2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</row>
    <row r="28" customFormat="false" ht="14.2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</row>
    <row r="29" customFormat="false" ht="14.25" hidden="false" customHeight="true" outlineLevel="0" collapsed="false">
      <c r="A29" s="10"/>
      <c r="B29" s="10"/>
      <c r="C29" s="10"/>
      <c r="D29" s="10"/>
      <c r="E29" s="10"/>
      <c r="F29" s="10"/>
      <c r="G29" s="344"/>
      <c r="H29" s="10"/>
      <c r="I29" s="10"/>
      <c r="J29" s="344"/>
      <c r="K29" s="10"/>
      <c r="L29" s="10"/>
      <c r="M29" s="10"/>
    </row>
    <row r="30" customFormat="false" ht="14.25" hidden="false" customHeight="true" outlineLevel="0" collapsed="false">
      <c r="A30" s="10"/>
      <c r="B30" s="10"/>
      <c r="C30" s="10"/>
      <c r="D30" s="10"/>
      <c r="E30" s="10"/>
      <c r="F30" s="10"/>
      <c r="G30" s="314"/>
      <c r="H30" s="354"/>
      <c r="I30" s="10"/>
      <c r="J30" s="10"/>
      <c r="K30" s="10"/>
      <c r="L30" s="10"/>
      <c r="M30" s="10"/>
    </row>
    <row r="31" customFormat="false" ht="14.25" hidden="false" customHeight="true" outlineLevel="0" collapsed="false">
      <c r="A31" s="10"/>
      <c r="B31" s="10"/>
      <c r="C31" s="10"/>
      <c r="D31" s="10"/>
      <c r="E31" s="10"/>
      <c r="F31" s="10"/>
      <c r="G31" s="344"/>
      <c r="H31" s="10"/>
      <c r="I31" s="10"/>
      <c r="J31" s="10"/>
      <c r="K31" s="10"/>
      <c r="L31" s="10"/>
      <c r="M31" s="10"/>
    </row>
    <row r="32" customFormat="false" ht="14.25" hidden="false" customHeight="true" outlineLevel="0" collapsed="false">
      <c r="A32" s="10"/>
      <c r="B32" s="10"/>
      <c r="C32" s="10"/>
      <c r="D32" s="10"/>
      <c r="E32" s="10"/>
      <c r="F32" s="10"/>
      <c r="G32" s="314"/>
      <c r="H32" s="354"/>
      <c r="I32" s="10"/>
      <c r="J32" s="10"/>
      <c r="K32" s="10"/>
      <c r="L32" s="10"/>
      <c r="M32" s="10"/>
    </row>
    <row r="33" customFormat="false" ht="14.2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</row>
    <row r="34" customFormat="false" ht="14.25" hidden="false" customHeight="true" outlineLevel="0" collapsed="false">
      <c r="A34" s="10"/>
      <c r="B34" s="10"/>
      <c r="C34" s="10"/>
      <c r="D34" s="10"/>
      <c r="E34" s="10"/>
      <c r="F34" s="10"/>
      <c r="G34" s="314"/>
      <c r="H34" s="10"/>
      <c r="I34" s="10"/>
      <c r="J34" s="10"/>
      <c r="K34" s="10"/>
      <c r="L34" s="10"/>
      <c r="M34" s="10"/>
    </row>
    <row r="35" customFormat="false" ht="14.25" hidden="false" customHeight="true" outlineLevel="0" collapsed="false">
      <c r="A35" s="10"/>
      <c r="B35" s="10"/>
      <c r="C35" s="10"/>
      <c r="D35" s="10"/>
      <c r="E35" s="10"/>
      <c r="F35" s="10"/>
      <c r="G35" s="344"/>
      <c r="H35" s="10"/>
      <c r="I35" s="10"/>
      <c r="J35" s="10"/>
      <c r="K35" s="10"/>
      <c r="L35" s="10"/>
      <c r="M35" s="10"/>
    </row>
    <row r="36" customFormat="false" ht="14.25" hidden="false" customHeight="true" outlineLevel="0" collapsed="false">
      <c r="A36" s="10"/>
      <c r="B36" s="10"/>
      <c r="C36" s="10"/>
      <c r="D36" s="10"/>
      <c r="E36" s="10"/>
      <c r="F36" s="10"/>
      <c r="G36" s="314"/>
      <c r="H36" s="10"/>
      <c r="I36" s="10"/>
      <c r="J36" s="10"/>
      <c r="K36" s="10"/>
      <c r="L36" s="10"/>
      <c r="M36" s="10"/>
    </row>
    <row r="37" customFormat="false" ht="14.25" hidden="false" customHeight="true" outlineLevel="0" collapsed="false">
      <c r="A37" s="355"/>
      <c r="B37" s="10"/>
      <c r="C37" s="10"/>
      <c r="D37" s="10"/>
      <c r="E37" s="10"/>
      <c r="F37" s="10"/>
      <c r="G37" s="344"/>
      <c r="H37" s="10"/>
      <c r="I37" s="10"/>
      <c r="J37" s="10"/>
      <c r="K37" s="10"/>
      <c r="L37" s="10"/>
      <c r="M37" s="10"/>
    </row>
    <row r="38" customFormat="false" ht="14.25" hidden="false" customHeight="true" outlineLevel="0" collapsed="false">
      <c r="A38" s="10"/>
      <c r="B38" s="10"/>
      <c r="C38" s="10"/>
      <c r="D38" s="10"/>
      <c r="E38" s="10"/>
      <c r="F38" s="10"/>
      <c r="G38" s="314"/>
      <c r="H38" s="10"/>
      <c r="I38" s="10"/>
      <c r="J38" s="10"/>
      <c r="K38" s="10"/>
      <c r="L38" s="10"/>
      <c r="M38" s="10"/>
    </row>
    <row r="39" customFormat="false" ht="14.2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  <row r="40" customFormat="false" ht="14.25" hidden="false" customHeight="true" outlineLevel="0" collapsed="false">
      <c r="A40" s="10"/>
      <c r="B40" s="10"/>
      <c r="C40" s="10"/>
      <c r="D40" s="10"/>
      <c r="E40" s="10"/>
      <c r="F40" s="10"/>
      <c r="G40" s="313"/>
      <c r="H40" s="356"/>
      <c r="I40" s="10"/>
      <c r="J40" s="10"/>
      <c r="K40" s="10"/>
      <c r="L40" s="10"/>
      <c r="M40" s="10"/>
    </row>
    <row r="41" customFormat="false" ht="14.25" hidden="false" customHeight="true" outlineLevel="0" collapsed="false">
      <c r="A41" s="10"/>
      <c r="B41" s="10"/>
      <c r="C41" s="10"/>
      <c r="D41" s="10"/>
      <c r="E41" s="10"/>
      <c r="F41" s="10"/>
      <c r="G41" s="344"/>
      <c r="H41" s="357"/>
      <c r="I41" s="344"/>
      <c r="J41" s="10"/>
      <c r="K41" s="10"/>
      <c r="L41" s="10"/>
      <c r="M41" s="10"/>
    </row>
    <row r="42" customFormat="false" ht="14.25" hidden="false" customHeight="true" outlineLevel="0" collapsed="false">
      <c r="A42" s="10"/>
      <c r="B42" s="10"/>
      <c r="C42" s="10"/>
      <c r="D42" s="10"/>
      <c r="E42" s="10"/>
      <c r="F42" s="10"/>
      <c r="G42" s="314"/>
      <c r="H42" s="358"/>
      <c r="I42" s="314"/>
      <c r="J42" s="10"/>
      <c r="K42" s="10"/>
      <c r="L42" s="10"/>
      <c r="M42" s="10"/>
    </row>
    <row r="43" customFormat="false" ht="14.25" hidden="false" customHeight="true" outlineLevel="0" collapsed="false">
      <c r="A43" s="10"/>
      <c r="B43" s="10"/>
      <c r="C43" s="10"/>
      <c r="D43" s="10"/>
      <c r="E43" s="10"/>
      <c r="F43" s="10"/>
      <c r="G43" s="344"/>
      <c r="H43" s="357"/>
      <c r="I43" s="344"/>
      <c r="J43" s="10"/>
      <c r="K43" s="10"/>
      <c r="L43" s="10"/>
      <c r="M43" s="10"/>
    </row>
    <row r="44" customFormat="false" ht="14.25" hidden="false" customHeight="true" outlineLevel="0" collapsed="false">
      <c r="A44" s="10"/>
      <c r="B44" s="10"/>
      <c r="C44" s="10"/>
      <c r="D44" s="10"/>
      <c r="E44" s="10"/>
      <c r="F44" s="313"/>
      <c r="G44" s="10"/>
      <c r="H44" s="10"/>
      <c r="I44" s="314"/>
      <c r="J44" s="10"/>
      <c r="K44" s="10"/>
      <c r="L44" s="10"/>
      <c r="M44" s="10"/>
    </row>
    <row r="45" customFormat="false" ht="14.2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</row>
    <row r="46" customFormat="false" ht="14.2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</row>
    <row r="47" customFormat="false" ht="14.25" hidden="true" customHeight="tru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</row>
    <row r="48" customFormat="false" ht="14.25" hidden="true" customHeight="tru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</row>
    <row r="49" customFormat="false" ht="14.25" hidden="true" customHeight="true" outlineLevel="0" collapsed="false">
      <c r="A49" s="10"/>
      <c r="B49" s="359" t="s">
        <v>657</v>
      </c>
      <c r="C49" s="359" t="n">
        <f aca="false">C10*200</f>
        <v>32480</v>
      </c>
      <c r="D49" s="359" t="n">
        <f aca="false">D10*200</f>
        <v>0</v>
      </c>
      <c r="E49" s="10"/>
      <c r="F49" s="10"/>
      <c r="G49" s="10"/>
      <c r="H49" s="10"/>
      <c r="I49" s="10"/>
      <c r="J49" s="10"/>
      <c r="K49" s="10"/>
      <c r="L49" s="10"/>
      <c r="M49" s="10"/>
    </row>
    <row r="50" customFormat="false" ht="14.25" hidden="true" customHeight="tru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</row>
    <row r="51" customFormat="false" ht="14.25" hidden="true" customHeight="tru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</row>
    <row r="52" customFormat="false" ht="14.2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</row>
    <row r="53" customFormat="false" ht="14.2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</row>
    <row r="54" customFormat="false" ht="14.2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</row>
    <row r="55" customFormat="false" ht="14.2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</row>
    <row r="56" customFormat="false" ht="14.2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</row>
    <row r="57" customFormat="false" ht="14.2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</row>
    <row r="58" customFormat="false" ht="14.2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</row>
    <row r="59" customFormat="false" ht="14.2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</row>
    <row r="60" customFormat="false" ht="14.2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</row>
    <row r="61" customFormat="false" ht="14.2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</row>
    <row r="62" customFormat="false" ht="14.2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</row>
    <row r="63" customFormat="false" ht="14.2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</row>
    <row r="64" customFormat="false" ht="14.25" hidden="false" customHeight="true" outlineLevel="0" collapsed="false">
      <c r="A64" s="313"/>
      <c r="B64" s="10"/>
      <c r="C64" s="10"/>
      <c r="D64" s="10"/>
      <c r="E64" s="313"/>
      <c r="F64" s="10"/>
      <c r="G64" s="10"/>
      <c r="H64" s="10"/>
      <c r="I64" s="10"/>
      <c r="J64" s="10"/>
      <c r="K64" s="10"/>
      <c r="L64" s="10"/>
      <c r="M64" s="10"/>
    </row>
  </sheetData>
  <mergeCells count="1">
    <mergeCell ref="C24:D24"/>
  </mergeCells>
  <printOptions headings="false" gridLines="false" gridLinesSet="true" horizontalCentered="false" verticalCentered="false"/>
  <pageMargins left="0.7" right="0.7" top="0.75" bottom="0.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8.73046875" defaultRowHeight="12" customHeight="false" zeroHeight="false" outlineLevelRow="0" outlineLevelCol="0"/>
  <cols>
    <col collapsed="false" customWidth="true" hidden="false" outlineLevel="0" max="1" min="1" style="360" width="37"/>
    <col collapsed="false" customWidth="true" hidden="false" outlineLevel="0" max="2" min="2" style="360" width="18"/>
    <col collapsed="false" customWidth="true" hidden="false" outlineLevel="0" max="3" min="3" style="360" width="28.18"/>
    <col collapsed="false" customWidth="true" hidden="false" outlineLevel="0" max="4" min="4" style="360" width="11.73"/>
    <col collapsed="false" customWidth="false" hidden="false" outlineLevel="0" max="5" min="5" style="360" width="8.73"/>
    <col collapsed="false" customWidth="true" hidden="false" outlineLevel="0" max="6" min="6" style="360" width="10.18"/>
    <col collapsed="false" customWidth="false" hidden="false" outlineLevel="0" max="16384" min="7" style="360" width="8.73"/>
  </cols>
  <sheetData>
    <row r="1" customFormat="false" ht="12" hidden="false" customHeight="true" outlineLevel="0" collapsed="false">
      <c r="A1" s="361" t="s">
        <v>658</v>
      </c>
      <c r="B1" s="362"/>
      <c r="C1" s="362"/>
      <c r="D1" s="362"/>
      <c r="E1" s="362"/>
      <c r="F1" s="362"/>
      <c r="G1" s="362"/>
    </row>
    <row r="2" customFormat="false" ht="26.25" hidden="false" customHeight="true" outlineLevel="0" collapsed="false">
      <c r="A2" s="13" t="s">
        <v>659</v>
      </c>
      <c r="B2" s="363"/>
      <c r="C2" s="363"/>
      <c r="D2" s="363"/>
      <c r="E2" s="363"/>
      <c r="F2" s="363"/>
      <c r="G2" s="363"/>
    </row>
    <row r="3" customFormat="false" ht="13.5" hidden="false" customHeight="true" outlineLevel="0" collapsed="false">
      <c r="A3" s="364"/>
      <c r="B3" s="362"/>
      <c r="C3" s="362"/>
      <c r="D3" s="362"/>
      <c r="E3" s="362"/>
      <c r="F3" s="362"/>
      <c r="G3" s="362"/>
    </row>
    <row r="4" customFormat="false" ht="12" hidden="false" customHeight="true" outlineLevel="0" collapsed="false">
      <c r="A4" s="365" t="s">
        <v>660</v>
      </c>
      <c r="B4" s="366" t="s">
        <v>661</v>
      </c>
      <c r="C4" s="367"/>
      <c r="D4" s="367"/>
      <c r="E4" s="367"/>
      <c r="F4" s="367"/>
      <c r="G4" s="367"/>
    </row>
    <row r="5" customFormat="false" ht="12" hidden="false" customHeight="true" outlineLevel="0" collapsed="false">
      <c r="A5" s="365" t="s">
        <v>662</v>
      </c>
      <c r="B5" s="368" t="s">
        <v>663</v>
      </c>
      <c r="C5" s="367"/>
      <c r="D5" s="367"/>
      <c r="E5" s="367"/>
      <c r="F5" s="367"/>
      <c r="G5" s="367"/>
    </row>
    <row r="6" customFormat="false" ht="12" hidden="false" customHeight="true" outlineLevel="0" collapsed="false">
      <c r="A6" s="369"/>
      <c r="B6" s="367"/>
      <c r="C6" s="370"/>
      <c r="D6" s="370"/>
      <c r="E6" s="371"/>
      <c r="F6" s="371"/>
      <c r="G6" s="367"/>
    </row>
    <row r="7" customFormat="false" ht="12" hidden="false" customHeight="true" outlineLevel="0" collapsed="false">
      <c r="A7" s="365" t="s">
        <v>664</v>
      </c>
      <c r="B7" s="372" t="n">
        <v>45566</v>
      </c>
      <c r="C7" s="370"/>
      <c r="D7" s="370"/>
      <c r="E7" s="367"/>
      <c r="F7" s="370"/>
      <c r="G7" s="373"/>
    </row>
    <row r="8" customFormat="false" ht="12" hidden="false" customHeight="true" outlineLevel="0" collapsed="false">
      <c r="A8" s="365" t="s">
        <v>665</v>
      </c>
      <c r="B8" s="374" t="n">
        <v>4</v>
      </c>
      <c r="C8" s="370"/>
      <c r="D8" s="370"/>
      <c r="E8" s="367"/>
      <c r="F8" s="370"/>
      <c r="G8" s="373"/>
    </row>
    <row r="9" customFormat="false" ht="12" hidden="false" customHeight="true" outlineLevel="0" collapsed="false">
      <c r="A9" s="365" t="s">
        <v>666</v>
      </c>
      <c r="B9" s="366" t="n">
        <v>193.4</v>
      </c>
      <c r="C9" s="375" t="s">
        <v>652</v>
      </c>
      <c r="D9" s="376" t="s">
        <v>667</v>
      </c>
      <c r="E9" s="367"/>
      <c r="F9" s="370"/>
      <c r="G9" s="373"/>
    </row>
    <row r="10" customFormat="false" ht="12" hidden="false" customHeight="true" outlineLevel="0" collapsed="false">
      <c r="A10" s="365" t="s">
        <v>668</v>
      </c>
      <c r="B10" s="377" t="n">
        <v>900</v>
      </c>
      <c r="C10" s="365" t="s">
        <v>669</v>
      </c>
      <c r="D10" s="378" t="n">
        <f aca="false">B9*B10</f>
        <v>174060</v>
      </c>
      <c r="E10" s="367"/>
      <c r="F10" s="370"/>
      <c r="G10" s="379"/>
    </row>
    <row r="11" customFormat="false" ht="12" hidden="false" customHeight="true" outlineLevel="0" collapsed="false">
      <c r="A11" s="365" t="s">
        <v>670</v>
      </c>
      <c r="B11" s="380" t="n">
        <v>0.0375</v>
      </c>
      <c r="C11" s="365" t="s">
        <v>671</v>
      </c>
      <c r="D11" s="378" t="n">
        <f aca="false">D10*(1+$B$11)</f>
        <v>180587.25</v>
      </c>
      <c r="E11" s="367"/>
      <c r="F11" s="370"/>
      <c r="G11" s="367"/>
    </row>
    <row r="12" customFormat="false" ht="12" hidden="false" customHeight="true" outlineLevel="0" collapsed="false">
      <c r="A12" s="369"/>
      <c r="B12" s="370"/>
      <c r="C12" s="365" t="s">
        <v>672</v>
      </c>
      <c r="D12" s="378" t="n">
        <f aca="false">D11*(1+$B$11)</f>
        <v>187359.271875</v>
      </c>
      <c r="E12" s="367"/>
      <c r="F12" s="370"/>
      <c r="G12" s="367"/>
    </row>
    <row r="13" customFormat="false" ht="12" hidden="false" customHeight="true" outlineLevel="0" collapsed="false">
      <c r="A13" s="369"/>
      <c r="B13" s="370"/>
      <c r="C13" s="365" t="s">
        <v>673</v>
      </c>
      <c r="D13" s="378" t="n">
        <f aca="false">D12*(1+$B$11)</f>
        <v>194385.244570313</v>
      </c>
      <c r="E13" s="367"/>
      <c r="F13" s="370"/>
      <c r="G13" s="367"/>
    </row>
    <row r="14" customFormat="false" ht="12" hidden="false" customHeight="true" outlineLevel="0" collapsed="false">
      <c r="A14" s="365" t="s">
        <v>674</v>
      </c>
      <c r="B14" s="367"/>
      <c r="C14" s="381"/>
      <c r="D14" s="382"/>
      <c r="E14" s="367"/>
      <c r="F14" s="383"/>
      <c r="G14" s="367"/>
    </row>
    <row r="15" customFormat="false" ht="12" hidden="false" customHeight="true" outlineLevel="0" collapsed="false">
      <c r="A15" s="384" t="s">
        <v>675</v>
      </c>
      <c r="B15" s="385" t="n">
        <v>0.12</v>
      </c>
      <c r="C15" s="376" t="s">
        <v>676</v>
      </c>
      <c r="D15" s="378" t="n">
        <f aca="false">AVERAGE(D10:D13)</f>
        <v>184097.941611328</v>
      </c>
      <c r="E15" s="386"/>
      <c r="F15" s="387"/>
      <c r="G15" s="388"/>
    </row>
    <row r="16" customFormat="false" ht="12" hidden="false" customHeight="true" outlineLevel="0" collapsed="false">
      <c r="A16" s="381"/>
      <c r="B16" s="389"/>
      <c r="C16" s="367"/>
      <c r="D16" s="370"/>
      <c r="E16" s="386"/>
      <c r="F16" s="387"/>
      <c r="G16" s="388"/>
    </row>
    <row r="17" customFormat="false" ht="12" hidden="false" customHeight="true" outlineLevel="0" collapsed="false">
      <c r="A17" s="381"/>
      <c r="B17" s="389"/>
      <c r="C17" s="367"/>
      <c r="D17" s="383"/>
      <c r="E17" s="386"/>
      <c r="F17" s="387"/>
      <c r="G17" s="388"/>
    </row>
    <row r="18" customFormat="false" ht="12" hidden="false" customHeight="true" outlineLevel="0" collapsed="false">
      <c r="A18" s="388"/>
      <c r="B18" s="388"/>
      <c r="C18" s="369"/>
      <c r="D18" s="390"/>
      <c r="E18" s="367"/>
      <c r="F18" s="391"/>
      <c r="G18" s="388"/>
    </row>
    <row r="19" customFormat="false" ht="12" hidden="false" customHeight="true" outlineLevel="0" collapsed="false">
      <c r="A19" s="365" t="s">
        <v>677</v>
      </c>
      <c r="B19" s="391"/>
      <c r="C19" s="367"/>
      <c r="D19" s="392"/>
      <c r="E19" s="367"/>
      <c r="F19" s="367"/>
      <c r="G19" s="367"/>
    </row>
    <row r="20" customFormat="false" ht="12" hidden="false" customHeight="true" outlineLevel="0" collapsed="false">
      <c r="A20" s="366" t="s">
        <v>678</v>
      </c>
      <c r="B20" s="391"/>
      <c r="C20" s="393" t="n">
        <v>1</v>
      </c>
      <c r="D20" s="394" t="n">
        <f aca="false">D15*B15</f>
        <v>22091.7529933594</v>
      </c>
      <c r="E20" s="366" t="s">
        <v>679</v>
      </c>
      <c r="F20" s="367"/>
      <c r="G20" s="367"/>
    </row>
    <row r="21" customFormat="false" ht="12.75" hidden="false" customHeight="true" outlineLevel="0" collapsed="false">
      <c r="A21" s="395"/>
      <c r="B21" s="367"/>
      <c r="C21" s="365" t="s">
        <v>680</v>
      </c>
      <c r="D21" s="394" t="n">
        <f aca="false">SUM(D20)</f>
        <v>22091.7529933594</v>
      </c>
      <c r="E21" s="366" t="s">
        <v>679</v>
      </c>
      <c r="F21" s="367"/>
      <c r="G21" s="367"/>
    </row>
    <row r="22" customFormat="false" ht="12" hidden="false" customHeight="false" outlineLevel="0" collapsed="false">
      <c r="A22" s="10"/>
      <c r="B22" s="10"/>
      <c r="C22" s="10"/>
      <c r="D22" s="10"/>
      <c r="E22" s="10"/>
      <c r="F22" s="10"/>
      <c r="G22" s="10"/>
    </row>
    <row r="23" customFormat="false" ht="12" hidden="false" customHeight="true" outlineLevel="0" collapsed="false">
      <c r="A23" s="10"/>
      <c r="B23" s="10"/>
      <c r="C23" s="10"/>
      <c r="D23" s="396"/>
      <c r="E23" s="10"/>
      <c r="F23" s="10"/>
      <c r="G23" s="10"/>
    </row>
    <row r="24" customFormat="false" ht="12" hidden="false" customHeight="true" outlineLevel="0" collapsed="false">
      <c r="A24" s="10"/>
      <c r="B24" s="10"/>
      <c r="C24" s="10"/>
      <c r="D24" s="396"/>
      <c r="E24" s="10"/>
      <c r="F24" s="10"/>
      <c r="G24" s="10"/>
    </row>
  </sheetData>
  <printOptions headings="false" gridLines="false" gridLinesSet="true" horizontalCentered="false" verticalCentered="false"/>
  <pageMargins left="0.75" right="0.75" top="1" bottom="1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7" width="39.82"/>
    <col collapsed="false" customWidth="true" hidden="false" outlineLevel="0" max="2" min="2" style="7" width="12.91"/>
    <col collapsed="false" customWidth="true" hidden="false" outlineLevel="0" max="3" min="3" style="7" width="16.63"/>
    <col collapsed="false" customWidth="false" hidden="false" outlineLevel="0" max="4" min="4" style="7" width="8.73"/>
    <col collapsed="false" customWidth="true" hidden="false" outlineLevel="0" max="5" min="5" style="7" width="48.36"/>
    <col collapsed="false" customWidth="false" hidden="false" outlineLevel="0" max="16384" min="6" style="7" width="8.73"/>
  </cols>
  <sheetData>
    <row r="1" customFormat="false" ht="14.25" hidden="false" customHeight="true" outlineLevel="0" collapsed="false">
      <c r="A1" s="397" t="s">
        <v>638</v>
      </c>
      <c r="B1" s="397" t="s">
        <v>681</v>
      </c>
      <c r="C1" s="397" t="s">
        <v>682</v>
      </c>
      <c r="D1" s="397" t="s">
        <v>683</v>
      </c>
      <c r="E1" s="397" t="s">
        <v>684</v>
      </c>
    </row>
    <row r="2" customFormat="false" ht="14.25" hidden="false" customHeight="true" outlineLevel="0" collapsed="false">
      <c r="A2" s="33" t="s">
        <v>685</v>
      </c>
      <c r="B2" s="398" t="n">
        <v>46136</v>
      </c>
      <c r="C2" s="33" t="s">
        <v>686</v>
      </c>
      <c r="D2" s="399" t="n">
        <v>35750</v>
      </c>
      <c r="E2" s="33" t="s">
        <v>687</v>
      </c>
    </row>
    <row r="3" customFormat="false" ht="14.25" hidden="false" customHeight="true" outlineLevel="0" collapsed="false">
      <c r="A3" s="400" t="s">
        <v>688</v>
      </c>
      <c r="B3" s="401" t="n">
        <v>46120</v>
      </c>
      <c r="C3" s="400" t="s">
        <v>689</v>
      </c>
      <c r="D3" s="402" t="n">
        <v>892049</v>
      </c>
      <c r="E3" s="400" t="s">
        <v>690</v>
      </c>
    </row>
  </sheetData>
  <printOptions headings="false" gridLines="false" gridLinesSet="true" horizontalCentered="false" verticalCentered="false"/>
  <pageMargins left="0.7" right="0.7" top="0.75" bottom="0.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2026-05-04T04:18:33Z</dcterms:created>
  <dc:creator>openpyxl</dc:creator>
  <dc:description/>
  <dc:language>en-US</dc:language>
  <cp:lastModifiedBy/>
  <dcterms:modified xsi:type="dcterms:W3CDTF">2026-06-29T23:39:05Z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