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:\Properties\Castlereagh St-Hartswan\Castlereagh - Property Management\"/>
    </mc:Choice>
  </mc:AlternateContent>
  <xr:revisionPtr revIDLastSave="0" documentId="13_ncr:1_{6735F345-B222-404C-9729-D56AA7FC7EF1}" xr6:coauthVersionLast="47" xr6:coauthVersionMax="47" xr10:uidLastSave="{00000000-0000-0000-0000-000000000000}"/>
  <bookViews>
    <workbookView xWindow="16650" yWindow="-16320" windowWidth="29040" windowHeight="15720" tabRatio="835" activeTab="2" xr2:uid="{00000000-000D-0000-FFFF-FFFF00000000}"/>
  </bookViews>
  <sheets>
    <sheet name="Last Updated" sheetId="1" r:id="rId1"/>
    <sheet name="Input Data" sheetId="2" r:id="rId2"/>
    <sheet name="Dashboard" sheetId="3" r:id="rId3"/>
    <sheet name="Valuations" sheetId="4" r:id="rId4"/>
    <sheet name="Expiry Profile" sheetId="5" r:id="rId5"/>
    <sheet name="Leases" sheetId="6" r:id="rId6"/>
    <sheet name="Leasing Activity" sheetId="7" r:id="rId7"/>
    <sheet name="Market Rents 26-27" sheetId="8" r:id="rId8"/>
    <sheet name="Building Expiry Profile" sheetId="9" r:id="rId9"/>
    <sheet name="Make Good Obligations" sheetId="10" r:id="rId10"/>
    <sheet name="Spec Fitouts" sheetId="11" r:id="rId11"/>
    <sheet name="Stack Plan" sheetId="12" r:id="rId12"/>
    <sheet name="NER Tracking" sheetId="13" r:id="rId13"/>
    <sheet name="Rental Analysis" sheetId="14" r:id="rId14"/>
    <sheet name="Leasing Fee Calc" sheetId="15" r:id="rId15"/>
    <sheet name="Future Capex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4" i="3" l="1"/>
  <c r="L113" i="3"/>
  <c r="L102" i="3"/>
  <c r="J102" i="3"/>
  <c r="J105" i="3"/>
  <c r="J106" i="3"/>
  <c r="J107" i="3"/>
  <c r="D10" i="15"/>
  <c r="D49" i="14"/>
  <c r="C49" i="14"/>
  <c r="C18" i="14"/>
  <c r="E18" i="14" s="1"/>
  <c r="C15" i="14"/>
  <c r="C14" i="14"/>
  <c r="G8" i="14" s="1"/>
  <c r="G9" i="14"/>
  <c r="C9" i="14"/>
  <c r="I8" i="14"/>
  <c r="H8" i="14"/>
  <c r="M5" i="13"/>
  <c r="B5" i="13"/>
  <c r="D143" i="12"/>
  <c r="D142" i="12"/>
  <c r="D137" i="12"/>
  <c r="D136" i="12"/>
  <c r="C135" i="12"/>
  <c r="D133" i="12"/>
  <c r="D132" i="12"/>
  <c r="D127" i="12"/>
  <c r="D126" i="12"/>
  <c r="C125" i="12"/>
  <c r="X123" i="12"/>
  <c r="Q123" i="12"/>
  <c r="D123" i="12"/>
  <c r="X122" i="12"/>
  <c r="Q122" i="12"/>
  <c r="D122" i="12"/>
  <c r="X117" i="12"/>
  <c r="Q117" i="12"/>
  <c r="D117" i="12"/>
  <c r="X116" i="12"/>
  <c r="Q116" i="12"/>
  <c r="D116" i="12"/>
  <c r="C115" i="12"/>
  <c r="D113" i="12"/>
  <c r="D112" i="12"/>
  <c r="D107" i="12"/>
  <c r="D106" i="12"/>
  <c r="C105" i="12"/>
  <c r="P103" i="12"/>
  <c r="D103" i="12"/>
  <c r="P102" i="12"/>
  <c r="D102" i="12"/>
  <c r="P97" i="12"/>
  <c r="D97" i="12"/>
  <c r="P96" i="12"/>
  <c r="D96" i="12"/>
  <c r="C95" i="12"/>
  <c r="T93" i="12"/>
  <c r="D93" i="12"/>
  <c r="T92" i="12"/>
  <c r="D92" i="12"/>
  <c r="T87" i="12"/>
  <c r="D87" i="12"/>
  <c r="T86" i="12"/>
  <c r="D86" i="12"/>
  <c r="C85" i="12"/>
  <c r="S83" i="12"/>
  <c r="D83" i="12"/>
  <c r="S82" i="12"/>
  <c r="D82" i="12"/>
  <c r="S77" i="12"/>
  <c r="D77" i="12"/>
  <c r="S76" i="12"/>
  <c r="D76" i="12"/>
  <c r="C75" i="12"/>
  <c r="T73" i="12"/>
  <c r="D73" i="12"/>
  <c r="T72" i="12"/>
  <c r="D72" i="12"/>
  <c r="T67" i="12"/>
  <c r="D67" i="12"/>
  <c r="T66" i="12"/>
  <c r="D66" i="12"/>
  <c r="C65" i="12"/>
  <c r="S63" i="12"/>
  <c r="D63" i="12"/>
  <c r="S62" i="12"/>
  <c r="D62" i="12"/>
  <c r="S57" i="12"/>
  <c r="D57" i="12"/>
  <c r="S56" i="12"/>
  <c r="D56" i="12"/>
  <c r="C55" i="12"/>
  <c r="U53" i="12"/>
  <c r="D53" i="12"/>
  <c r="U52" i="12"/>
  <c r="D52" i="12"/>
  <c r="U47" i="12"/>
  <c r="D47" i="12"/>
  <c r="U46" i="12"/>
  <c r="D46" i="12"/>
  <c r="C45" i="12"/>
  <c r="J43" i="12"/>
  <c r="D43" i="12"/>
  <c r="J42" i="12"/>
  <c r="D42" i="12"/>
  <c r="J37" i="12"/>
  <c r="D37" i="12"/>
  <c r="J36" i="12"/>
  <c r="D36" i="12"/>
  <c r="C35" i="12"/>
  <c r="D33" i="12"/>
  <c r="D32" i="12"/>
  <c r="D27" i="12"/>
  <c r="D26" i="12"/>
  <c r="C25" i="12"/>
  <c r="T23" i="12"/>
  <c r="J23" i="12"/>
  <c r="D23" i="12"/>
  <c r="T22" i="12"/>
  <c r="J22" i="12"/>
  <c r="D22" i="12"/>
  <c r="T18" i="12"/>
  <c r="T17" i="12"/>
  <c r="J17" i="12"/>
  <c r="D17" i="12"/>
  <c r="T16" i="12"/>
  <c r="J16" i="12"/>
  <c r="D16" i="12"/>
  <c r="C15" i="12"/>
  <c r="D13" i="12"/>
  <c r="D12" i="12"/>
  <c r="D8" i="12"/>
  <c r="D7" i="12"/>
  <c r="D6" i="12"/>
  <c r="C5" i="12"/>
  <c r="N15" i="11"/>
  <c r="K15" i="11"/>
  <c r="I15" i="11"/>
  <c r="E15" i="11"/>
  <c r="K14" i="11"/>
  <c r="E14" i="11"/>
  <c r="I14" i="11" s="1"/>
  <c r="K13" i="11"/>
  <c r="E13" i="11"/>
  <c r="I13" i="11" s="1"/>
  <c r="J12" i="11"/>
  <c r="K12" i="11" s="1"/>
  <c r="I12" i="11"/>
  <c r="E12" i="11"/>
  <c r="K11" i="11"/>
  <c r="E11" i="11"/>
  <c r="I11" i="11" s="1"/>
  <c r="K10" i="11"/>
  <c r="E10" i="11"/>
  <c r="I10" i="11" s="1"/>
  <c r="L34" i="10"/>
  <c r="I34" i="10"/>
  <c r="L33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L55" i="9"/>
  <c r="E55" i="9"/>
  <c r="C55" i="9"/>
  <c r="B55" i="9"/>
  <c r="L52" i="9"/>
  <c r="E52" i="9"/>
  <c r="C52" i="9"/>
  <c r="B52" i="9"/>
  <c r="L49" i="9"/>
  <c r="E49" i="9"/>
  <c r="C49" i="9"/>
  <c r="B49" i="9"/>
  <c r="L48" i="9"/>
  <c r="E48" i="9"/>
  <c r="C48" i="9"/>
  <c r="B48" i="9"/>
  <c r="L47" i="9"/>
  <c r="E47" i="9"/>
  <c r="C47" i="9"/>
  <c r="B47" i="9"/>
  <c r="L44" i="9"/>
  <c r="E44" i="9"/>
  <c r="C44" i="9"/>
  <c r="B44" i="9"/>
  <c r="L41" i="9"/>
  <c r="E41" i="9"/>
  <c r="C41" i="9"/>
  <c r="B41" i="9"/>
  <c r="L40" i="9"/>
  <c r="E40" i="9"/>
  <c r="C40" i="9"/>
  <c r="B40" i="9"/>
  <c r="L37" i="9"/>
  <c r="E37" i="9"/>
  <c r="C37" i="9"/>
  <c r="B37" i="9"/>
  <c r="L36" i="9"/>
  <c r="E36" i="9"/>
  <c r="C36" i="9"/>
  <c r="B36" i="9"/>
  <c r="L33" i="9"/>
  <c r="E33" i="9"/>
  <c r="C33" i="9"/>
  <c r="B33" i="9"/>
  <c r="L32" i="9"/>
  <c r="E32" i="9"/>
  <c r="C32" i="9"/>
  <c r="B32" i="9"/>
  <c r="L29" i="9"/>
  <c r="E29" i="9"/>
  <c r="C29" i="9"/>
  <c r="B29" i="9"/>
  <c r="L28" i="9"/>
  <c r="E28" i="9"/>
  <c r="C28" i="9"/>
  <c r="B28" i="9"/>
  <c r="L25" i="9"/>
  <c r="E25" i="9"/>
  <c r="C25" i="9"/>
  <c r="B25" i="9"/>
  <c r="L24" i="9"/>
  <c r="E24" i="9"/>
  <c r="C24" i="9"/>
  <c r="B24" i="9"/>
  <c r="L21" i="9"/>
  <c r="E21" i="9"/>
  <c r="C21" i="9"/>
  <c r="B21" i="9"/>
  <c r="L20" i="9"/>
  <c r="E20" i="9"/>
  <c r="C20" i="9"/>
  <c r="B20" i="9"/>
  <c r="L17" i="9"/>
  <c r="E17" i="9"/>
  <c r="C17" i="9"/>
  <c r="B17" i="9"/>
  <c r="L16" i="9"/>
  <c r="E16" i="9"/>
  <c r="C16" i="9"/>
  <c r="B16" i="9"/>
  <c r="L13" i="9"/>
  <c r="E13" i="9"/>
  <c r="C13" i="9"/>
  <c r="B13" i="9"/>
  <c r="L10" i="9"/>
  <c r="I10" i="9"/>
  <c r="E10" i="9"/>
  <c r="C10" i="9"/>
  <c r="B10" i="9"/>
  <c r="L9" i="9"/>
  <c r="E9" i="9"/>
  <c r="C9" i="9"/>
  <c r="B9" i="9"/>
  <c r="L8" i="9"/>
  <c r="E8" i="9"/>
  <c r="C8" i="9"/>
  <c r="B8" i="9"/>
  <c r="M5" i="9"/>
  <c r="L5" i="9"/>
  <c r="I5" i="9"/>
  <c r="E5" i="9"/>
  <c r="C5" i="9"/>
  <c r="B5" i="9"/>
  <c r="D28" i="8"/>
  <c r="B28" i="8"/>
  <c r="D27" i="8"/>
  <c r="F27" i="8" s="1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V27" i="6"/>
  <c r="R27" i="6"/>
  <c r="Q27" i="6"/>
  <c r="P27" i="6"/>
  <c r="O27" i="6"/>
  <c r="N27" i="6"/>
  <c r="M27" i="6"/>
  <c r="K27" i="6"/>
  <c r="J27" i="6"/>
  <c r="E27" i="6"/>
  <c r="B27" i="6"/>
  <c r="A27" i="6"/>
  <c r="V26" i="6"/>
  <c r="R26" i="6"/>
  <c r="Q26" i="6"/>
  <c r="P26" i="6"/>
  <c r="O26" i="6"/>
  <c r="N26" i="6"/>
  <c r="M26" i="6"/>
  <c r="E26" i="6"/>
  <c r="B26" i="6"/>
  <c r="A26" i="6"/>
  <c r="V25" i="6"/>
  <c r="R25" i="6"/>
  <c r="Q25" i="6"/>
  <c r="P25" i="6"/>
  <c r="O25" i="6"/>
  <c r="N25" i="6"/>
  <c r="M25" i="6"/>
  <c r="E25" i="6"/>
  <c r="B25" i="6"/>
  <c r="A25" i="6"/>
  <c r="V24" i="6"/>
  <c r="R24" i="6"/>
  <c r="Q24" i="6"/>
  <c r="P24" i="6"/>
  <c r="O24" i="6"/>
  <c r="N24" i="6"/>
  <c r="M24" i="6"/>
  <c r="K24" i="6"/>
  <c r="E24" i="6"/>
  <c r="B24" i="6"/>
  <c r="A24" i="6"/>
  <c r="V23" i="6"/>
  <c r="R23" i="6"/>
  <c r="Q23" i="6"/>
  <c r="P23" i="6"/>
  <c r="O23" i="6"/>
  <c r="N23" i="6"/>
  <c r="M23" i="6"/>
  <c r="E23" i="6"/>
  <c r="B23" i="6"/>
  <c r="A23" i="6"/>
  <c r="V22" i="6"/>
  <c r="R22" i="6"/>
  <c r="Q22" i="6"/>
  <c r="P22" i="6"/>
  <c r="O22" i="6"/>
  <c r="N22" i="6"/>
  <c r="M22" i="6"/>
  <c r="E22" i="6"/>
  <c r="B22" i="6"/>
  <c r="A22" i="6"/>
  <c r="V21" i="6"/>
  <c r="R21" i="6"/>
  <c r="Q21" i="6"/>
  <c r="P21" i="6"/>
  <c r="O21" i="6"/>
  <c r="N21" i="6"/>
  <c r="M21" i="6"/>
  <c r="K21" i="6"/>
  <c r="E21" i="6"/>
  <c r="B21" i="6"/>
  <c r="A21" i="6"/>
  <c r="V20" i="6"/>
  <c r="R20" i="6"/>
  <c r="Q20" i="6"/>
  <c r="P20" i="6"/>
  <c r="O20" i="6"/>
  <c r="N20" i="6"/>
  <c r="M20" i="6"/>
  <c r="K20" i="6"/>
  <c r="E20" i="6"/>
  <c r="B20" i="6"/>
  <c r="A20" i="6"/>
  <c r="V19" i="6"/>
  <c r="R19" i="6"/>
  <c r="Q19" i="6"/>
  <c r="P19" i="6"/>
  <c r="O19" i="6"/>
  <c r="N19" i="6"/>
  <c r="M19" i="6"/>
  <c r="K19" i="6"/>
  <c r="E19" i="6"/>
  <c r="B19" i="6"/>
  <c r="A19" i="6"/>
  <c r="V18" i="6"/>
  <c r="R18" i="6"/>
  <c r="Q18" i="6"/>
  <c r="P18" i="6"/>
  <c r="O18" i="6"/>
  <c r="N18" i="6"/>
  <c r="M18" i="6"/>
  <c r="E18" i="6"/>
  <c r="B18" i="6"/>
  <c r="A18" i="6"/>
  <c r="V17" i="6"/>
  <c r="R17" i="6"/>
  <c r="Q17" i="6"/>
  <c r="P17" i="6"/>
  <c r="O17" i="6"/>
  <c r="N17" i="6"/>
  <c r="M17" i="6"/>
  <c r="K17" i="6"/>
  <c r="E17" i="6"/>
  <c r="B17" i="6"/>
  <c r="A17" i="6"/>
  <c r="V16" i="6"/>
  <c r="R16" i="6"/>
  <c r="Q16" i="6"/>
  <c r="P16" i="6"/>
  <c r="O16" i="6"/>
  <c r="N16" i="6"/>
  <c r="M16" i="6"/>
  <c r="E16" i="6"/>
  <c r="B16" i="6"/>
  <c r="A16" i="6"/>
  <c r="V15" i="6"/>
  <c r="R15" i="6"/>
  <c r="Q15" i="6"/>
  <c r="P15" i="6"/>
  <c r="O15" i="6"/>
  <c r="N15" i="6"/>
  <c r="M15" i="6"/>
  <c r="E15" i="6"/>
  <c r="B15" i="6"/>
  <c r="A15" i="6"/>
  <c r="V14" i="6"/>
  <c r="R14" i="6"/>
  <c r="Q14" i="6"/>
  <c r="P14" i="6"/>
  <c r="O14" i="6"/>
  <c r="N14" i="6"/>
  <c r="M14" i="6"/>
  <c r="E14" i="6"/>
  <c r="B14" i="6"/>
  <c r="A14" i="6"/>
  <c r="V13" i="6"/>
  <c r="R13" i="6"/>
  <c r="Q13" i="6"/>
  <c r="P13" i="6"/>
  <c r="O13" i="6"/>
  <c r="N13" i="6"/>
  <c r="M13" i="6"/>
  <c r="E13" i="6"/>
  <c r="B13" i="6"/>
  <c r="A13" i="6"/>
  <c r="V12" i="6"/>
  <c r="R12" i="6"/>
  <c r="Q12" i="6"/>
  <c r="P12" i="6"/>
  <c r="O12" i="6"/>
  <c r="N12" i="6"/>
  <c r="M12" i="6"/>
  <c r="K12" i="6"/>
  <c r="E12" i="6"/>
  <c r="B12" i="6"/>
  <c r="A12" i="6"/>
  <c r="V11" i="6"/>
  <c r="R11" i="6"/>
  <c r="Q11" i="6"/>
  <c r="P11" i="6"/>
  <c r="O11" i="6"/>
  <c r="N11" i="6"/>
  <c r="M11" i="6"/>
  <c r="K11" i="6"/>
  <c r="E11" i="6"/>
  <c r="B11" i="6"/>
  <c r="A11" i="6"/>
  <c r="V10" i="6"/>
  <c r="R10" i="6"/>
  <c r="Q10" i="6"/>
  <c r="P10" i="6"/>
  <c r="O10" i="6"/>
  <c r="N10" i="6"/>
  <c r="M10" i="6"/>
  <c r="E10" i="6"/>
  <c r="B10" i="6"/>
  <c r="A10" i="6"/>
  <c r="V9" i="6"/>
  <c r="R9" i="6"/>
  <c r="Q9" i="6"/>
  <c r="P9" i="6"/>
  <c r="O9" i="6"/>
  <c r="N9" i="6"/>
  <c r="M9" i="6"/>
  <c r="K9" i="6"/>
  <c r="E9" i="6"/>
  <c r="B9" i="6"/>
  <c r="A9" i="6"/>
  <c r="V8" i="6"/>
  <c r="R8" i="6"/>
  <c r="Q8" i="6"/>
  <c r="P8" i="6"/>
  <c r="O8" i="6"/>
  <c r="N8" i="6"/>
  <c r="M8" i="6"/>
  <c r="K8" i="6"/>
  <c r="E8" i="6"/>
  <c r="B8" i="6"/>
  <c r="A8" i="6"/>
  <c r="V7" i="6"/>
  <c r="R7" i="6"/>
  <c r="Q7" i="6"/>
  <c r="P7" i="6"/>
  <c r="O7" i="6"/>
  <c r="N7" i="6"/>
  <c r="M7" i="6"/>
  <c r="E7" i="6"/>
  <c r="B7" i="6"/>
  <c r="A7" i="6"/>
  <c r="V6" i="6"/>
  <c r="R6" i="6"/>
  <c r="Q6" i="6"/>
  <c r="P6" i="6"/>
  <c r="O6" i="6"/>
  <c r="N6" i="6"/>
  <c r="M6" i="6"/>
  <c r="E6" i="6"/>
  <c r="B6" i="6"/>
  <c r="A6" i="6"/>
  <c r="V5" i="6"/>
  <c r="R5" i="6"/>
  <c r="Q5" i="6"/>
  <c r="P5" i="6"/>
  <c r="O5" i="6"/>
  <c r="N5" i="6"/>
  <c r="M5" i="6"/>
  <c r="E5" i="6"/>
  <c r="B5" i="6"/>
  <c r="A5" i="6"/>
  <c r="V4" i="6"/>
  <c r="R4" i="6"/>
  <c r="Q4" i="6"/>
  <c r="P4" i="6"/>
  <c r="O4" i="6"/>
  <c r="N4" i="6"/>
  <c r="M4" i="6"/>
  <c r="E4" i="6"/>
  <c r="B4" i="6"/>
  <c r="A4" i="6"/>
  <c r="V3" i="6"/>
  <c r="R3" i="6"/>
  <c r="Q3" i="6"/>
  <c r="P3" i="6"/>
  <c r="O3" i="6"/>
  <c r="N3" i="6"/>
  <c r="M3" i="6"/>
  <c r="K3" i="6"/>
  <c r="J3" i="6"/>
  <c r="E3" i="6"/>
  <c r="B3" i="6"/>
  <c r="A3" i="6"/>
  <c r="E29" i="5"/>
  <c r="P28" i="5"/>
  <c r="O28" i="5"/>
  <c r="N28" i="5"/>
  <c r="M28" i="5"/>
  <c r="L28" i="5"/>
  <c r="J28" i="5"/>
  <c r="E28" i="5"/>
  <c r="C28" i="5"/>
  <c r="B28" i="5"/>
  <c r="P27" i="5"/>
  <c r="N27" i="5"/>
  <c r="M27" i="5"/>
  <c r="L27" i="5"/>
  <c r="J27" i="5"/>
  <c r="E27" i="5"/>
  <c r="C27" i="5"/>
  <c r="B27" i="5"/>
  <c r="N26" i="5"/>
  <c r="M26" i="5"/>
  <c r="L26" i="5"/>
  <c r="E26" i="5"/>
  <c r="C26" i="5"/>
  <c r="B26" i="5"/>
  <c r="N25" i="5"/>
  <c r="M25" i="5"/>
  <c r="L25" i="5"/>
  <c r="E25" i="5"/>
  <c r="C25" i="5"/>
  <c r="B25" i="5"/>
  <c r="O24" i="5"/>
  <c r="N24" i="5"/>
  <c r="M24" i="5"/>
  <c r="L24" i="5"/>
  <c r="E24" i="5"/>
  <c r="C24" i="5"/>
  <c r="B24" i="5"/>
  <c r="O23" i="5"/>
  <c r="N23" i="5"/>
  <c r="M23" i="5"/>
  <c r="L23" i="5"/>
  <c r="E23" i="5"/>
  <c r="C23" i="5"/>
  <c r="B23" i="5"/>
  <c r="N22" i="5"/>
  <c r="M22" i="5"/>
  <c r="L22" i="5"/>
  <c r="E22" i="5"/>
  <c r="C22" i="5"/>
  <c r="B22" i="5"/>
  <c r="N21" i="5"/>
  <c r="M21" i="5"/>
  <c r="L21" i="5"/>
  <c r="E21" i="5"/>
  <c r="C21" i="5"/>
  <c r="B21" i="5"/>
  <c r="N20" i="5"/>
  <c r="M20" i="5"/>
  <c r="L20" i="5"/>
  <c r="E20" i="5"/>
  <c r="C20" i="5"/>
  <c r="B20" i="5"/>
  <c r="N19" i="5"/>
  <c r="M19" i="5"/>
  <c r="L19" i="5"/>
  <c r="E19" i="5"/>
  <c r="C19" i="5"/>
  <c r="B19" i="5"/>
  <c r="N18" i="5"/>
  <c r="M18" i="5"/>
  <c r="L18" i="5"/>
  <c r="E18" i="5"/>
  <c r="C18" i="5"/>
  <c r="B18" i="5"/>
  <c r="N17" i="5"/>
  <c r="M17" i="5"/>
  <c r="L17" i="5"/>
  <c r="E17" i="5"/>
  <c r="C17" i="5"/>
  <c r="B17" i="5"/>
  <c r="N16" i="5"/>
  <c r="M16" i="5"/>
  <c r="L16" i="5"/>
  <c r="E16" i="5"/>
  <c r="C16" i="5"/>
  <c r="B16" i="5"/>
  <c r="O15" i="5"/>
  <c r="N15" i="5"/>
  <c r="M15" i="5"/>
  <c r="L15" i="5"/>
  <c r="E15" i="5"/>
  <c r="C15" i="5"/>
  <c r="B15" i="5"/>
  <c r="O14" i="5"/>
  <c r="N14" i="5"/>
  <c r="M14" i="5"/>
  <c r="L14" i="5"/>
  <c r="E14" i="5"/>
  <c r="C14" i="5"/>
  <c r="B14" i="5"/>
  <c r="N13" i="5"/>
  <c r="M13" i="5"/>
  <c r="L13" i="5"/>
  <c r="E13" i="5"/>
  <c r="C13" i="5"/>
  <c r="B13" i="5"/>
  <c r="O12" i="5"/>
  <c r="N12" i="5"/>
  <c r="M12" i="5"/>
  <c r="L12" i="5"/>
  <c r="E12" i="5"/>
  <c r="C12" i="5"/>
  <c r="B12" i="5"/>
  <c r="N11" i="5"/>
  <c r="M11" i="5"/>
  <c r="L11" i="5"/>
  <c r="E11" i="5"/>
  <c r="C11" i="5"/>
  <c r="B11" i="5"/>
  <c r="O10" i="5"/>
  <c r="N10" i="5"/>
  <c r="M10" i="5"/>
  <c r="L10" i="5"/>
  <c r="E10" i="5"/>
  <c r="C10" i="5"/>
  <c r="B10" i="5"/>
  <c r="O9" i="5"/>
  <c r="N9" i="5"/>
  <c r="M9" i="5"/>
  <c r="L9" i="5"/>
  <c r="E9" i="5"/>
  <c r="C9" i="5"/>
  <c r="B9" i="5"/>
  <c r="O8" i="5"/>
  <c r="N8" i="5"/>
  <c r="M8" i="5"/>
  <c r="L8" i="5"/>
  <c r="E8" i="5"/>
  <c r="C8" i="5"/>
  <c r="B8" i="5"/>
  <c r="O7" i="5"/>
  <c r="N7" i="5"/>
  <c r="M7" i="5"/>
  <c r="L7" i="5"/>
  <c r="E7" i="5"/>
  <c r="C7" i="5"/>
  <c r="B7" i="5"/>
  <c r="N6" i="5"/>
  <c r="M6" i="5"/>
  <c r="L6" i="5"/>
  <c r="E6" i="5"/>
  <c r="C6" i="5"/>
  <c r="B6" i="5"/>
  <c r="N5" i="5"/>
  <c r="M5" i="5"/>
  <c r="L5" i="5"/>
  <c r="E5" i="5"/>
  <c r="C5" i="5"/>
  <c r="B5" i="5"/>
  <c r="N4" i="5"/>
  <c r="M4" i="5"/>
  <c r="L4" i="5"/>
  <c r="E4" i="5"/>
  <c r="C4" i="5"/>
  <c r="B4" i="5"/>
  <c r="D41" i="4"/>
  <c r="E31" i="4"/>
  <c r="C31" i="4"/>
  <c r="E30" i="4"/>
  <c r="C30" i="4"/>
  <c r="E16" i="4"/>
  <c r="C16" i="4"/>
  <c r="E15" i="4"/>
  <c r="C15" i="4"/>
  <c r="M28" i="2"/>
  <c r="L28" i="2"/>
  <c r="F28" i="2"/>
  <c r="Y27" i="2"/>
  <c r="E27" i="2" s="1"/>
  <c r="D27" i="6" s="1"/>
  <c r="T27" i="2"/>
  <c r="S27" i="6" s="1"/>
  <c r="S27" i="2"/>
  <c r="H27" i="2"/>
  <c r="G28" i="5" s="1"/>
  <c r="Y26" i="2"/>
  <c r="I26" i="2" s="1"/>
  <c r="U26" i="2"/>
  <c r="T3" i="6" s="1"/>
  <c r="T26" i="2"/>
  <c r="S3" i="6" s="1"/>
  <c r="S26" i="2"/>
  <c r="O27" i="5" s="1"/>
  <c r="H26" i="2"/>
  <c r="Y25" i="2"/>
  <c r="D25" i="2" s="1"/>
  <c r="S25" i="2"/>
  <c r="H25" i="2"/>
  <c r="K9" i="9" s="1"/>
  <c r="Y24" i="2"/>
  <c r="J24" i="2" s="1"/>
  <c r="M8" i="9" s="1"/>
  <c r="S24" i="2"/>
  <c r="O25" i="5" s="1"/>
  <c r="H24" i="2"/>
  <c r="G25" i="5" s="1"/>
  <c r="Y23" i="2"/>
  <c r="D23" i="2" s="1"/>
  <c r="C24" i="8" s="1"/>
  <c r="S23" i="2"/>
  <c r="K22" i="6" s="1"/>
  <c r="H23" i="2"/>
  <c r="E30" i="10" s="1"/>
  <c r="L30" i="10" s="1"/>
  <c r="Y22" i="2"/>
  <c r="G22" i="2" s="1"/>
  <c r="S22" i="2"/>
  <c r="H22" i="2"/>
  <c r="V22" i="2" s="1"/>
  <c r="W22" i="2" s="1"/>
  <c r="U24" i="6" s="1"/>
  <c r="Y21" i="2"/>
  <c r="D21" i="2" s="1"/>
  <c r="C47" i="3" s="1"/>
  <c r="S21" i="2"/>
  <c r="H21" i="2"/>
  <c r="K16" i="9" s="1"/>
  <c r="Y20" i="2"/>
  <c r="S20" i="2"/>
  <c r="O21" i="5" s="1"/>
  <c r="H20" i="2"/>
  <c r="V20" i="2" s="1"/>
  <c r="Y19" i="2"/>
  <c r="G19" i="2" s="1"/>
  <c r="F20" i="9" s="1"/>
  <c r="S19" i="2"/>
  <c r="H19" i="2"/>
  <c r="Y18" i="2"/>
  <c r="I18" i="2" s="1"/>
  <c r="S18" i="2"/>
  <c r="H18" i="2"/>
  <c r="E25" i="10" s="1"/>
  <c r="L25" i="10" s="1"/>
  <c r="Y17" i="2"/>
  <c r="D17" i="2" s="1"/>
  <c r="S17" i="2"/>
  <c r="H17" i="2"/>
  <c r="G24" i="9" s="1"/>
  <c r="Y16" i="2"/>
  <c r="K16" i="2" s="1"/>
  <c r="N16" i="2" s="1"/>
  <c r="S16" i="2"/>
  <c r="H16" i="2"/>
  <c r="T71" i="12" s="1"/>
  <c r="Y15" i="2"/>
  <c r="G15" i="2" s="1"/>
  <c r="S15" i="2"/>
  <c r="H15" i="2"/>
  <c r="V15" i="2" s="1"/>
  <c r="Y14" i="2"/>
  <c r="I14" i="2" s="1"/>
  <c r="S14" i="2"/>
  <c r="H14" i="2"/>
  <c r="Y13" i="2"/>
  <c r="I13" i="2" s="1"/>
  <c r="S13" i="2"/>
  <c r="K14" i="6" s="1"/>
  <c r="H13" i="2"/>
  <c r="E20" i="10" s="1"/>
  <c r="L20" i="10" s="1"/>
  <c r="Y12" i="2"/>
  <c r="E12" i="2" s="1"/>
  <c r="D23" i="6" s="1"/>
  <c r="S12" i="2"/>
  <c r="H12" i="2"/>
  <c r="V12" i="2" s="1"/>
  <c r="W12" i="2" s="1"/>
  <c r="U23" i="6" s="1"/>
  <c r="Y11" i="2"/>
  <c r="I11" i="2" s="1"/>
  <c r="S11" i="2"/>
  <c r="H11" i="2"/>
  <c r="D91" i="12" s="1"/>
  <c r="Y10" i="2"/>
  <c r="J10" i="2" s="1"/>
  <c r="P98" i="12" s="1"/>
  <c r="S10" i="2"/>
  <c r="H10" i="2"/>
  <c r="V10" i="2" s="1"/>
  <c r="Y9" i="2"/>
  <c r="J9" i="2" s="1"/>
  <c r="J11" i="6" s="1"/>
  <c r="S9" i="2"/>
  <c r="H9" i="2"/>
  <c r="G40" i="9" s="1"/>
  <c r="Y8" i="2"/>
  <c r="D8" i="2" s="1"/>
  <c r="S8" i="2"/>
  <c r="H8" i="2"/>
  <c r="G44" i="9" s="1"/>
  <c r="Y7" i="2"/>
  <c r="S7" i="2"/>
  <c r="H7" i="2"/>
  <c r="G7" i="6" s="1"/>
  <c r="Y6" i="2"/>
  <c r="J6" i="2" s="1"/>
  <c r="S6" i="2"/>
  <c r="K16" i="6" s="1"/>
  <c r="H6" i="2"/>
  <c r="G7" i="5" s="1"/>
  <c r="Y5" i="2"/>
  <c r="J5" i="2" s="1"/>
  <c r="M47" i="9" s="1"/>
  <c r="S5" i="2"/>
  <c r="H5" i="2"/>
  <c r="E12" i="10" s="1"/>
  <c r="L12" i="10" s="1"/>
  <c r="Y4" i="2"/>
  <c r="J4" i="2" s="1"/>
  <c r="S4" i="2"/>
  <c r="H4" i="2"/>
  <c r="V4" i="2" s="1"/>
  <c r="Y3" i="2"/>
  <c r="G3" i="2" s="1"/>
  <c r="F20" i="6" s="1"/>
  <c r="S3" i="2"/>
  <c r="O4" i="5" s="1"/>
  <c r="H3" i="2"/>
  <c r="K55" i="9" s="1"/>
  <c r="E21" i="1"/>
  <c r="D8" i="1"/>
  <c r="D7" i="1"/>
  <c r="H115" i="3"/>
  <c r="F115" i="3"/>
  <c r="E115" i="3"/>
  <c r="H114" i="3"/>
  <c r="F114" i="3"/>
  <c r="E114" i="3"/>
  <c r="H113" i="3"/>
  <c r="F113" i="3"/>
  <c r="E113" i="3"/>
  <c r="J113" i="3" s="1"/>
  <c r="H112" i="3"/>
  <c r="F112" i="3"/>
  <c r="E112" i="3"/>
  <c r="H108" i="3"/>
  <c r="F108" i="3"/>
  <c r="E108" i="3"/>
  <c r="H107" i="3"/>
  <c r="F107" i="3"/>
  <c r="E107" i="3"/>
  <c r="H106" i="3"/>
  <c r="F106" i="3"/>
  <c r="E106" i="3"/>
  <c r="H105" i="3"/>
  <c r="F105" i="3"/>
  <c r="E105" i="3"/>
  <c r="H104" i="3"/>
  <c r="F104" i="3"/>
  <c r="E104" i="3"/>
  <c r="H103" i="3"/>
  <c r="F103" i="3"/>
  <c r="E103" i="3"/>
  <c r="H102" i="3"/>
  <c r="F102" i="3"/>
  <c r="E102" i="3"/>
  <c r="E97" i="3"/>
  <c r="G96" i="3"/>
  <c r="F96" i="3"/>
  <c r="E96" i="3"/>
  <c r="C96" i="3"/>
  <c r="I95" i="3" a="1"/>
  <c r="I95" i="3" s="1"/>
  <c r="E95" i="3"/>
  <c r="C95" i="3"/>
  <c r="I94" i="3" a="1"/>
  <c r="I94" i="3" s="1"/>
  <c r="E94" i="3"/>
  <c r="C94" i="3"/>
  <c r="I93" i="3" a="1"/>
  <c r="I93" i="3" s="1"/>
  <c r="E93" i="3"/>
  <c r="C93" i="3"/>
  <c r="I92" i="3" a="1"/>
  <c r="I92" i="3" s="1"/>
  <c r="E92" i="3"/>
  <c r="C92" i="3"/>
  <c r="I91" i="3" a="1"/>
  <c r="I91" i="3" s="1"/>
  <c r="E91" i="3"/>
  <c r="C91" i="3"/>
  <c r="I90" i="3" a="1"/>
  <c r="I90" i="3" s="1"/>
  <c r="E90" i="3"/>
  <c r="C90" i="3"/>
  <c r="I89" i="3" a="1"/>
  <c r="I89" i="3" s="1"/>
  <c r="E89" i="3"/>
  <c r="C89" i="3"/>
  <c r="I88" i="3" a="1"/>
  <c r="I88" i="3" s="1"/>
  <c r="E88" i="3"/>
  <c r="C88" i="3"/>
  <c r="I87" i="3" a="1"/>
  <c r="I87" i="3" s="1"/>
  <c r="E87" i="3"/>
  <c r="C87" i="3"/>
  <c r="I86" i="3"/>
  <c r="E86" i="3"/>
  <c r="C86" i="3"/>
  <c r="I85" i="3"/>
  <c r="E85" i="3"/>
  <c r="C85" i="3"/>
  <c r="I84" i="3" a="1"/>
  <c r="I84" i="3" s="1"/>
  <c r="E84" i="3"/>
  <c r="C84" i="3"/>
  <c r="I83" i="3"/>
  <c r="E83" i="3"/>
  <c r="C83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51" i="3"/>
  <c r="E51" i="3"/>
  <c r="B51" i="3"/>
  <c r="G50" i="3"/>
  <c r="E50" i="3"/>
  <c r="B50" i="3"/>
  <c r="G49" i="3"/>
  <c r="E49" i="3"/>
  <c r="B49" i="3"/>
  <c r="G48" i="3"/>
  <c r="E48" i="3"/>
  <c r="B48" i="3"/>
  <c r="G47" i="3"/>
  <c r="E47" i="3"/>
  <c r="B47" i="3"/>
  <c r="G46" i="3"/>
  <c r="E46" i="3"/>
  <c r="B46" i="3"/>
  <c r="G45" i="3"/>
  <c r="E45" i="3"/>
  <c r="B45" i="3"/>
  <c r="G44" i="3"/>
  <c r="E44" i="3"/>
  <c r="B44" i="3"/>
  <c r="E43" i="3"/>
  <c r="B43" i="3"/>
  <c r="G42" i="3"/>
  <c r="E42" i="3"/>
  <c r="B42" i="3"/>
  <c r="E41" i="3"/>
  <c r="B41" i="3"/>
  <c r="G40" i="3"/>
  <c r="E40" i="3"/>
  <c r="B40" i="3"/>
  <c r="G39" i="3"/>
  <c r="E39" i="3"/>
  <c r="B39" i="3"/>
  <c r="E38" i="3"/>
  <c r="B38" i="3"/>
  <c r="G37" i="3"/>
  <c r="E37" i="3"/>
  <c r="B37" i="3"/>
  <c r="E36" i="3"/>
  <c r="B36" i="3"/>
  <c r="G35" i="3"/>
  <c r="E35" i="3"/>
  <c r="B35" i="3"/>
  <c r="G34" i="3"/>
  <c r="E34" i="3"/>
  <c r="B34" i="3"/>
  <c r="G33" i="3"/>
  <c r="E33" i="3"/>
  <c r="B33" i="3"/>
  <c r="E32" i="3"/>
  <c r="B32" i="3"/>
  <c r="G31" i="3"/>
  <c r="E31" i="3"/>
  <c r="B31" i="3"/>
  <c r="E30" i="3"/>
  <c r="B30" i="3"/>
  <c r="G29" i="3"/>
  <c r="E29" i="3"/>
  <c r="B29" i="3"/>
  <c r="G25" i="3"/>
  <c r="E25" i="3"/>
  <c r="C25" i="3"/>
  <c r="H24" i="3"/>
  <c r="G24" i="3"/>
  <c r="E24" i="3"/>
  <c r="F24" i="3" s="1"/>
  <c r="C24" i="3"/>
  <c r="D24" i="3" s="1"/>
  <c r="H23" i="3"/>
  <c r="G23" i="3"/>
  <c r="E23" i="3"/>
  <c r="F23" i="3" s="1"/>
  <c r="C23" i="3"/>
  <c r="D23" i="3" s="1"/>
  <c r="H22" i="3"/>
  <c r="G22" i="3"/>
  <c r="E22" i="3"/>
  <c r="F22" i="3" s="1"/>
  <c r="C22" i="3"/>
  <c r="D22" i="3" s="1"/>
  <c r="H21" i="3"/>
  <c r="G21" i="3"/>
  <c r="E21" i="3"/>
  <c r="F21" i="3" s="1"/>
  <c r="C21" i="3"/>
  <c r="D21" i="3" s="1"/>
  <c r="H20" i="3"/>
  <c r="G20" i="3"/>
  <c r="E20" i="3"/>
  <c r="F20" i="3" s="1"/>
  <c r="C20" i="3"/>
  <c r="D20" i="3" s="1"/>
  <c r="H19" i="3"/>
  <c r="G19" i="3"/>
  <c r="E19" i="3"/>
  <c r="F19" i="3" s="1"/>
  <c r="C19" i="3"/>
  <c r="D15" i="3"/>
  <c r="D14" i="3"/>
  <c r="J9" i="3"/>
  <c r="H9" i="3"/>
  <c r="F9" i="3"/>
  <c r="B9" i="3"/>
  <c r="J5" i="3"/>
  <c r="H5" i="3"/>
  <c r="F5" i="3"/>
  <c r="D5" i="3"/>
  <c r="B5" i="3"/>
  <c r="G13" i="2" l="1"/>
  <c r="D80" i="12" s="1"/>
  <c r="J19" i="2"/>
  <c r="D20" i="8" s="1"/>
  <c r="F20" i="8" s="1"/>
  <c r="J13" i="2"/>
  <c r="F39" i="3" s="1"/>
  <c r="H39" i="3" s="1"/>
  <c r="I23" i="2"/>
  <c r="H24" i="5" s="1"/>
  <c r="J11" i="2"/>
  <c r="I36" i="9" s="1"/>
  <c r="D14" i="11"/>
  <c r="I10" i="2"/>
  <c r="H11" i="5" s="1"/>
  <c r="K10" i="2"/>
  <c r="N10" i="2" s="1"/>
  <c r="L18" i="6" s="1"/>
  <c r="E28" i="10"/>
  <c r="L28" i="10" s="1"/>
  <c r="U10" i="2"/>
  <c r="T18" i="6" s="1"/>
  <c r="I19" i="2"/>
  <c r="H20" i="5" s="1"/>
  <c r="J16" i="2"/>
  <c r="D17" i="8" s="1"/>
  <c r="G17" i="8" s="1"/>
  <c r="E24" i="10"/>
  <c r="L24" i="10" s="1"/>
  <c r="K8" i="9"/>
  <c r="D25" i="12"/>
  <c r="J8" i="2"/>
  <c r="F34" i="3" s="1"/>
  <c r="H34" i="3" s="1"/>
  <c r="D14" i="2"/>
  <c r="C12" i="6" s="1"/>
  <c r="G17" i="6"/>
  <c r="E14" i="2"/>
  <c r="D12" i="6" s="1"/>
  <c r="G23" i="6"/>
  <c r="G26" i="2"/>
  <c r="F27" i="5" s="1"/>
  <c r="F31" i="3"/>
  <c r="H31" i="3" s="1"/>
  <c r="E23" i="2"/>
  <c r="D22" i="6" s="1"/>
  <c r="C49" i="3"/>
  <c r="J14" i="2"/>
  <c r="J12" i="6" s="1"/>
  <c r="G23" i="2"/>
  <c r="F24" i="5" s="1"/>
  <c r="G18" i="5"/>
  <c r="H15" i="5"/>
  <c r="H12" i="6"/>
  <c r="E17" i="2"/>
  <c r="D13" i="6" s="1"/>
  <c r="G17" i="2"/>
  <c r="F24" i="9" s="1"/>
  <c r="G10" i="5"/>
  <c r="E16" i="10"/>
  <c r="L16" i="10" s="1"/>
  <c r="G14" i="2"/>
  <c r="F15" i="5" s="1"/>
  <c r="E18" i="2"/>
  <c r="D15" i="6" s="1"/>
  <c r="G13" i="9"/>
  <c r="D41" i="12"/>
  <c r="G18" i="2"/>
  <c r="F25" i="9" s="1"/>
  <c r="I15" i="2"/>
  <c r="H10" i="6" s="1"/>
  <c r="D101" i="12"/>
  <c r="K13" i="9"/>
  <c r="I4" i="2"/>
  <c r="H5" i="5" s="1"/>
  <c r="I22" i="2"/>
  <c r="H23" i="5" s="1"/>
  <c r="G22" i="5"/>
  <c r="K37" i="9"/>
  <c r="J15" i="2"/>
  <c r="F41" i="3" s="1"/>
  <c r="I41" i="3" s="1"/>
  <c r="J41" i="3" s="1"/>
  <c r="J22" i="2"/>
  <c r="J38" i="12" s="1"/>
  <c r="E26" i="2"/>
  <c r="D3" i="6" s="1"/>
  <c r="F10" i="6"/>
  <c r="F16" i="5"/>
  <c r="J16" i="6"/>
  <c r="Q118" i="12"/>
  <c r="D9" i="2"/>
  <c r="D40" i="9" s="1"/>
  <c r="V16" i="2"/>
  <c r="W16" i="2" s="1"/>
  <c r="U5" i="6" s="1"/>
  <c r="J21" i="12"/>
  <c r="E9" i="2"/>
  <c r="D11" i="6" s="1"/>
  <c r="K32" i="9"/>
  <c r="K47" i="9"/>
  <c r="G9" i="2"/>
  <c r="D100" i="12" s="1"/>
  <c r="G18" i="6"/>
  <c r="G16" i="5"/>
  <c r="D11" i="8"/>
  <c r="F11" i="8" s="1"/>
  <c r="G52" i="9"/>
  <c r="I47" i="9"/>
  <c r="D6" i="2"/>
  <c r="E6" i="2"/>
  <c r="D16" i="6" s="1"/>
  <c r="G6" i="2"/>
  <c r="Q120" i="12" s="1"/>
  <c r="G27" i="2"/>
  <c r="T20" i="12" s="1"/>
  <c r="G10" i="6"/>
  <c r="I3" i="2"/>
  <c r="H4" i="5" s="1"/>
  <c r="I9" i="2"/>
  <c r="D15" i="2"/>
  <c r="C41" i="3" s="1"/>
  <c r="D25" i="3"/>
  <c r="J3" i="2"/>
  <c r="U3" i="2" s="1"/>
  <c r="T20" i="6" s="1"/>
  <c r="I6" i="2"/>
  <c r="H16" i="6" s="1"/>
  <c r="E15" i="2"/>
  <c r="D10" i="6" s="1"/>
  <c r="I27" i="2"/>
  <c r="H28" i="5" s="1"/>
  <c r="G6" i="5"/>
  <c r="E13" i="2"/>
  <c r="D14" i="6" s="1"/>
  <c r="K27" i="2"/>
  <c r="N27" i="2" s="1"/>
  <c r="L27" i="6" s="1"/>
  <c r="J6" i="6"/>
  <c r="G9" i="6"/>
  <c r="G22" i="6"/>
  <c r="F17" i="9"/>
  <c r="J40" i="12"/>
  <c r="D105" i="12"/>
  <c r="C34" i="3"/>
  <c r="W4" i="2"/>
  <c r="U26" i="6" s="1"/>
  <c r="H52" i="9"/>
  <c r="C43" i="3"/>
  <c r="V17" i="2"/>
  <c r="H24" i="9" s="1"/>
  <c r="V6" i="2"/>
  <c r="I7" i="5" s="1"/>
  <c r="G21" i="9"/>
  <c r="V11" i="2"/>
  <c r="I21" i="6" s="1"/>
  <c r="J23" i="2"/>
  <c r="D24" i="8" s="1"/>
  <c r="G17" i="5"/>
  <c r="G26" i="5"/>
  <c r="D111" i="12"/>
  <c r="G21" i="5"/>
  <c r="D12" i="2"/>
  <c r="C13" i="8" s="1"/>
  <c r="G24" i="5"/>
  <c r="G19" i="6"/>
  <c r="K48" i="9"/>
  <c r="V25" i="2"/>
  <c r="H9" i="9" s="1"/>
  <c r="F36" i="3"/>
  <c r="I36" i="3" s="1"/>
  <c r="J36" i="3" s="1"/>
  <c r="D7" i="8"/>
  <c r="I48" i="9"/>
  <c r="D10" i="2"/>
  <c r="P95" i="12" s="1"/>
  <c r="D22" i="2"/>
  <c r="G27" i="6"/>
  <c r="G10" i="9"/>
  <c r="G36" i="9"/>
  <c r="E32" i="10"/>
  <c r="L32" i="10" s="1"/>
  <c r="G28" i="9"/>
  <c r="D3" i="2"/>
  <c r="C20" i="6" s="1"/>
  <c r="E10" i="2"/>
  <c r="D18" i="6" s="1"/>
  <c r="D19" i="2"/>
  <c r="C45" i="3" s="1"/>
  <c r="E22" i="2"/>
  <c r="D24" i="6" s="1"/>
  <c r="G11" i="6"/>
  <c r="K24" i="9"/>
  <c r="D31" i="12"/>
  <c r="K6" i="2"/>
  <c r="N6" i="2" s="1"/>
  <c r="K7" i="5" s="1"/>
  <c r="F32" i="3"/>
  <c r="H32" i="3" s="1"/>
  <c r="V9" i="2"/>
  <c r="W9" i="2" s="1"/>
  <c r="U11" i="6" s="1"/>
  <c r="E3" i="2"/>
  <c r="D20" i="6" s="1"/>
  <c r="G10" i="2"/>
  <c r="F18" i="6" s="1"/>
  <c r="E19" i="2"/>
  <c r="D25" i="6" s="1"/>
  <c r="D27" i="2"/>
  <c r="D28" i="5" s="1"/>
  <c r="J7" i="5"/>
  <c r="J11" i="5"/>
  <c r="T21" i="12"/>
  <c r="V27" i="2"/>
  <c r="W27" i="2" s="1"/>
  <c r="U27" i="6" s="1"/>
  <c r="K40" i="9"/>
  <c r="I8" i="2"/>
  <c r="D50" i="12"/>
  <c r="V24" i="2"/>
  <c r="I9" i="6" s="1"/>
  <c r="F20" i="5"/>
  <c r="K10" i="6"/>
  <c r="O16" i="5"/>
  <c r="G41" i="3"/>
  <c r="I25" i="3"/>
  <c r="K33" i="9"/>
  <c r="G33" i="9"/>
  <c r="G12" i="6"/>
  <c r="S81" i="12"/>
  <c r="V14" i="2"/>
  <c r="E21" i="10"/>
  <c r="L21" i="10" s="1"/>
  <c r="G15" i="5"/>
  <c r="I17" i="6"/>
  <c r="I21" i="5"/>
  <c r="H21" i="9"/>
  <c r="H14" i="5"/>
  <c r="H14" i="6"/>
  <c r="W20" i="2"/>
  <c r="U17" i="6" s="1"/>
  <c r="H17" i="9"/>
  <c r="I23" i="5"/>
  <c r="K23" i="6"/>
  <c r="O13" i="5"/>
  <c r="T69" i="12"/>
  <c r="K17" i="5"/>
  <c r="J29" i="9"/>
  <c r="L5" i="6"/>
  <c r="M52" i="9"/>
  <c r="J26" i="6"/>
  <c r="T4" i="2"/>
  <c r="J5" i="5"/>
  <c r="I52" i="9"/>
  <c r="F30" i="3"/>
  <c r="D128" i="12"/>
  <c r="D5" i="8"/>
  <c r="U4" i="2"/>
  <c r="T26" i="6" s="1"/>
  <c r="T10" i="2"/>
  <c r="G38" i="3"/>
  <c r="K4" i="2"/>
  <c r="N4" i="2" s="1"/>
  <c r="G27" i="5"/>
  <c r="V26" i="2"/>
  <c r="G5" i="9"/>
  <c r="G3" i="6"/>
  <c r="D11" i="12"/>
  <c r="K5" i="9"/>
  <c r="I10" i="6"/>
  <c r="I16" i="5"/>
  <c r="H28" i="9"/>
  <c r="W15" i="2"/>
  <c r="U10" i="6" s="1"/>
  <c r="K26" i="6"/>
  <c r="O5" i="5"/>
  <c r="G30" i="3"/>
  <c r="I20" i="2"/>
  <c r="E20" i="2"/>
  <c r="D17" i="6" s="1"/>
  <c r="D20" i="2"/>
  <c r="J20" i="2"/>
  <c r="G20" i="2"/>
  <c r="I24" i="6"/>
  <c r="D51" i="12"/>
  <c r="E26" i="10"/>
  <c r="L26" i="10" s="1"/>
  <c r="K20" i="9"/>
  <c r="G25" i="6"/>
  <c r="G20" i="5"/>
  <c r="V19" i="2"/>
  <c r="G20" i="9"/>
  <c r="D18" i="12"/>
  <c r="D25" i="8"/>
  <c r="I8" i="9"/>
  <c r="J25" i="5"/>
  <c r="F50" i="3"/>
  <c r="U24" i="2"/>
  <c r="T9" i="6" s="1"/>
  <c r="T24" i="2"/>
  <c r="J7" i="2"/>
  <c r="K7" i="2" s="1"/>
  <c r="N7" i="2" s="1"/>
  <c r="G7" i="2"/>
  <c r="E7" i="2"/>
  <c r="D7" i="6" s="1"/>
  <c r="D7" i="2"/>
  <c r="E10" i="10"/>
  <c r="L10" i="10" s="1"/>
  <c r="G20" i="6"/>
  <c r="V3" i="2"/>
  <c r="D141" i="12"/>
  <c r="G55" i="9"/>
  <c r="G4" i="5"/>
  <c r="I29" i="5"/>
  <c r="K18" i="6"/>
  <c r="O11" i="5"/>
  <c r="G36" i="3"/>
  <c r="M41" i="9"/>
  <c r="H27" i="5"/>
  <c r="H3" i="6"/>
  <c r="X121" i="12"/>
  <c r="K49" i="9"/>
  <c r="E14" i="10"/>
  <c r="L14" i="10" s="1"/>
  <c r="G49" i="9"/>
  <c r="G8" i="5"/>
  <c r="V7" i="2"/>
  <c r="I39" i="3"/>
  <c r="J39" i="3" s="1"/>
  <c r="I7" i="2"/>
  <c r="O18" i="5"/>
  <c r="K13" i="6"/>
  <c r="G43" i="3"/>
  <c r="O20" i="5"/>
  <c r="K25" i="6"/>
  <c r="K24" i="2"/>
  <c r="N24" i="2" s="1"/>
  <c r="J9" i="6"/>
  <c r="J10" i="5"/>
  <c r="U9" i="2"/>
  <c r="T11" i="6" s="1"/>
  <c r="M40" i="9"/>
  <c r="H41" i="9"/>
  <c r="I18" i="6"/>
  <c r="D48" i="12"/>
  <c r="J25" i="6"/>
  <c r="J20" i="5"/>
  <c r="D35" i="12"/>
  <c r="D16" i="9"/>
  <c r="C22" i="8"/>
  <c r="C4" i="6"/>
  <c r="G28" i="8"/>
  <c r="F28" i="8"/>
  <c r="D140" i="12"/>
  <c r="F4" i="5"/>
  <c r="I26" i="6"/>
  <c r="I5" i="5"/>
  <c r="K9" i="2"/>
  <c r="N9" i="2" s="1"/>
  <c r="W10" i="2"/>
  <c r="U18" i="6" s="1"/>
  <c r="I13" i="5"/>
  <c r="H37" i="9"/>
  <c r="I23" i="6"/>
  <c r="K19" i="2"/>
  <c r="N19" i="2" s="1"/>
  <c r="D10" i="8"/>
  <c r="D98" i="12"/>
  <c r="T9" i="2"/>
  <c r="G32" i="9"/>
  <c r="G14" i="5"/>
  <c r="V13" i="2"/>
  <c r="D81" i="12"/>
  <c r="G14" i="6"/>
  <c r="K5" i="6"/>
  <c r="O17" i="5"/>
  <c r="S61" i="12"/>
  <c r="K25" i="9"/>
  <c r="G25" i="9"/>
  <c r="G19" i="5"/>
  <c r="V18" i="2"/>
  <c r="G15" i="6"/>
  <c r="J21" i="2"/>
  <c r="I21" i="2"/>
  <c r="G21" i="2"/>
  <c r="E21" i="2"/>
  <c r="D4" i="6" s="1"/>
  <c r="N11" i="11"/>
  <c r="D21" i="12"/>
  <c r="E4" i="2"/>
  <c r="D26" i="6" s="1"/>
  <c r="D4" i="2"/>
  <c r="I12" i="2"/>
  <c r="J12" i="2"/>
  <c r="K12" i="2" s="1"/>
  <c r="N12" i="2" s="1"/>
  <c r="G12" i="2"/>
  <c r="O22" i="5"/>
  <c r="K4" i="6"/>
  <c r="K26" i="2"/>
  <c r="N26" i="2" s="1"/>
  <c r="D26" i="2"/>
  <c r="I11" i="5"/>
  <c r="D6" i="8"/>
  <c r="J6" i="5"/>
  <c r="U5" i="2"/>
  <c r="T6" i="6" s="1"/>
  <c r="F32" i="9"/>
  <c r="K5" i="2"/>
  <c r="N5" i="2" s="1"/>
  <c r="J114" i="3"/>
  <c r="H15" i="6"/>
  <c r="H19" i="5"/>
  <c r="E27" i="10"/>
  <c r="L27" i="10" s="1"/>
  <c r="U51" i="12"/>
  <c r="K21" i="9"/>
  <c r="N14" i="11"/>
  <c r="O26" i="5"/>
  <c r="D118" i="12"/>
  <c r="D44" i="9"/>
  <c r="I9" i="14"/>
  <c r="H9" i="14"/>
  <c r="U6" i="2"/>
  <c r="T16" i="6" s="1"/>
  <c r="G32" i="3"/>
  <c r="N12" i="11"/>
  <c r="O6" i="5"/>
  <c r="K6" i="6"/>
  <c r="D70" i="12"/>
  <c r="F28" i="9"/>
  <c r="I40" i="9"/>
  <c r="T5" i="2"/>
  <c r="E22" i="10"/>
  <c r="L22" i="10" s="1"/>
  <c r="K28" i="9"/>
  <c r="D71" i="12"/>
  <c r="E16" i="2"/>
  <c r="D5" i="6" s="1"/>
  <c r="I16" i="2"/>
  <c r="G16" i="2"/>
  <c r="D16" i="2"/>
  <c r="F24" i="6"/>
  <c r="F23" i="5"/>
  <c r="F55" i="9"/>
  <c r="D15" i="10"/>
  <c r="C19" i="6"/>
  <c r="C9" i="8"/>
  <c r="G24" i="2"/>
  <c r="E24" i="2"/>
  <c r="D9" i="6" s="1"/>
  <c r="D24" i="2"/>
  <c r="D28" i="10"/>
  <c r="E15" i="10"/>
  <c r="L15" i="10" s="1"/>
  <c r="K44" i="9"/>
  <c r="V8" i="2"/>
  <c r="G9" i="5"/>
  <c r="C26" i="8"/>
  <c r="J15" i="12"/>
  <c r="D9" i="9"/>
  <c r="D19" i="3"/>
  <c r="C8" i="6"/>
  <c r="D32" i="10"/>
  <c r="T6" i="2"/>
  <c r="H12" i="5"/>
  <c r="H21" i="6"/>
  <c r="C51" i="3"/>
  <c r="G4" i="2"/>
  <c r="E8" i="2"/>
  <c r="D19" i="6" s="1"/>
  <c r="G8" i="2"/>
  <c r="K41" i="9"/>
  <c r="G11" i="5"/>
  <c r="P101" i="12"/>
  <c r="G41" i="9"/>
  <c r="E17" i="10"/>
  <c r="L17" i="10" s="1"/>
  <c r="D13" i="2"/>
  <c r="D24" i="9"/>
  <c r="C18" i="8"/>
  <c r="D24" i="10"/>
  <c r="D55" i="12"/>
  <c r="K17" i="9"/>
  <c r="G24" i="6"/>
  <c r="G17" i="9"/>
  <c r="G23" i="5"/>
  <c r="E29" i="10"/>
  <c r="L29" i="10" s="1"/>
  <c r="J41" i="12"/>
  <c r="E31" i="10"/>
  <c r="L31" i="10" s="1"/>
  <c r="G8" i="9"/>
  <c r="F25" i="3"/>
  <c r="F35" i="3"/>
  <c r="E11" i="10"/>
  <c r="L11" i="10" s="1"/>
  <c r="D131" i="12"/>
  <c r="K52" i="9"/>
  <c r="G5" i="5"/>
  <c r="I5" i="2"/>
  <c r="G5" i="2"/>
  <c r="E5" i="2"/>
  <c r="D6" i="6" s="1"/>
  <c r="D5" i="2"/>
  <c r="G11" i="2"/>
  <c r="E11" i="2"/>
  <c r="D21" i="6" s="1"/>
  <c r="D11" i="2"/>
  <c r="J18" i="2"/>
  <c r="D18" i="2"/>
  <c r="I24" i="2"/>
  <c r="I25" i="2"/>
  <c r="J25" i="2"/>
  <c r="K25" i="2" s="1"/>
  <c r="N25" i="2" s="1"/>
  <c r="G25" i="2"/>
  <c r="E25" i="2"/>
  <c r="D8" i="6" s="1"/>
  <c r="M10" i="9"/>
  <c r="U27" i="2"/>
  <c r="T27" i="6" s="1"/>
  <c r="N10" i="11"/>
  <c r="C13" i="6"/>
  <c r="G26" i="6"/>
  <c r="G10" i="14"/>
  <c r="G48" i="9"/>
  <c r="Q121" i="12"/>
  <c r="G16" i="6"/>
  <c r="I41" i="9"/>
  <c r="J18" i="6"/>
  <c r="F25" i="6"/>
  <c r="G29" i="9"/>
  <c r="E19" i="10"/>
  <c r="L19" i="10" s="1"/>
  <c r="G13" i="5"/>
  <c r="I17" i="2"/>
  <c r="O19" i="5"/>
  <c r="K15" i="6"/>
  <c r="V23" i="2"/>
  <c r="M48" i="9"/>
  <c r="J17" i="2"/>
  <c r="G16" i="9"/>
  <c r="V21" i="2"/>
  <c r="G4" i="6"/>
  <c r="G27" i="8"/>
  <c r="G37" i="9"/>
  <c r="T91" i="12"/>
  <c r="D121" i="12"/>
  <c r="V5" i="2"/>
  <c r="K7" i="6"/>
  <c r="N13" i="11"/>
  <c r="E23" i="10"/>
  <c r="L23" i="10" s="1"/>
  <c r="G5" i="6"/>
  <c r="C22" i="6"/>
  <c r="D13" i="9"/>
  <c r="K29" i="9"/>
  <c r="D30" i="10"/>
  <c r="D15" i="15"/>
  <c r="D20" i="15" s="1"/>
  <c r="D21" i="15" s="1"/>
  <c r="G12" i="5"/>
  <c r="G21" i="6"/>
  <c r="E18" i="10"/>
  <c r="L18" i="10" s="1"/>
  <c r="K36" i="9"/>
  <c r="G6" i="6"/>
  <c r="G47" i="9"/>
  <c r="E13" i="10"/>
  <c r="L13" i="10" s="1"/>
  <c r="D11" i="15"/>
  <c r="D12" i="15" s="1"/>
  <c r="D13" i="15" s="1"/>
  <c r="G9" i="9"/>
  <c r="K10" i="9"/>
  <c r="G13" i="6"/>
  <c r="G8" i="6"/>
  <c r="D61" i="12"/>
  <c r="M32" i="9" l="1"/>
  <c r="I32" i="9"/>
  <c r="M20" i="9"/>
  <c r="F45" i="3"/>
  <c r="T13" i="2"/>
  <c r="P14" i="5" s="1"/>
  <c r="D14" i="8"/>
  <c r="K13" i="2"/>
  <c r="N13" i="2" s="1"/>
  <c r="K14" i="5" s="1"/>
  <c r="F14" i="5"/>
  <c r="F14" i="6"/>
  <c r="D78" i="12"/>
  <c r="J14" i="5"/>
  <c r="M33" i="9"/>
  <c r="U19" i="2"/>
  <c r="T25" i="6" s="1"/>
  <c r="T19" i="2"/>
  <c r="P20" i="5" s="1"/>
  <c r="G20" i="8"/>
  <c r="U14" i="2"/>
  <c r="T12" i="6" s="1"/>
  <c r="K11" i="2"/>
  <c r="N11" i="2" s="1"/>
  <c r="J36" i="9" s="1"/>
  <c r="F10" i="9"/>
  <c r="F28" i="5"/>
  <c r="D12" i="8"/>
  <c r="G12" i="8" s="1"/>
  <c r="D88" i="12"/>
  <c r="U11" i="2"/>
  <c r="T21" i="6" s="1"/>
  <c r="U13" i="2"/>
  <c r="T14" i="6" s="1"/>
  <c r="I20" i="9"/>
  <c r="J14" i="6"/>
  <c r="M36" i="9"/>
  <c r="F37" i="3"/>
  <c r="H37" i="3" s="1"/>
  <c r="J21" i="6"/>
  <c r="K11" i="5"/>
  <c r="F40" i="3"/>
  <c r="H40" i="3" s="1"/>
  <c r="H24" i="6"/>
  <c r="P99" i="12"/>
  <c r="T16" i="2"/>
  <c r="P17" i="5" s="1"/>
  <c r="K14" i="2"/>
  <c r="N14" i="2" s="1"/>
  <c r="L12" i="6" s="1"/>
  <c r="J41" i="9"/>
  <c r="H25" i="6"/>
  <c r="J15" i="5"/>
  <c r="F10" i="5"/>
  <c r="F40" i="9"/>
  <c r="F48" i="3"/>
  <c r="I48" i="3" s="1"/>
  <c r="J48" i="3" s="1"/>
  <c r="I33" i="9"/>
  <c r="S78" i="12"/>
  <c r="F11" i="6"/>
  <c r="H18" i="6"/>
  <c r="T11" i="2"/>
  <c r="P12" i="5" s="1"/>
  <c r="J23" i="5"/>
  <c r="J19" i="6"/>
  <c r="H22" i="6"/>
  <c r="T14" i="2"/>
  <c r="P15" i="5" s="1"/>
  <c r="D15" i="8"/>
  <c r="F15" i="8" s="1"/>
  <c r="J12" i="5"/>
  <c r="K22" i="2"/>
  <c r="N22" i="2" s="1"/>
  <c r="J17" i="9" s="1"/>
  <c r="D108" i="12"/>
  <c r="M17" i="9"/>
  <c r="K15" i="2"/>
  <c r="N15" i="2" s="1"/>
  <c r="G89" i="3" s="1"/>
  <c r="T8" i="2"/>
  <c r="S19" i="6" s="1"/>
  <c r="T22" i="2"/>
  <c r="P23" i="5" s="1"/>
  <c r="F42" i="3"/>
  <c r="H42" i="3" s="1"/>
  <c r="F12" i="6"/>
  <c r="K8" i="2"/>
  <c r="N8" i="2" s="1"/>
  <c r="G93" i="3" s="1"/>
  <c r="U8" i="2"/>
  <c r="T19" i="6" s="1"/>
  <c r="D23" i="8"/>
  <c r="F23" i="8" s="1"/>
  <c r="U22" i="2"/>
  <c r="T24" i="6" s="1"/>
  <c r="H27" i="6"/>
  <c r="M29" i="9"/>
  <c r="U15" i="2"/>
  <c r="T10" i="6" s="1"/>
  <c r="J9" i="5"/>
  <c r="I29" i="9"/>
  <c r="I17" i="9"/>
  <c r="D33" i="9"/>
  <c r="I44" i="9"/>
  <c r="M44" i="9"/>
  <c r="J17" i="5"/>
  <c r="D55" i="9"/>
  <c r="F17" i="8"/>
  <c r="S80" i="12"/>
  <c r="D68" i="12"/>
  <c r="U16" i="2"/>
  <c r="T5" i="6" s="1"/>
  <c r="D9" i="8"/>
  <c r="G9" i="8" s="1"/>
  <c r="T68" i="12"/>
  <c r="J24" i="6"/>
  <c r="F33" i="9"/>
  <c r="J10" i="6"/>
  <c r="J5" i="6"/>
  <c r="S75" i="12"/>
  <c r="D18" i="5"/>
  <c r="F5" i="9"/>
  <c r="C25" i="6"/>
  <c r="I13" i="6"/>
  <c r="D20" i="9"/>
  <c r="F13" i="6"/>
  <c r="C20" i="8"/>
  <c r="I34" i="3"/>
  <c r="J34" i="3" s="1"/>
  <c r="D10" i="11"/>
  <c r="H36" i="3"/>
  <c r="C15" i="8"/>
  <c r="I28" i="9"/>
  <c r="J16" i="5"/>
  <c r="H41" i="3"/>
  <c r="F18" i="5"/>
  <c r="C40" i="3"/>
  <c r="M28" i="9"/>
  <c r="D60" i="12"/>
  <c r="D16" i="8"/>
  <c r="F16" i="8" s="1"/>
  <c r="D15" i="5"/>
  <c r="C16" i="8"/>
  <c r="D21" i="10"/>
  <c r="T15" i="2"/>
  <c r="P16" i="5" s="1"/>
  <c r="D7" i="5"/>
  <c r="F15" i="6"/>
  <c r="D10" i="12"/>
  <c r="I31" i="3"/>
  <c r="J31" i="3" s="1"/>
  <c r="D95" i="12"/>
  <c r="D24" i="5"/>
  <c r="C10" i="8"/>
  <c r="F13" i="9"/>
  <c r="F3" i="6"/>
  <c r="I5" i="6"/>
  <c r="F22" i="6"/>
  <c r="D30" i="12"/>
  <c r="F19" i="5"/>
  <c r="S60" i="12"/>
  <c r="I17" i="5"/>
  <c r="F27" i="6"/>
  <c r="D11" i="5"/>
  <c r="F48" i="9"/>
  <c r="C32" i="3"/>
  <c r="H8" i="9"/>
  <c r="H16" i="5"/>
  <c r="H26" i="6"/>
  <c r="C7" i="8"/>
  <c r="C16" i="6"/>
  <c r="I25" i="5"/>
  <c r="F16" i="6"/>
  <c r="Q119" i="12"/>
  <c r="D13" i="10"/>
  <c r="H7" i="5"/>
  <c r="D28" i="12"/>
  <c r="H29" i="9"/>
  <c r="W6" i="2"/>
  <c r="U16" i="6" s="1"/>
  <c r="F29" i="3"/>
  <c r="H29" i="3" s="1"/>
  <c r="D48" i="9"/>
  <c r="J22" i="6"/>
  <c r="Q115" i="12"/>
  <c r="P100" i="12"/>
  <c r="G11" i="8"/>
  <c r="D13" i="5"/>
  <c r="H11" i="6"/>
  <c r="H10" i="5"/>
  <c r="T85" i="12"/>
  <c r="I10" i="5"/>
  <c r="D4" i="8"/>
  <c r="G4" i="8" s="1"/>
  <c r="M55" i="9"/>
  <c r="I32" i="3"/>
  <c r="J32" i="3" s="1"/>
  <c r="T23" i="2"/>
  <c r="P24" i="5" s="1"/>
  <c r="I55" i="9"/>
  <c r="D4" i="5"/>
  <c r="D65" i="12"/>
  <c r="D22" i="10"/>
  <c r="T19" i="12"/>
  <c r="D28" i="9"/>
  <c r="J10" i="9"/>
  <c r="K28" i="5"/>
  <c r="F7" i="5"/>
  <c r="J20" i="6"/>
  <c r="F41" i="9"/>
  <c r="F11" i="5"/>
  <c r="D37" i="9"/>
  <c r="D138" i="12"/>
  <c r="K3" i="2"/>
  <c r="N3" i="2" s="1"/>
  <c r="H20" i="6"/>
  <c r="M13" i="9"/>
  <c r="T3" i="2"/>
  <c r="P4" i="5" s="1"/>
  <c r="J24" i="5"/>
  <c r="U23" i="2"/>
  <c r="T22" i="6" s="1"/>
  <c r="J4" i="5"/>
  <c r="D16" i="10"/>
  <c r="C35" i="3"/>
  <c r="D45" i="12"/>
  <c r="D16" i="5"/>
  <c r="D10" i="5"/>
  <c r="C10" i="6"/>
  <c r="C11" i="6"/>
  <c r="F7" i="8"/>
  <c r="G7" i="8"/>
  <c r="I27" i="6"/>
  <c r="H10" i="9"/>
  <c r="I28" i="5"/>
  <c r="H36" i="9"/>
  <c r="I26" i="5"/>
  <c r="I8" i="6"/>
  <c r="D9" i="5"/>
  <c r="I12" i="5"/>
  <c r="H48" i="9"/>
  <c r="W24" i="2"/>
  <c r="U9" i="6" s="1"/>
  <c r="D17" i="9"/>
  <c r="C48" i="3"/>
  <c r="C24" i="6"/>
  <c r="D41" i="9"/>
  <c r="C36" i="3"/>
  <c r="C11" i="8"/>
  <c r="W17" i="2"/>
  <c r="U13" i="6" s="1"/>
  <c r="I18" i="5"/>
  <c r="I16" i="6"/>
  <c r="D29" i="10"/>
  <c r="J35" i="12"/>
  <c r="C23" i="6"/>
  <c r="C38" i="3"/>
  <c r="D23" i="5"/>
  <c r="J48" i="9"/>
  <c r="H40" i="9"/>
  <c r="I11" i="6"/>
  <c r="D26" i="10"/>
  <c r="C27" i="8"/>
  <c r="W11" i="2"/>
  <c r="U21" i="6" s="1"/>
  <c r="D26" i="5"/>
  <c r="D22" i="5"/>
  <c r="T15" i="12"/>
  <c r="L16" i="6"/>
  <c r="D10" i="9"/>
  <c r="H9" i="5"/>
  <c r="H19" i="6"/>
  <c r="C23" i="8"/>
  <c r="D10" i="10"/>
  <c r="C18" i="6"/>
  <c r="D33" i="10"/>
  <c r="C29" i="3"/>
  <c r="D135" i="12"/>
  <c r="D17" i="10"/>
  <c r="W25" i="2"/>
  <c r="U8" i="6" s="1"/>
  <c r="C27" i="6"/>
  <c r="C4" i="8"/>
  <c r="D20" i="5"/>
  <c r="D19" i="10"/>
  <c r="K23" i="2"/>
  <c r="N23" i="2" s="1"/>
  <c r="F49" i="3"/>
  <c r="I13" i="9"/>
  <c r="L23" i="6"/>
  <c r="J37" i="9"/>
  <c r="K13" i="5"/>
  <c r="T89" i="12"/>
  <c r="J9" i="9"/>
  <c r="L8" i="6"/>
  <c r="J19" i="12"/>
  <c r="K26" i="5"/>
  <c r="F26" i="5"/>
  <c r="F8" i="6"/>
  <c r="J20" i="12"/>
  <c r="F9" i="9"/>
  <c r="H6" i="5"/>
  <c r="H6" i="6"/>
  <c r="F25" i="5"/>
  <c r="F8" i="9"/>
  <c r="F9" i="6"/>
  <c r="D20" i="12"/>
  <c r="S14" i="6"/>
  <c r="P5" i="5"/>
  <c r="S26" i="6"/>
  <c r="K20" i="5"/>
  <c r="D49" i="12"/>
  <c r="J20" i="9"/>
  <c r="L25" i="6"/>
  <c r="H49" i="9"/>
  <c r="I8" i="5"/>
  <c r="W7" i="2"/>
  <c r="U7" i="6" s="1"/>
  <c r="I7" i="6"/>
  <c r="F17" i="6"/>
  <c r="F21" i="5"/>
  <c r="U50" i="12"/>
  <c r="F21" i="9"/>
  <c r="L26" i="6"/>
  <c r="D129" i="12"/>
  <c r="K5" i="5"/>
  <c r="J52" i="9"/>
  <c r="G95" i="3"/>
  <c r="F95" i="3"/>
  <c r="T20" i="2"/>
  <c r="U48" i="12"/>
  <c r="M21" i="9"/>
  <c r="I21" i="9"/>
  <c r="F46" i="3"/>
  <c r="J17" i="6"/>
  <c r="J21" i="5"/>
  <c r="U20" i="2"/>
  <c r="T17" i="6" s="1"/>
  <c r="D21" i="8"/>
  <c r="D8" i="5"/>
  <c r="X115" i="12"/>
  <c r="D13" i="11"/>
  <c r="D49" i="9"/>
  <c r="C7" i="6"/>
  <c r="C33" i="3"/>
  <c r="D14" i="10"/>
  <c r="C8" i="8"/>
  <c r="D85" i="12"/>
  <c r="D12" i="5"/>
  <c r="D18" i="10"/>
  <c r="D36" i="9"/>
  <c r="C12" i="8"/>
  <c r="C37" i="3"/>
  <c r="C21" i="6"/>
  <c r="G14" i="8"/>
  <c r="F14" i="8"/>
  <c r="K20" i="2"/>
  <c r="N20" i="2" s="1"/>
  <c r="F87" i="3" s="1"/>
  <c r="J13" i="6"/>
  <c r="D58" i="12"/>
  <c r="D18" i="8"/>
  <c r="J18" i="5"/>
  <c r="M24" i="9"/>
  <c r="F43" i="3"/>
  <c r="I24" i="9"/>
  <c r="U17" i="2"/>
  <c r="T13" i="6" s="1"/>
  <c r="T17" i="2"/>
  <c r="I9" i="9"/>
  <c r="J18" i="12"/>
  <c r="D26" i="8"/>
  <c r="F51" i="3"/>
  <c r="U25" i="2"/>
  <c r="T8" i="6" s="1"/>
  <c r="T25" i="2"/>
  <c r="M9" i="9"/>
  <c r="J26" i="5"/>
  <c r="J8" i="6"/>
  <c r="I10" i="14"/>
  <c r="I11" i="14" s="1"/>
  <c r="H10" i="14"/>
  <c r="F16" i="9"/>
  <c r="D40" i="12"/>
  <c r="F4" i="6"/>
  <c r="F22" i="5"/>
  <c r="X120" i="12"/>
  <c r="F8" i="5"/>
  <c r="F49" i="9"/>
  <c r="F7" i="6"/>
  <c r="D27" i="10"/>
  <c r="C21" i="8"/>
  <c r="U45" i="12"/>
  <c r="D21" i="9"/>
  <c r="C17" i="6"/>
  <c r="C46" i="3"/>
  <c r="D21" i="5"/>
  <c r="I14" i="5"/>
  <c r="H32" i="9"/>
  <c r="W13" i="2"/>
  <c r="U14" i="6" s="1"/>
  <c r="I14" i="6"/>
  <c r="H8" i="6"/>
  <c r="H26" i="5"/>
  <c r="W23" i="2"/>
  <c r="U22" i="6" s="1"/>
  <c r="I24" i="5"/>
  <c r="H13" i="9"/>
  <c r="I22" i="6"/>
  <c r="H9" i="6"/>
  <c r="H25" i="5"/>
  <c r="F12" i="5"/>
  <c r="F21" i="6"/>
  <c r="F36" i="9"/>
  <c r="D90" i="12"/>
  <c r="H35" i="3"/>
  <c r="I35" i="3"/>
  <c r="J35" i="3" s="1"/>
  <c r="C14" i="6"/>
  <c r="D32" i="9"/>
  <c r="C14" i="8"/>
  <c r="D75" i="12"/>
  <c r="C39" i="3"/>
  <c r="D20" i="10"/>
  <c r="D14" i="5"/>
  <c r="P7" i="5"/>
  <c r="S16" i="6"/>
  <c r="G6" i="8"/>
  <c r="F6" i="8"/>
  <c r="H4" i="6"/>
  <c r="H22" i="5"/>
  <c r="I49" i="9"/>
  <c r="J7" i="6"/>
  <c r="X118" i="12"/>
  <c r="D8" i="8"/>
  <c r="T7" i="2"/>
  <c r="J8" i="5"/>
  <c r="F33" i="3"/>
  <c r="M49" i="9"/>
  <c r="U7" i="2"/>
  <c r="T7" i="6" s="1"/>
  <c r="S9" i="6"/>
  <c r="P25" i="5"/>
  <c r="J32" i="9"/>
  <c r="D22" i="8"/>
  <c r="J22" i="5"/>
  <c r="D38" i="12"/>
  <c r="J4" i="6"/>
  <c r="U21" i="2"/>
  <c r="T4" i="6" s="1"/>
  <c r="T21" i="2"/>
  <c r="I16" i="9"/>
  <c r="F47" i="3"/>
  <c r="M16" i="9"/>
  <c r="J8" i="9"/>
  <c r="K25" i="5"/>
  <c r="G84" i="3"/>
  <c r="F84" i="3"/>
  <c r="D19" i="12"/>
  <c r="L9" i="6"/>
  <c r="J49" i="9"/>
  <c r="L7" i="6"/>
  <c r="X119" i="12"/>
  <c r="K8" i="5"/>
  <c r="W5" i="2"/>
  <c r="U6" i="6" s="1"/>
  <c r="I6" i="5"/>
  <c r="I6" i="6"/>
  <c r="H47" i="9"/>
  <c r="H13" i="6"/>
  <c r="H18" i="5"/>
  <c r="C19" i="8"/>
  <c r="D25" i="10"/>
  <c r="D19" i="5"/>
  <c r="S55" i="12"/>
  <c r="C44" i="3"/>
  <c r="C15" i="6"/>
  <c r="D25" i="9"/>
  <c r="S6" i="6"/>
  <c r="P6" i="5"/>
  <c r="S18" i="6"/>
  <c r="P11" i="5"/>
  <c r="W8" i="2"/>
  <c r="U19" i="6" s="1"/>
  <c r="I9" i="5"/>
  <c r="H44" i="9"/>
  <c r="I19" i="6"/>
  <c r="G25" i="8"/>
  <c r="F25" i="8"/>
  <c r="H21" i="5"/>
  <c r="H17" i="6"/>
  <c r="F13" i="5"/>
  <c r="T90" i="12"/>
  <c r="F37" i="9"/>
  <c r="F23" i="6"/>
  <c r="D13" i="8"/>
  <c r="J13" i="5"/>
  <c r="J23" i="6"/>
  <c r="T12" i="2"/>
  <c r="I37" i="9"/>
  <c r="T88" i="12"/>
  <c r="M37" i="9"/>
  <c r="F38" i="3"/>
  <c r="U12" i="2"/>
  <c r="T23" i="6" s="1"/>
  <c r="J47" i="9"/>
  <c r="G94" i="3"/>
  <c r="F94" i="3"/>
  <c r="K6" i="5"/>
  <c r="D119" i="12"/>
  <c r="L6" i="6"/>
  <c r="H25" i="9"/>
  <c r="W18" i="2"/>
  <c r="U15" i="6" s="1"/>
  <c r="I15" i="6"/>
  <c r="I19" i="5"/>
  <c r="D99" i="12"/>
  <c r="F92" i="3"/>
  <c r="K10" i="5"/>
  <c r="J40" i="9"/>
  <c r="L11" i="6"/>
  <c r="G92" i="3"/>
  <c r="D23" i="10"/>
  <c r="T65" i="12"/>
  <c r="D29" i="9"/>
  <c r="D11" i="11"/>
  <c r="C5" i="6"/>
  <c r="C42" i="3"/>
  <c r="D17" i="5"/>
  <c r="C17" i="8"/>
  <c r="H13" i="5"/>
  <c r="H23" i="6"/>
  <c r="F5" i="6"/>
  <c r="T70" i="12"/>
  <c r="F29" i="9"/>
  <c r="F17" i="5"/>
  <c r="D11" i="10"/>
  <c r="C5" i="8"/>
  <c r="C26" i="6"/>
  <c r="D125" i="12"/>
  <c r="D5" i="5"/>
  <c r="C30" i="3"/>
  <c r="D52" i="9"/>
  <c r="S11" i="6"/>
  <c r="P10" i="5"/>
  <c r="W26" i="2"/>
  <c r="U3" i="6" s="1"/>
  <c r="I3" i="6"/>
  <c r="H5" i="9"/>
  <c r="I27" i="5"/>
  <c r="G5" i="8"/>
  <c r="F5" i="8"/>
  <c r="H33" i="9"/>
  <c r="I15" i="5"/>
  <c r="W14" i="2"/>
  <c r="U12" i="6" s="1"/>
  <c r="I12" i="6"/>
  <c r="K17" i="2"/>
  <c r="N17" i="2" s="1"/>
  <c r="H8" i="5"/>
  <c r="H7" i="6"/>
  <c r="H30" i="3"/>
  <c r="I30" i="3"/>
  <c r="J30" i="3" s="1"/>
  <c r="K21" i="2"/>
  <c r="N21" i="2" s="1"/>
  <c r="H50" i="3"/>
  <c r="I50" i="3"/>
  <c r="J50" i="3" s="1"/>
  <c r="I25" i="9"/>
  <c r="D19" i="8"/>
  <c r="J15" i="6"/>
  <c r="U18" i="2"/>
  <c r="T15" i="6" s="1"/>
  <c r="M25" i="9"/>
  <c r="T18" i="2"/>
  <c r="F44" i="3"/>
  <c r="K18" i="2"/>
  <c r="N18" i="2" s="1"/>
  <c r="S58" i="12"/>
  <c r="J19" i="5"/>
  <c r="H5" i="6"/>
  <c r="H17" i="5"/>
  <c r="G11" i="14"/>
  <c r="F19" i="6"/>
  <c r="F9" i="5"/>
  <c r="D110" i="12"/>
  <c r="F44" i="9"/>
  <c r="D31" i="10"/>
  <c r="D25" i="5"/>
  <c r="D8" i="9"/>
  <c r="D15" i="12"/>
  <c r="D15" i="11"/>
  <c r="C25" i="8"/>
  <c r="C9" i="6"/>
  <c r="C50" i="3"/>
  <c r="D5" i="12"/>
  <c r="C3" i="6"/>
  <c r="D27" i="5"/>
  <c r="D5" i="9"/>
  <c r="C28" i="8"/>
  <c r="D34" i="10"/>
  <c r="G10" i="8"/>
  <c r="F10" i="8"/>
  <c r="I45" i="3"/>
  <c r="J45" i="3" s="1"/>
  <c r="H45" i="3"/>
  <c r="C6" i="6"/>
  <c r="D115" i="12"/>
  <c r="C6" i="8"/>
  <c r="D12" i="11"/>
  <c r="D47" i="9"/>
  <c r="D12" i="10"/>
  <c r="D6" i="5"/>
  <c r="C31" i="3"/>
  <c r="H11" i="14"/>
  <c r="I25" i="6"/>
  <c r="I20" i="5"/>
  <c r="W19" i="2"/>
  <c r="U25" i="6" s="1"/>
  <c r="H20" i="9"/>
  <c r="W21" i="2"/>
  <c r="U4" i="6" s="1"/>
  <c r="H16" i="9"/>
  <c r="I4" i="6"/>
  <c r="I22" i="5"/>
  <c r="F47" i="9"/>
  <c r="F6" i="6"/>
  <c r="D120" i="12"/>
  <c r="F6" i="5"/>
  <c r="D130" i="12"/>
  <c r="F52" i="9"/>
  <c r="F26" i="6"/>
  <c r="F5" i="5"/>
  <c r="G24" i="8"/>
  <c r="F24" i="8"/>
  <c r="J5" i="9"/>
  <c r="D9" i="12"/>
  <c r="L3" i="6"/>
  <c r="F83" i="3"/>
  <c r="G83" i="3"/>
  <c r="K27" i="5"/>
  <c r="W3" i="2"/>
  <c r="I20" i="6"/>
  <c r="H55" i="9"/>
  <c r="I4" i="5"/>
  <c r="S25" i="6" l="1"/>
  <c r="L14" i="6"/>
  <c r="D79" i="12"/>
  <c r="G91" i="3"/>
  <c r="D89" i="12"/>
  <c r="L21" i="6"/>
  <c r="F91" i="3"/>
  <c r="K12" i="5"/>
  <c r="F12" i="8"/>
  <c r="I37" i="3"/>
  <c r="J37" i="3" s="1"/>
  <c r="I40" i="3"/>
  <c r="J40" i="3" s="1"/>
  <c r="H48" i="3"/>
  <c r="S5" i="6"/>
  <c r="K23" i="5"/>
  <c r="F90" i="3"/>
  <c r="G90" i="3"/>
  <c r="K15" i="5"/>
  <c r="J33" i="9"/>
  <c r="S79" i="12"/>
  <c r="K16" i="5"/>
  <c r="L10" i="6"/>
  <c r="P9" i="5"/>
  <c r="J39" i="12"/>
  <c r="L24" i="6"/>
  <c r="L19" i="6"/>
  <c r="D69" i="12"/>
  <c r="K9" i="5"/>
  <c r="S21" i="6"/>
  <c r="D109" i="12"/>
  <c r="S12" i="6"/>
  <c r="G15" i="8"/>
  <c r="I42" i="3"/>
  <c r="J42" i="3" s="1"/>
  <c r="G23" i="8"/>
  <c r="G16" i="8"/>
  <c r="S10" i="6"/>
  <c r="I29" i="3"/>
  <c r="J29" i="3" s="1"/>
  <c r="S24" i="6"/>
  <c r="F9" i="8"/>
  <c r="J28" i="9"/>
  <c r="F93" i="3"/>
  <c r="J44" i="9"/>
  <c r="F89" i="3"/>
  <c r="S20" i="6"/>
  <c r="S22" i="6"/>
  <c r="F4" i="8"/>
  <c r="D29" i="12"/>
  <c r="J13" i="9"/>
  <c r="K24" i="5"/>
  <c r="L22" i="6"/>
  <c r="G85" i="3"/>
  <c r="F85" i="3"/>
  <c r="H49" i="3"/>
  <c r="I49" i="3"/>
  <c r="J49" i="3" s="1"/>
  <c r="H91" i="3"/>
  <c r="H87" i="3"/>
  <c r="K18" i="5"/>
  <c r="L13" i="6"/>
  <c r="G88" i="3"/>
  <c r="H88" i="3"/>
  <c r="F88" i="3"/>
  <c r="D59" i="12"/>
  <c r="J24" i="9"/>
  <c r="C5" i="13"/>
  <c r="D5" i="13" s="1"/>
  <c r="S7" i="6"/>
  <c r="P8" i="5"/>
  <c r="E5" i="13"/>
  <c r="D30" i="8"/>
  <c r="H83" i="3"/>
  <c r="P13" i="5"/>
  <c r="S23" i="6"/>
  <c r="P21" i="5"/>
  <c r="S17" i="6"/>
  <c r="G8" i="8"/>
  <c r="F8" i="8"/>
  <c r="F18" i="8"/>
  <c r="G18" i="8"/>
  <c r="F5" i="13"/>
  <c r="I43" i="3"/>
  <c r="J43" i="3" s="1"/>
  <c r="H43" i="3"/>
  <c r="G19" i="8"/>
  <c r="F19" i="8"/>
  <c r="G22" i="8"/>
  <c r="F22" i="8"/>
  <c r="G5" i="13"/>
  <c r="W28" i="2"/>
  <c r="U20" i="6"/>
  <c r="I33" i="3"/>
  <c r="J33" i="3" s="1"/>
  <c r="H33" i="3"/>
  <c r="P26" i="5"/>
  <c r="S8" i="6"/>
  <c r="I51" i="3"/>
  <c r="J51" i="3" s="1"/>
  <c r="H51" i="3"/>
  <c r="F52" i="3"/>
  <c r="H95" i="3"/>
  <c r="G87" i="3"/>
  <c r="H84" i="3"/>
  <c r="K5" i="13"/>
  <c r="H94" i="3"/>
  <c r="H92" i="3"/>
  <c r="F26" i="8"/>
  <c r="G26" i="8"/>
  <c r="G21" i="8"/>
  <c r="F21" i="8"/>
  <c r="G52" i="3"/>
  <c r="D9" i="1"/>
  <c r="P22" i="5"/>
  <c r="S4" i="6"/>
  <c r="L20" i="6"/>
  <c r="J55" i="9"/>
  <c r="D12" i="1"/>
  <c r="G97" i="3"/>
  <c r="D10" i="1"/>
  <c r="H96" i="3"/>
  <c r="D139" i="12"/>
  <c r="K29" i="5"/>
  <c r="K4" i="5"/>
  <c r="D9" i="3"/>
  <c r="N28" i="2"/>
  <c r="L5" i="13"/>
  <c r="H85" i="3"/>
  <c r="H93" i="3"/>
  <c r="P19" i="5"/>
  <c r="S15" i="6"/>
  <c r="H89" i="3"/>
  <c r="D11" i="1"/>
  <c r="F21" i="1"/>
  <c r="G13" i="8"/>
  <c r="F13" i="8"/>
  <c r="H90" i="3"/>
  <c r="L4" i="6"/>
  <c r="J16" i="9"/>
  <c r="H86" i="3"/>
  <c r="G86" i="3"/>
  <c r="D39" i="12"/>
  <c r="F86" i="3"/>
  <c r="K22" i="5"/>
  <c r="H47" i="3"/>
  <c r="I47" i="3"/>
  <c r="J47" i="3" s="1"/>
  <c r="S13" i="6"/>
  <c r="P18" i="5"/>
  <c r="K28" i="2"/>
  <c r="V28" i="2"/>
  <c r="H44" i="3"/>
  <c r="I44" i="3"/>
  <c r="J44" i="3" s="1"/>
  <c r="J21" i="9"/>
  <c r="U49" i="12"/>
  <c r="K21" i="5"/>
  <c r="L17" i="6"/>
  <c r="J25" i="9"/>
  <c r="L15" i="6"/>
  <c r="S59" i="12"/>
  <c r="K19" i="5"/>
  <c r="H38" i="3"/>
  <c r="I38" i="3"/>
  <c r="J38" i="3" s="1"/>
  <c r="H46" i="3"/>
  <c r="I46" i="3"/>
  <c r="J46" i="3" s="1"/>
  <c r="H5" i="13"/>
  <c r="H52" i="3" l="1"/>
  <c r="I52" i="3" s="1"/>
  <c r="J5" i="13"/>
  <c r="I5" i="13"/>
</calcChain>
</file>

<file path=xl/sharedStrings.xml><?xml version="1.0" encoding="utf-8"?>
<sst xmlns="http://schemas.openxmlformats.org/spreadsheetml/2006/main" count="1035" uniqueCount="663">
  <si>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</si>
  <si>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</si>
  <si>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</si>
  <si>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</si>
  <si>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</si>
  <si>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</si>
  <si>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</si>
  <si>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</si>
  <si>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</si>
  <si>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</si>
  <si>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</si>
  <si>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</si>
  <si>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</si>
  <si>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</si>
  <si>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</si>
  <si>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</si>
  <si>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</si>
  <si>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</si>
  <si>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</si>
  <si>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</si>
  <si>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</si>
  <si>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</si>
  <si>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</si>
  <si>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</si>
  <si>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</si>
  <si>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</si>
  <si>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</si>
  <si>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</si>
  <si>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NLA (sqm)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</si>
  <si>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</si>
  <si>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</si>
  <si>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</si>
  <si>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</si>
  <si>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</si>
  <si>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</si>
  <si>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</si>
  <si>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</si>
  <si>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</si>
  <si>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</si>
  <si>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</si>
  <si>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</si>
  <si>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</si>
  <si>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</si>
  <si>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</si>
  <si>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</si>
  <si>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</si>
  <si>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</si>
  <si>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</si>
  <si>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</si>
  <si>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</si>
  <si>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</si>
  <si>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</si>
  <si>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</si>
  <si>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</si>
  <si>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</si>
  <si>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</si>
  <si>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</si>
  <si>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</si>
  <si>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Lease Expiry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</si>
  <si>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</si>
  <si>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</si>
  <si>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</si>
  <si>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</si>
  <si>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</si>
  <si>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</si>
  <si>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</si>
  <si>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</si>
  <si>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</si>
  <si>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</si>
  <si>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</si>
  <si>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</si>
  <si>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</si>
  <si>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</si>
  <si>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</si>
  <si>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</si>
  <si>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</si>
  <si>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</si>
  <si>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</si>
  <si>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</si>
  <si>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</si>
  <si>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</si>
  <si>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Floor</t>
  </si>
  <si>
    <t>Tenant(s)</t>
  </si>
  <si>
    <t>Passing PSM ($)</t>
  </si>
  <si>
    <t>Net Rent PA ($)</t>
  </si>
  <si>
    <t>% of Total Income</t>
  </si>
  <si>
    <t>L12</t>
  </si>
  <si>
    <t>L11</t>
  </si>
  <si>
    <t>L10</t>
  </si>
  <si>
    <t>L09</t>
  </si>
  <si>
    <t>L08</t>
  </si>
  <si>
    <t>L07</t>
  </si>
  <si>
    <t>L06</t>
  </si>
  <si>
    <t>L05</t>
  </si>
  <si>
    <t>L04</t>
  </si>
  <si>
    <t>L03</t>
  </si>
  <si>
    <t>L02</t>
  </si>
  <si>
    <t>L01</t>
  </si>
  <si>
    <t>GF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</si>
  <si>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</si>
  <si>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</si>
  <si>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</si>
  <si>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</si>
  <si>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</si>
  <si>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</si>
  <si>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</si>
  <si>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</si>
  <si>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</si>
  <si>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>—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</si>
  <si>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</si>
  <si>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</si>
  <si>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</si>
  <si>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</si>
  <si>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</si>
  <si>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</si>
  <si>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</si>
  <si>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</si>
  <si>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</si>
  <si>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</si>
  <si>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</si>
  <si>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</si>
  <si>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</si>
  <si>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</si>
  <si>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</si>
  <si>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</si>
  <si>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</si>
  <si>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</si>
  <si>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</si>
  <si>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</si>
  <si>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</si>
  <si>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</si>
  <si>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</si>
  <si>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</si>
  <si>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</si>
  <si>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</si>
  <si>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</si>
  <si>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</si>
  <si>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</si>
  <si>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</si>
  <si>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</si>
  <si>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</si>
  <si>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</si>
  <si>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</si>
  <si>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</si>
  <si>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</si>
  <si>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</si>
  <si>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</si>
  <si>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</si>
  <si>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</si>
  <si>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</si>
  <si>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</si>
  <si>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</si>
  <si>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</si>
  <si>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</si>
  <si>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</si>
  <si>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</si>
  <si>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</si>
  <si>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</si>
  <si>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</si>
  <si>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</si>
  <si>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</si>
  <si>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</si>
  <si>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</si>
  <si>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</si>
  <si>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</si>
  <si>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</si>
  <si>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</si>
  <si>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</si>
  <si>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</si>
  <si>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</si>
  <si>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</si>
  <si>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</si>
  <si>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</si>
  <si>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30/04/2026</t>
  </si>
  <si>
    <t>Suite ID</t>
  </si>
  <si>
    <t>Suite #</t>
  </si>
  <si>
    <t>Tenant Name</t>
  </si>
  <si>
    <t>Trading Name</t>
  </si>
  <si>
    <t>Lease Start</t>
  </si>
  <si>
    <t>Term (Yrs)</t>
  </si>
  <si>
    <t>PSM (Face)</t>
  </si>
  <si>
    <t>Office Rent PA ($)</t>
  </si>
  <si>
    <t>Incentive Rent PA ($)</t>
  </si>
  <si>
    <t>Outgoings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</si>
  <si>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</si>
  <si>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</si>
  <si>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</si>
  <si>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</si>
  <si>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</si>
  <si>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</si>
  <si>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</si>
  <si>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</si>
  <si>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</si>
  <si>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</si>
  <si>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</si>
  <si>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</si>
  <si>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</si>
  <si>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</si>
  <si>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</si>
  <si>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</si>
  <si>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</si>
  <si>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</si>
  <si>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</si>
  <si>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</si>
  <si>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</si>
  <si>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GROUND</t>
  </si>
  <si>
    <t>Gross</t>
  </si>
  <si>
    <t>Recoverie</t>
  </si>
  <si>
    <t>00005</t>
  </si>
  <si>
    <t>101&amp;2</t>
  </si>
  <si>
    <t>LEASE RENEWAL</t>
  </si>
  <si>
    <t>Blitzem</t>
  </si>
  <si>
    <t>00008</t>
  </si>
  <si>
    <t>103</t>
  </si>
  <si>
    <t>PU Prime Trading</t>
  </si>
  <si>
    <t>00009</t>
  </si>
  <si>
    <t>104</t>
  </si>
  <si>
    <t>TJC#1</t>
  </si>
  <si>
    <t>00012</t>
  </si>
  <si>
    <t>WHOLE</t>
  </si>
  <si>
    <t>Princeton Financial Services</t>
  </si>
  <si>
    <t>00015</t>
  </si>
  <si>
    <t>301&amp;2</t>
  </si>
  <si>
    <t>FIXED 3.75%</t>
  </si>
  <si>
    <t>IPM Residential</t>
  </si>
  <si>
    <t>00018</t>
  </si>
  <si>
    <t>303&amp;4</t>
  </si>
  <si>
    <t>Broadridge</t>
  </si>
  <si>
    <t>00021</t>
  </si>
  <si>
    <t>401</t>
  </si>
  <si>
    <t>B-W International</t>
  </si>
  <si>
    <t>00022</t>
  </si>
  <si>
    <t>402</t>
  </si>
  <si>
    <t>Gray Dawes Travel</t>
  </si>
  <si>
    <t>00025</t>
  </si>
  <si>
    <t>501</t>
  </si>
  <si>
    <t>Montgomery Investment</t>
  </si>
  <si>
    <t>00026</t>
  </si>
  <si>
    <t>502</t>
  </si>
  <si>
    <t>Threat Defence</t>
  </si>
  <si>
    <t>00029</t>
  </si>
  <si>
    <t>601</t>
  </si>
  <si>
    <t>Fullcrm</t>
  </si>
  <si>
    <t>00030</t>
  </si>
  <si>
    <t>602</t>
  </si>
  <si>
    <t>Capital Credit Solutions</t>
  </si>
  <si>
    <t>00033</t>
  </si>
  <si>
    <t>701</t>
  </si>
  <si>
    <t>Pinpoint Talent</t>
  </si>
  <si>
    <t>00034</t>
  </si>
  <si>
    <t>702</t>
  </si>
  <si>
    <t>Satellite Office</t>
  </si>
  <si>
    <t>00037</t>
  </si>
  <si>
    <t>801</t>
  </si>
  <si>
    <t>Arkance Australia</t>
  </si>
  <si>
    <t>00038</t>
  </si>
  <si>
    <t>802</t>
  </si>
  <si>
    <t>Hilliard &amp; Berry</t>
  </si>
  <si>
    <t>00041</t>
  </si>
  <si>
    <t>901</t>
  </si>
  <si>
    <t>Aitken Investment Mgmt</t>
  </si>
  <si>
    <t>00044</t>
  </si>
  <si>
    <t>902&amp;3</t>
  </si>
  <si>
    <t>Capital E Marketing</t>
  </si>
  <si>
    <t>00048</t>
  </si>
  <si>
    <t>1001&amp;2</t>
  </si>
  <si>
    <t>FIXED</t>
  </si>
  <si>
    <t>Connectus Services</t>
  </si>
  <si>
    <t>00050</t>
  </si>
  <si>
    <t>1101</t>
  </si>
  <si>
    <t>Michael Flegg</t>
  </si>
  <si>
    <t>00051</t>
  </si>
  <si>
    <t>1102</t>
  </si>
  <si>
    <t>Pharmx Technologies</t>
  </si>
  <si>
    <t>00055</t>
  </si>
  <si>
    <t>MONTHLY TENANT</t>
  </si>
  <si>
    <t>N/A</t>
  </si>
  <si>
    <t>Dakota Corporation</t>
  </si>
  <si>
    <t>00052</t>
  </si>
  <si>
    <t>1103</t>
  </si>
  <si>
    <t>Vacant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</si>
  <si>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</si>
  <si>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</si>
  <si>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</si>
  <si>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</si>
  <si>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</si>
  <si>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</si>
  <si>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</si>
  <si>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</si>
  <si>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</si>
  <si>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</si>
  <si>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</si>
  <si>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</si>
  <si>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</si>
  <si>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</si>
  <si>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</si>
  <si>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</si>
  <si>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</si>
  <si>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</si>
  <si>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</si>
  <si>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</si>
  <si>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</si>
  <si>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</si>
  <si>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</si>
  <si>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</si>
  <si>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</si>
  <si>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</si>
  <si>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</si>
  <si>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</si>
  <si>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</si>
  <si>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</si>
  <si>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</si>
  <si>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</si>
  <si>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</si>
  <si>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</si>
  <si>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</si>
  <si>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</si>
  <si>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</si>
  <si>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</si>
  <si>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</si>
  <si>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</si>
  <si>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</si>
  <si>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</si>
  <si>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</si>
  <si>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</si>
  <si>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</si>
  <si>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</si>
  <si>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</si>
  <si>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</si>
  <si>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</si>
  <si>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</si>
  <si>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</si>
  <si>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</si>
  <si>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</si>
  <si>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</si>
  <si>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</si>
  <si>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</si>
  <si>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</si>
  <si>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</si>
  <si>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</si>
  <si>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</si>
  <si>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</si>
  <si>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</si>
  <si>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</si>
  <si>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</si>
  <si>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</si>
  <si>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</si>
  <si>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</si>
  <si>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</si>
  <si>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</si>
  <si>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</si>
  <si>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</si>
  <si>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</si>
  <si>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</si>
  <si>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</si>
  <si>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</si>
  <si>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</si>
  <si>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</si>
  <si>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</si>
  <si>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</si>
  <si>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</si>
  <si>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</si>
  <si>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</si>
  <si>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</si>
  <si>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</si>
  <si>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</si>
  <si>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</si>
  <si>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</si>
  <si>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</si>
  <si>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</si>
  <si>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</si>
  <si>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</si>
  <si>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</si>
  <si>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</si>
  <si>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</si>
  <si>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Blitzem Pty Ltd</t>
  </si>
  <si>
    <t>1.01</t>
  </si>
  <si>
    <t>1 Year</t>
  </si>
  <si>
    <t>Month-to-month extended</t>
  </si>
  <si>
    <t>Aitken Investment Management</t>
  </si>
  <si>
    <t>9.01</t>
  </si>
  <si>
    <t>3 Years</t>
  </si>
  <si>
    <t>Holdover pending</t>
  </si>
  <si>
    <t>PU Prime Trading Pty Ltd</t>
  </si>
  <si>
    <t>1.03</t>
  </si>
  <si>
    <t>2 Years</t>
  </si>
  <si>
    <t>2 months rent free</t>
  </si>
  <si>
    <t>LEASING ACTIVITY SUMMARY</t>
  </si>
  <si>
    <t>WALE by NLA (Apr 2026)</t>
  </si>
  <si>
    <t>2.44 years</t>
  </si>
  <si>
    <t>Occupancy (Apr 2026)</t>
  </si>
  <si>
    <t>96.59%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</si>
  <si>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</si>
  <si>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</si>
  <si>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</si>
  <si>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</si>
  <si>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</si>
  <si>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</si>
  <si>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</si>
  <si>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</si>
  <si>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</si>
  <si>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</si>
  <si>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</si>
  <si>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</si>
  <si>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</si>
  <si>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</si>
  <si>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</si>
  <si>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</si>
  <si>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</si>
  <si>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</si>
  <si>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</si>
  <si>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</si>
  <si>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</si>
  <si>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</si>
  <si>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</si>
  <si>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</si>
  <si>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</si>
  <si>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</si>
  <si>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</si>
  <si>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</si>
  <si>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</si>
  <si>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</si>
  <si>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</si>
  <si>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</si>
  <si>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</si>
  <si>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</si>
  <si>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</si>
  <si>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</si>
  <si>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</si>
  <si>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</si>
  <si>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</si>
  <si>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</si>
  <si>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</si>
  <si>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</si>
  <si>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</si>
  <si>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</si>
  <si>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</si>
  <si>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</si>
  <si>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</si>
  <si>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</si>
  <si>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</si>
  <si>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</si>
  <si>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</si>
  <si>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</si>
  <si>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</si>
  <si>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</si>
  <si>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</si>
  <si>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</si>
  <si>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</si>
  <si>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</si>
  <si>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</si>
  <si>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</si>
  <si>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</si>
  <si>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</si>
  <si>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</si>
  <si>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</si>
  <si>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</si>
  <si>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</si>
  <si>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</si>
  <si>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</si>
  <si>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</si>
  <si>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</si>
  <si>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</si>
  <si>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</si>
  <si>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Repaint walls, replace carpet, patch partitions — contact HasBuilt re spec fitout</t>
  </si>
  <si>
    <t>Standard office make good — repaint, steam clean</t>
  </si>
  <si>
    <t>TBC — confirm notice period in lease; repaint &amp; carpet</t>
  </si>
  <si>
    <t>Full floor — strip fit-out, repaint, replace carpet</t>
  </si>
  <si>
    <t>Repaint, carpet, remove internal joinery</t>
  </si>
  <si>
    <t>Standard office make good — repaint, carpet</t>
  </si>
  <si>
    <t>Repaint, carpet, remove partitions</t>
  </si>
  <si>
    <t>Standard office make good</t>
  </si>
  <si>
    <t>Repaint, carpet, joinery removal</t>
  </si>
  <si>
    <t>Repaint, steam clean carpet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</si>
  <si>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</si>
  <si>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</si>
  <si>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</si>
  <si>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</si>
  <si>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</si>
  <si>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</si>
  <si>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</si>
  <si>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</si>
  <si>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David Wear to reach out — no works required; repaint $200/sqm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</si>
  <si>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</si>
  <si>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</si>
  <si>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</si>
  <si>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</si>
  <si>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</si>
  <si>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</si>
  <si>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</si>
  <si>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</si>
  <si>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</si>
  <si>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</si>
  <si>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</si>
  <si>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</si>
  <si>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</si>
  <si>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</si>
  <si>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</si>
  <si>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</si>
  <si>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</si>
  <si>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</si>
  <si>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</si>
  <si>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</si>
  <si>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</si>
  <si>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</si>
  <si>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</si>
  <si>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</si>
  <si>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</si>
  <si>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</si>
  <si>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</si>
  <si>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</si>
  <si>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</si>
  <si>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</si>
  <si>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</si>
  <si>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</si>
  <si>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</si>
  <si>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</si>
  <si>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</si>
  <si>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</si>
  <si>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</si>
  <si>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</si>
  <si>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</si>
  <si>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</si>
  <si>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</si>
  <si>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</si>
  <si>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</si>
  <si>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</si>
  <si>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</si>
  <si>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</si>
  <si>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</si>
  <si>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</si>
  <si>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</si>
  <si>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</si>
  <si>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</si>
  <si>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</si>
  <si>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</si>
  <si>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</si>
  <si>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</si>
  <si>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</si>
  <si>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</si>
  <si>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</si>
  <si>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</si>
  <si>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</si>
  <si>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</si>
  <si>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</si>
  <si>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</si>
  <si>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</si>
  <si>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</si>
  <si>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</si>
  <si>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</si>
  <si>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</si>
  <si>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</si>
  <si>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</si>
  <si>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</si>
  <si>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</si>
  <si>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</si>
  <si>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</si>
  <si>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</si>
  <si>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</si>
  <si>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</si>
  <si>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</si>
  <si>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</si>
  <si>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</si>
  <si>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</si>
  <si>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</si>
  <si>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</si>
  <si>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</si>
  <si>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</si>
  <si>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</si>
  <si>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</si>
  <si>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</si>
  <si>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</si>
  <si>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</si>
  <si>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</si>
  <si>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</si>
  <si>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</si>
  <si>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</si>
  <si>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</si>
  <si>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</si>
  <si>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</si>
  <si>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</si>
  <si>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</si>
  <si>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</si>
  <si>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</si>
  <si>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</si>
  <si>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</si>
  <si>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</si>
  <si>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</si>
  <si>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</si>
  <si>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</si>
  <si>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</si>
  <si>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</si>
  <si>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</si>
  <si>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</si>
  <si>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</si>
  <si>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</si>
  <si>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</si>
  <si>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</si>
  <si>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</si>
  <si>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</si>
  <si>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17 Castlereagh Street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</si>
  <si>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</si>
  <si>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</si>
  <si>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</si>
  <si>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</si>
  <si>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</si>
  <si>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</si>
  <si>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</si>
  <si>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</si>
  <si>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</si>
  <si>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</si>
  <si>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</si>
  <si>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</si>
  <si>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</si>
  <si>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</si>
  <si>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</si>
  <si>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</si>
  <si>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</si>
  <si>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</si>
  <si>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</si>
  <si>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</si>
  <si>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</si>
  <si>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</si>
  <si>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</si>
  <si>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</si>
  <si>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</si>
  <si>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</si>
  <si>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</si>
  <si>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</si>
  <si>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</si>
  <si>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</si>
  <si>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</si>
  <si>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</si>
  <si>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</si>
  <si>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</si>
  <si>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</si>
  <si>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</si>
  <si>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</si>
  <si>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</si>
  <si>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</si>
  <si>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</si>
  <si>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</si>
  <si>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</si>
  <si>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</si>
  <si>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</si>
  <si>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</si>
  <si>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</si>
  <si>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</si>
  <si>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</si>
  <si>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</si>
  <si>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</si>
  <si>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</si>
  <si>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</si>
  <si>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</si>
  <si>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</si>
  <si>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Knight Frank</t>
  </si>
  <si>
    <t>First Mortgage Security Purposes</t>
  </si>
  <si>
    <t>Market Value 'As Is'</t>
  </si>
  <si>
    <t>FY26</t>
  </si>
  <si>
    <t>FY25</t>
  </si>
  <si>
    <t>FY24</t>
  </si>
  <si>
    <t>JLL</t>
  </si>
  <si>
    <t>ANZ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</si>
</sst>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164" formatCode="0.00&quot; yrs&quot;"/>
    <numFmt numFmtId="165" formatCode="#,##0.0"/>
    <numFmt numFmtId="166" formatCode="\$#,##0"/>
    <numFmt numFmtId="167" formatCode="0.0%"/>
    <numFmt numFmtId="168" formatCode="0.00&quot; yrs (WALE)&quot;"/>
    <numFmt numFmtId="169" formatCode="0.0"/>
    <numFmt numFmtId="170" formatCode="#,##0.0&quot; sqm&quot;"/>
    <numFmt numFmtId="171" formatCode="0.00&quot; yrs (WALE NLA)&quot;"/>
    <numFmt numFmtId="172" formatCode="0&quot; days&quot;"/>
    <numFmt numFmtId="173" formatCode="\$#,##0.00"/>
    <numFmt numFmtId="174" formatCode="0.00&quot; years&quot;"/>
    <numFmt numFmtId="175" formatCode="&quot;($&quot;#,##0\)"/>
    <numFmt numFmtId="176" formatCode="&quot;$&quot;#,##0.00"/>
    <numFmt numFmtId="177" formatCode="&quot;$&quot;0\ &quot;psm&quot;\ \p\a"/>
    <numFmt numFmtId="178" formatCode="0.0\ &quot;sqm&quot;"/>
    <numFmt numFmtId="179" formatCode="0\ &quot;sqm&quot;"/>
    <numFmt numFmtId="180" formatCode="&quot;$&quot;#,##0"/>
    <numFmt numFmtId="181" formatCode="&quot;$&quot;#,##0.00_);[Red]\(&quot;$&quot;#,##0.00\)"/>
    <numFmt numFmtId="182" formatCode="&quot;$&quot;#,##0.00;[Red]&quot;$&quot;#,##0.00"/>
    <numFmt numFmtId="183" formatCode="0.000%"/>
    <numFmt numFmtId="184" formatCode="0.00&quot;x&quot;"/>
  </numFmts>
  <fonts count="10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9"/>
      <color rgb="FF000000"/>
      <name val="Arial"/>
      <charset val="1"/>
    </font>
    <font>
      <sz val="9"/>
      <name val="Arial"/>
      <charset val="1"/>
    </font>
    <font>
      <sz val="9"/>
      <color rgb="FF1F3864"/>
      <name val="Arial"/>
      <charset val="1"/>
    </font>
    <font>
      <b/>
      <sz val="11"/>
      <color rgb="FFFFFFFF"/>
      <name val="Arial"/>
      <charset val="1"/>
    </font>
    <font>
      <sz val="9"/>
      <color rgb="FF7B0000"/>
      <name val="Arial"/>
      <charset val="1"/>
    </font>
    <font>
      <b/>
      <sz val="9"/>
      <color rgb="FF7B0000"/>
      <name val="Arial"/>
      <charset val="1"/>
    </font>
    <font>
      <b/>
      <sz val="9"/>
      <name val="Arial"/>
      <charset val="1"/>
    </font>
    <font>
      <i/>
      <sz val="8"/>
      <color rgb="FF595959"/>
      <name val="Arial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4"/>
      <color rgb="FFFFFFFF"/>
      <name val="Arial"/>
      <charset val="1"/>
    </font>
    <font>
      <sz val="9"/>
      <color rgb="FF595959"/>
      <name val="Arial"/>
      <charset val="1"/>
    </font>
    <font>
      <sz val="9"/>
      <color rgb="FF2E5090"/>
      <name val="Arial"/>
      <charset val="1"/>
    </font>
    <font>
      <sz val="9"/>
      <color rgb="FF375623"/>
      <name val="Arial"/>
      <charset val="1"/>
    </font>
    <font>
      <b/>
      <sz val="9"/>
      <color rgb="FFC00000"/>
      <name val="Arial"/>
      <charset val="1"/>
    </font>
    <font>
      <sz val="9"/>
      <color rgb="FFC00000"/>
      <name val="Arial"/>
      <charset val="1"/>
    </font>
    <font>
      <b/>
      <sz val="9"/>
      <color rgb="FF1F3864"/>
      <name val="Arial"/>
      <charset val="1"/>
    </font>
    <font>
      <b/>
      <sz val="9"/>
      <color rgb="FFED7D31"/>
      <name val="Arial"/>
      <charset val="1"/>
    </font>
    <font>
      <b/>
      <sz val="9"/>
      <color rgb="FF4472C4"/>
      <name val="Arial"/>
      <charset val="1"/>
    </font>
    <font>
      <b/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color rgb="FF2E5090"/>
      <name val="Arial"/>
      <charset val="1"/>
    </font>
    <font>
      <b/>
      <sz val="8"/>
      <color rgb="FFED7D31"/>
      <name val="Arial"/>
      <charset val="1"/>
    </font>
    <font>
      <b/>
      <sz val="8"/>
      <color rgb="FF4472C4"/>
      <name val="Arial"/>
      <charset val="1"/>
    </font>
    <font>
      <b/>
      <sz val="8"/>
      <color rgb="FF2E5090"/>
      <name val="Arial"/>
      <charset val="1"/>
    </font>
    <font>
      <b/>
      <sz val="8"/>
      <color rgb="FF7030A0"/>
      <name val="Arial"/>
      <charset val="1"/>
    </font>
    <font>
      <b/>
      <sz val="8"/>
      <color rgb="FF375623"/>
      <name val="Arial"/>
      <charset val="1"/>
    </font>
    <font>
      <b/>
      <sz val="8"/>
      <color rgb="FF1F6B75"/>
      <name val="Arial"/>
      <charset val="1"/>
    </font>
    <font>
      <b/>
      <sz val="8"/>
      <color rgb="FFC00000"/>
      <name val="Arial"/>
      <charset val="1"/>
    </font>
    <font>
      <b/>
      <sz val="8"/>
      <color rgb="FF595959"/>
      <name val="Arial"/>
      <charset val="1"/>
    </font>
    <font>
      <b/>
      <sz val="12"/>
      <color rgb="FF2E5090"/>
      <name val="Arial"/>
      <charset val="1"/>
    </font>
    <font>
      <sz val="8"/>
      <color rgb="FF595959"/>
      <name val="Arial"/>
      <charset val="1"/>
    </font>
    <font>
      <b/>
      <sz val="8"/>
      <color rgb="FF5D6D7E"/>
      <name val="Arial"/>
      <charset val="1"/>
    </font>
    <font>
      <sz val="8"/>
      <color rgb="FF5D6D7E"/>
      <name val="Arial"/>
      <charset val="1"/>
    </font>
    <font>
      <b/>
      <sz val="8"/>
      <color rgb="FFFFFFFF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color rgb="FF7030A0"/>
      <name val="Arial"/>
    </font>
    <font>
      <b/>
      <sz val="9"/>
      <color rgb="FF1F6B75"/>
      <name val="Arial"/>
    </font>
    <font>
      <b/>
      <sz val="9"/>
      <color rgb="FFED7D31"/>
      <name val="Arial"/>
    </font>
    <font>
      <b/>
      <sz val="9"/>
      <color rgb="FF2E5090"/>
      <name val="Arial"/>
    </font>
    <font>
      <b/>
      <sz val="9"/>
      <color rgb="FF4472C4"/>
      <name val="Arial"/>
    </font>
    <font>
      <b/>
      <sz val="9"/>
      <color rgb="FF375623"/>
      <name val="Arial"/>
    </font>
    <font>
      <b/>
      <sz val="9"/>
      <color rgb="FFC00000"/>
      <name val="Arial"/>
    </font>
    <font>
      <b/>
      <sz val="10"/>
      <color rgb="FFFFFFFF"/>
      <name val="Arial"/>
    </font>
    <font>
      <sz val="9"/>
      <name val="Arial"/>
    </font>
    <font>
      <b/>
      <sz val="9"/>
      <name val="Arial"/>
    </font>
    <font>
      <b/>
      <sz val="9"/>
      <color rgb="FF7B0000"/>
      <name val="Arial"/>
    </font>
    <font>
      <sz val="8"/>
      <name val="Arial"/>
    </font>
    <font>
      <b/>
      <sz val="13"/>
      <color rgb="FFFFFFFF"/>
      <name val="Arial"/>
    </font>
    <font>
      <i/>
      <sz val="9"/>
      <color rgb="FF2E5090"/>
      <name val="Arial"/>
    </font>
    <font>
      <sz val="8"/>
      <color rgb="FF595959"/>
      <name val="Arial"/>
    </font>
    <font>
      <sz val="10"/>
      <name val="Arial"/>
    </font>
    <font>
      <sz val="9"/>
      <color rgb="FFED7D31"/>
      <name val="Arial"/>
    </font>
    <font>
      <sz val="7"/>
      <color rgb="FF595959"/>
      <name val="Arial"/>
    </font>
    <font>
      <b/>
      <sz val="11"/>
      <color rgb="FF000000"/>
      <name val="Arial"/>
    </font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name val="Century Gothic"/>
      <family val="2"/>
    </font>
    <font>
      <b/>
      <sz val="16"/>
      <color rgb="FF0076BF"/>
      <name val="Century Gothic"/>
      <family val="2"/>
    </font>
    <font>
      <sz val="11"/>
      <name val="Calibri"/>
      <family val="2"/>
      <scheme val="minor"/>
    </font>
    <font>
      <b/>
      <sz val="16"/>
      <color theme="1"/>
      <name val="Cambria"/>
      <family val="1"/>
    </font>
    <font>
      <sz val="16"/>
      <color theme="1"/>
      <name val="Cambria"/>
      <family val="1"/>
    </font>
    <font>
      <b/>
      <sz val="11"/>
      <name val="Century Gothic"/>
      <family val="2"/>
    </font>
    <font>
      <b/>
      <sz val="14"/>
      <color theme="0"/>
      <name val="Century Gothic"/>
      <family val="2"/>
    </font>
    <font>
      <sz val="11"/>
      <color theme="0"/>
      <name val="Century Gothic"/>
      <family val="2"/>
    </font>
    <font>
      <b/>
      <sz val="11"/>
      <name val="Calibri"/>
      <family val="2"/>
      <scheme val="minor"/>
    </font>
    <font>
      <sz val="11"/>
      <color theme="1"/>
      <name val="Century Gothic"/>
      <family val="2"/>
    </font>
    <font>
      <sz val="11"/>
      <color indexed="12"/>
      <name val="Century Gothic"/>
      <family val="2"/>
    </font>
    <font>
      <b/>
      <sz val="11"/>
      <color theme="0"/>
      <name val="Century Gothic"/>
      <family val="2"/>
    </font>
    <font>
      <b/>
      <sz val="10"/>
      <color theme="0"/>
      <name val="Century Gothic"/>
      <family val="2"/>
    </font>
    <font>
      <b/>
      <i/>
      <sz val="11"/>
      <name val="Calibri"/>
      <family val="2"/>
      <scheme val="minor"/>
    </font>
    <font>
      <sz val="10"/>
      <color theme="0"/>
      <name val="Century Gothic"/>
      <family val="2"/>
    </font>
    <font>
      <b/>
      <sz val="10"/>
      <name val="Arial"/>
      <family val="2"/>
    </font>
    <font>
      <b/>
      <sz val="10"/>
      <name val="Century Gothic"/>
      <family val="2"/>
    </font>
    <font>
      <sz val="10"/>
      <name val="Century Gothic"/>
      <family val="2"/>
    </font>
    <font>
      <sz val="10"/>
      <color indexed="8"/>
      <name val="Century Gothic"/>
      <family val="2"/>
    </font>
    <font>
      <b/>
      <u/>
      <sz val="10"/>
      <name val="Century Gothic"/>
      <family val="2"/>
    </font>
    <font>
      <b/>
      <sz val="11"/>
      <color theme="1"/>
      <name val="Calibri"/>
      <family val="2"/>
    </font>
    <font>
      <b/>
      <sz val="13"/>
      <color rgb="FFFFFFFF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b/>
      <sz val="9"/>
      <color rgb="FF1F3864"/>
      <name val="Arial"/>
    </font>
    <font>
      <sz val="10"/>
      <color rgb="FF000000"/>
      <name val="Arial"/>
    </font>
    <font>
      <i/>
      <sz val="8"/>
      <color rgb="FF595959"/>
      <name val="Arial"/>
    </font>
    <font>
      <b/>
      <sz val="10"/>
      <color rgb="FF000000"/>
      <name val="Arial"/>
    </font>
    <font>
      <sz val="9"/>
      <color rgb="FF1F3864"/>
      <name val="Arial"/>
    </font>
    <font>
      <b/>
      <sz val="10"/>
      <name val="Arial"/>
    </font>
    <font>
      <sz val="9"/>
      <color rgb="FF595959"/>
      <name val="Arial"/>
    </font>
    <font>
      <b/>
      <sz val="10"/>
      <color rgb="FFFFFFFF"/>
      <name val="Arial"/>
    </font>
  </fonts>
  <fills count="69">
    <fill>
      <patternFill patternType="none"/>
    </fill>
    <fill>
      <patternFill patternType="gray125"/>
    </fill>
    <fill>
      <patternFill patternType="solid">
        <fgColor rgb="FF1F3864"/>
        <bgColor rgb="FF1A5276"/>
      </patternFill>
    </fill>
    <fill>
      <patternFill patternType="solid">
        <fgColor rgb="FF2E5090"/>
        <bgColor rgb="FF1A5276"/>
      </patternFill>
    </fill>
    <fill>
      <patternFill patternType="solid">
        <fgColor rgb="FFEEF4FC"/>
        <bgColor rgb="FFF0F3F4"/>
      </patternFill>
    </fill>
    <fill>
      <patternFill patternType="solid">
        <fgColor rgb="FFFFFFFF"/>
        <bgColor rgb="FFEEF4FC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0F3F4"/>
      </patternFill>
    </fill>
    <fill>
      <patternFill patternType="solid">
        <fgColor rgb="FFC9A84C"/>
        <bgColor rgb="FFED7D31"/>
      </patternFill>
    </fill>
    <fill>
      <patternFill patternType="solid">
        <fgColor rgb="FFFCE4D6"/>
        <bgColor rgb="FFFFE5E5"/>
      </patternFill>
    </fill>
    <fill>
      <patternFill patternType="solid">
        <fgColor rgb="FFFFE5E5"/>
        <bgColor rgb="FFFCE4D6"/>
      </patternFill>
    </fill>
    <fill>
      <patternFill patternType="solid">
        <fgColor rgb="FF4472C4"/>
        <bgColor rgb="FF5D6D7E"/>
      </patternFill>
    </fill>
    <fill>
      <patternFill patternType="solid">
        <fgColor rgb="FF375623"/>
        <bgColor rgb="FF595959"/>
      </patternFill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6C3483"/>
      </patternFill>
    </fill>
    <fill>
      <patternFill patternType="solid">
        <fgColor rgb="FF5B4B8A"/>
        <bgColor rgb="FF595959"/>
      </patternFill>
    </fill>
    <fill>
      <patternFill patternType="solid">
        <fgColor rgb="FF595959"/>
        <bgColor rgb="FF5B4B8A"/>
      </patternFill>
    </fill>
    <fill>
      <patternFill patternType="solid">
        <fgColor rgb="FFD6E4F7"/>
        <bgColor rgb="FFD9F0F3"/>
      </patternFill>
    </fill>
    <fill>
      <patternFill patternType="solid">
        <fgColor rgb="FFE2EFDA"/>
        <bgColor rgb="FFECECEC"/>
      </patternFill>
    </fill>
    <fill>
      <patternFill patternType="solid">
        <fgColor rgb="FFE2D5F0"/>
        <bgColor rgb="FFD6E4F7"/>
      </patternFill>
    </fill>
    <fill>
      <patternFill patternType="solid">
        <fgColor rgb="FFD9F0F3"/>
        <bgColor rgb="FFD6E4F7"/>
      </patternFill>
    </fill>
    <fill>
      <patternFill patternType="solid">
        <fgColor rgb="FF1F6B75"/>
        <bgColor rgb="FF0E6655"/>
      </patternFill>
    </fill>
    <fill>
      <patternFill patternType="solid">
        <fgColor rgb="FF707070"/>
        <bgColor rgb="FF5D6D7E"/>
      </patternFill>
    </fill>
    <fill>
      <patternFill patternType="solid">
        <fgColor rgb="FFF0F3F4"/>
        <bgColor rgb="FFF2F2F2"/>
      </patternFill>
    </fill>
    <fill>
      <patternFill patternType="solid">
        <fgColor rgb="FFC0392B"/>
        <bgColor rgb="FFD35400"/>
      </patternFill>
    </fill>
    <fill>
      <patternFill patternType="solid">
        <fgColor rgb="FFECECEC"/>
        <bgColor rgb="FFF2F2F2"/>
      </patternFill>
    </fill>
    <fill>
      <patternFill patternType="solid">
        <fgColor rgb="FF808080"/>
        <bgColor rgb="FF707070"/>
      </patternFill>
    </fill>
    <fill>
      <patternFill patternType="solid">
        <fgColor rgb="FF1A5276"/>
        <bgColor rgb="FF2E5090"/>
      </patternFill>
    </fill>
    <fill>
      <patternFill patternType="solid">
        <fgColor rgb="FF6C3483"/>
        <bgColor rgb="FF7030A0"/>
      </patternFill>
    </fill>
    <fill>
      <patternFill patternType="solid">
        <fgColor rgb="FF1E8449"/>
        <bgColor rgb="FF1F6B75"/>
      </patternFill>
    </fill>
    <fill>
      <patternFill patternType="solid">
        <fgColor rgb="FFD35400"/>
        <bgColor rgb="FFC0392B"/>
      </patternFill>
    </fill>
    <fill>
      <patternFill patternType="solid">
        <fgColor rgb="FF0E6655"/>
        <bgColor rgb="FF1F6B75"/>
      </patternFill>
    </fill>
    <fill>
      <patternFill patternType="solid">
        <fgColor rgb="FF5D6D7E"/>
        <bgColor rgb="FF707070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E5090"/>
      </patternFill>
    </fill>
    <fill>
      <patternFill patternType="solid">
        <fgColor rgb="FFE2D5F0"/>
      </patternFill>
    </fill>
    <fill>
      <patternFill patternType="solid">
        <fgColor rgb="FFD9F0F3"/>
      </patternFill>
    </fill>
    <fill>
      <patternFill patternType="solid">
        <fgColor rgb="FFFCE4D6"/>
      </patternFill>
    </fill>
    <fill>
      <patternFill patternType="solid">
        <fgColor rgb="FFEEF4FC"/>
      </patternFill>
    </fill>
    <fill>
      <patternFill patternType="solid">
        <fgColor rgb="FFD6E4F7"/>
      </patternFill>
    </fill>
    <fill>
      <patternFill patternType="solid">
        <fgColor rgb="FFE2EFDA"/>
      </patternFill>
    </fill>
    <fill>
      <patternFill patternType="solid">
        <fgColor rgb="FFFFE5E5"/>
      </patternFill>
    </fill>
    <fill>
      <patternFill patternType="solid">
        <fgColor rgb="FFD6EAF8"/>
      </patternFill>
    </fill>
    <fill>
      <patternFill patternType="solid">
        <fgColor rgb="FFD1F2EB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E8DAEF"/>
      </patternFill>
    </fill>
    <fill>
      <patternFill patternType="solid">
        <fgColor rgb="FFEEF4F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6BF"/>
        <bgColor indexed="64"/>
      </patternFill>
    </fill>
    <fill>
      <patternFill patternType="solid">
        <fgColor rgb="FF9CA4AE"/>
        <bgColor indexed="64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E5090"/>
      </patternFill>
    </fill>
    <fill>
      <patternFill patternType="solid">
        <fgColor rgb="FFEEF4FC"/>
      </patternFill>
    </fill>
    <fill>
      <patternFill patternType="solid">
        <fgColor rgb="FFFFF2CC"/>
      </patternFill>
    </fill>
    <fill>
      <patternFill patternType="solid">
        <fgColor rgb="FFD6E4F7"/>
      </patternFill>
    </fill>
    <fill>
      <patternFill patternType="solid">
        <fgColor rgb="FFD9F0F3"/>
      </patternFill>
    </fill>
    <fill>
      <patternFill patternType="solid">
        <fgColor rgb="FFFFFFFF"/>
      </patternFill>
    </fill>
    <fill>
      <patternFill patternType="solid">
        <fgColor rgb="FFE2EFDA"/>
      </patternFill>
    </fill>
  </fills>
  <borders count="3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ck">
        <color rgb="FFFFFFFF"/>
      </bottom>
      <diagonal/>
    </border>
    <border>
      <left style="medium">
        <color rgb="FF707070"/>
      </left>
      <right/>
      <top style="medium">
        <color rgb="FF707070"/>
      </top>
      <bottom style="thin">
        <color rgb="FF707070"/>
      </bottom>
      <diagonal/>
    </border>
    <border>
      <left style="medium">
        <color rgb="FF707070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707070"/>
      </left>
      <right/>
      <top style="thin">
        <color rgb="FFBFBFBF"/>
      </top>
      <bottom style="thin">
        <color rgb="FFBFBFBF"/>
      </bottom>
      <diagonal/>
    </border>
    <border>
      <left style="medium">
        <color rgb="FF707070"/>
      </left>
      <right/>
      <top style="thin">
        <color rgb="FF707070"/>
      </top>
      <bottom style="medium">
        <color rgb="FF707070"/>
      </bottom>
      <diagonal/>
    </border>
    <border>
      <left/>
      <right/>
      <top style="medium">
        <color rgb="FF707070"/>
      </top>
      <bottom style="thin">
        <color rgb="FF707070"/>
      </bottom>
      <diagonal/>
    </border>
    <border>
      <left style="medium">
        <color rgb="FF707070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707070"/>
      </top>
      <bottom style="medium">
        <color rgb="FF70707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0">
    <xf numFmtId="0" fontId="0" fillId="0" borderId="16"/>
    <xf numFmtId="44" fontId="65" fillId="0" borderId="16"/>
    <xf numFmtId="0" fontId="70" fillId="0" borderId="16"/>
    <xf numFmtId="9" fontId="1" fillId="0" borderId="16"/>
    <xf numFmtId="44" fontId="1" fillId="0" borderId="16"/>
    <xf numFmtId="44" fontId="70" fillId="0" borderId="16"/>
    <xf numFmtId="0" fontId="1" fillId="0" borderId="16"/>
    <xf numFmtId="0" fontId="70" fillId="0" borderId="16"/>
    <xf numFmtId="9" fontId="70" fillId="0" borderId="16"/>
    <xf numFmtId="0" fontId="69" fillId="0" borderId="16"/>
  </cellStyleXfs>
  <cellXfs count="723">
    <xf numFmtId="0" fontId="0" fillId="0" borderId="0" xfId="0" applyBorder="1"/>
    <xf numFmtId="0" fontId="4" fillId="3" borderId="2" xfId="0" applyFont="1" applyFill="1" applyBorder="1" applyAlignment="1">
      <alignment horizontal="center" vertical="center" wrapText="1"/>
    </xf>
    <xf numFmtId="14" fontId="8" fillId="6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0" fontId="9" fillId="4" borderId="2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0" fontId="0" fillId="5" borderId="2" xfId="0" applyFill="1" applyBorder="1"/>
    <xf numFmtId="0" fontId="0" fillId="7" borderId="2" xfId="0" applyFill="1" applyBorder="1"/>
    <xf numFmtId="0" fontId="4" fillId="8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165" fontId="8" fillId="4" borderId="2" xfId="0" applyNumberFormat="1" applyFont="1" applyFill="1" applyBorder="1" applyAlignment="1">
      <alignment horizontal="center" vertical="center"/>
    </xf>
    <xf numFmtId="14" fontId="8" fillId="4" borderId="2" xfId="0" applyNumberFormat="1" applyFont="1" applyFill="1" applyBorder="1" applyAlignment="1">
      <alignment horizontal="center" vertical="center"/>
    </xf>
    <xf numFmtId="166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165" fontId="8" fillId="5" borderId="2" xfId="0" applyNumberFormat="1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>
      <alignment horizontal="center" vertical="center"/>
    </xf>
    <xf numFmtId="166" fontId="8" fillId="5" borderId="2" xfId="0" applyNumberFormat="1" applyFont="1" applyFill="1" applyBorder="1" applyAlignment="1">
      <alignment horizontal="center" vertical="center"/>
    </xf>
    <xf numFmtId="167" fontId="8" fillId="5" borderId="2" xfId="0" applyNumberFormat="1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165" fontId="8" fillId="9" borderId="2" xfId="0" applyNumberFormat="1" applyFont="1" applyFill="1" applyBorder="1" applyAlignment="1">
      <alignment horizontal="center" vertical="center"/>
    </xf>
    <xf numFmtId="14" fontId="8" fillId="9" borderId="2" xfId="0" applyNumberFormat="1" applyFont="1" applyFill="1" applyBorder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165" fontId="12" fillId="10" borderId="2" xfId="0" applyNumberFormat="1" applyFont="1" applyFill="1" applyBorder="1" applyAlignment="1">
      <alignment horizontal="center" vertical="center"/>
    </xf>
    <xf numFmtId="14" fontId="12" fillId="10" borderId="2" xfId="0" applyNumberFormat="1" applyFont="1" applyFill="1" applyBorder="1" applyAlignment="1">
      <alignment horizontal="center" vertical="center"/>
    </xf>
    <xf numFmtId="166" fontId="12" fillId="10" borderId="2" xfId="0" applyNumberFormat="1" applyFont="1" applyFill="1" applyBorder="1" applyAlignment="1">
      <alignment horizontal="center" vertical="center"/>
    </xf>
    <xf numFmtId="166" fontId="8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65" fontId="13" fillId="10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5" fontId="4" fillId="2" borderId="2" xfId="0" applyNumberFormat="1" applyFont="1" applyFill="1" applyBorder="1" applyAlignment="1">
      <alignment horizontal="center" vertical="center"/>
    </xf>
    <xf numFmtId="166" fontId="4" fillId="2" borderId="2" xfId="0" applyNumberFormat="1" applyFont="1" applyFill="1" applyBorder="1" applyAlignment="1">
      <alignment horizontal="center" vertical="center"/>
    </xf>
    <xf numFmtId="168" fontId="4" fillId="2" borderId="2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0" fontId="0" fillId="10" borderId="2" xfId="0" applyFill="1" applyBorder="1"/>
    <xf numFmtId="0" fontId="9" fillId="0" borderId="0" xfId="0" applyFont="1" applyBorder="1"/>
    <xf numFmtId="0" fontId="0" fillId="9" borderId="2" xfId="0" applyFill="1" applyBorder="1"/>
    <xf numFmtId="0" fontId="0" fillId="4" borderId="2" xfId="0" applyFill="1" applyBorder="1"/>
    <xf numFmtId="0" fontId="18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17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65" fontId="9" fillId="5" borderId="2" xfId="0" applyNumberFormat="1" applyFont="1" applyFill="1" applyBorder="1" applyAlignment="1">
      <alignment horizontal="center" vertical="center"/>
    </xf>
    <xf numFmtId="166" fontId="9" fillId="5" borderId="2" xfId="0" applyNumberFormat="1" applyFont="1" applyFill="1" applyBorder="1" applyAlignment="1">
      <alignment horizontal="center" vertical="center"/>
    </xf>
    <xf numFmtId="167" fontId="9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/>
    <xf numFmtId="0" fontId="8" fillId="9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4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14" fontId="8" fillId="10" borderId="2" xfId="0" applyNumberFormat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14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0" fontId="9" fillId="19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9" fontId="9" fillId="4" borderId="2" xfId="0" applyNumberFormat="1" applyFont="1" applyFill="1" applyBorder="1" applyAlignment="1">
      <alignment horizontal="center" vertical="center"/>
    </xf>
    <xf numFmtId="14" fontId="9" fillId="5" borderId="2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center" vertical="center"/>
    </xf>
    <xf numFmtId="0" fontId="30" fillId="4" borderId="2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9" fontId="8" fillId="4" borderId="2" xfId="0" applyNumberFormat="1" applyFont="1" applyFill="1" applyBorder="1" applyAlignment="1">
      <alignment horizontal="center" vertical="center"/>
    </xf>
    <xf numFmtId="9" fontId="8" fillId="5" borderId="2" xfId="0" applyNumberFormat="1" applyFont="1" applyFill="1" applyBorder="1" applyAlignment="1">
      <alignment horizontal="center" vertical="center"/>
    </xf>
    <xf numFmtId="166" fontId="8" fillId="2" borderId="2" xfId="0" applyNumberFormat="1" applyFont="1" applyFill="1" applyBorder="1" applyAlignment="1">
      <alignment horizontal="center" vertical="center"/>
    </xf>
    <xf numFmtId="166" fontId="18" fillId="2" borderId="2" xfId="0" applyNumberFormat="1" applyFont="1" applyFill="1" applyBorder="1" applyAlignment="1">
      <alignment horizontal="center" vertical="center"/>
    </xf>
    <xf numFmtId="167" fontId="18" fillId="2" borderId="2" xfId="0" applyNumberFormat="1" applyFont="1" applyFill="1" applyBorder="1" applyAlignment="1">
      <alignment horizontal="center" vertical="center"/>
    </xf>
    <xf numFmtId="0" fontId="0" fillId="13" borderId="2" xfId="0" applyFill="1" applyBorder="1"/>
    <xf numFmtId="0" fontId="24" fillId="0" borderId="0" xfId="0" applyFont="1" applyBorder="1"/>
    <xf numFmtId="0" fontId="0" fillId="12" borderId="2" xfId="0" applyFill="1" applyBorder="1"/>
    <xf numFmtId="0" fontId="22" fillId="0" borderId="0" xfId="0" applyFont="1" applyBorder="1"/>
    <xf numFmtId="0" fontId="0" fillId="3" borderId="2" xfId="0" applyFill="1" applyBorder="1"/>
    <xf numFmtId="0" fontId="21" fillId="0" borderId="0" xfId="0" applyFont="1" applyBorder="1"/>
    <xf numFmtId="0" fontId="0" fillId="7" borderId="0" xfId="0" applyFill="1" applyBorder="1"/>
    <xf numFmtId="0" fontId="0" fillId="14" borderId="2" xfId="0" applyFill="1" applyBorder="1"/>
    <xf numFmtId="0" fontId="0" fillId="11" borderId="2" xfId="0" applyFill="1" applyBorder="1"/>
    <xf numFmtId="0" fontId="0" fillId="15" borderId="2" xfId="0" applyFill="1" applyBorder="1"/>
    <xf numFmtId="0" fontId="0" fillId="22" borderId="2" xfId="0" applyFill="1" applyBorder="1"/>
    <xf numFmtId="0" fontId="0" fillId="17" borderId="2" xfId="0" applyFill="1" applyBorder="1"/>
    <xf numFmtId="0" fontId="31" fillId="0" borderId="0" xfId="0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 wrapText="1"/>
    </xf>
    <xf numFmtId="0" fontId="33" fillId="0" borderId="0" xfId="0" applyFont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 wrapText="1"/>
    </xf>
    <xf numFmtId="0" fontId="35" fillId="0" borderId="0" xfId="0" applyFont="1" applyBorder="1" applyAlignment="1">
      <alignment horizontal="center" vertical="center" wrapText="1"/>
    </xf>
    <xf numFmtId="0" fontId="36" fillId="0" borderId="0" xfId="0" applyFont="1" applyBorder="1" applyAlignment="1">
      <alignment horizontal="center" vertical="center" wrapText="1"/>
    </xf>
    <xf numFmtId="0" fontId="37" fillId="0" borderId="0" xfId="0" applyFont="1" applyBorder="1" applyAlignment="1">
      <alignment horizontal="center" vertical="center" wrapText="1"/>
    </xf>
    <xf numFmtId="0" fontId="38" fillId="0" borderId="0" xfId="0" applyFont="1" applyBorder="1" applyAlignment="1">
      <alignment horizontal="center" vertical="center" wrapText="1"/>
    </xf>
    <xf numFmtId="166" fontId="8" fillId="6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0" fillId="6" borderId="2" xfId="0" applyFill="1" applyBorder="1"/>
    <xf numFmtId="0" fontId="14" fillId="4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/>
    </xf>
    <xf numFmtId="0" fontId="14" fillId="5" borderId="2" xfId="0" applyFont="1" applyFill="1" applyBorder="1" applyAlignment="1">
      <alignment horizontal="center" vertical="center"/>
    </xf>
    <xf numFmtId="165" fontId="0" fillId="5" borderId="2" xfId="0" applyNumberFormat="1" applyFill="1" applyBorder="1"/>
    <xf numFmtId="0" fontId="18" fillId="3" borderId="2" xfId="0" applyFont="1" applyFill="1" applyBorder="1" applyAlignment="1">
      <alignment horizontal="left" vertical="center"/>
    </xf>
    <xf numFmtId="0" fontId="0" fillId="2" borderId="0" xfId="0" applyFill="1" applyBorder="1"/>
    <xf numFmtId="166" fontId="8" fillId="4" borderId="13" xfId="0" applyNumberFormat="1" applyFont="1" applyFill="1" applyBorder="1" applyAlignment="1">
      <alignment horizontal="center" vertical="center"/>
    </xf>
    <xf numFmtId="167" fontId="8" fillId="4" borderId="13" xfId="0" applyNumberFormat="1" applyFont="1" applyFill="1" applyBorder="1" applyAlignment="1">
      <alignment horizontal="center" vertical="center"/>
    </xf>
    <xf numFmtId="2" fontId="8" fillId="4" borderId="13" xfId="0" applyNumberFormat="1" applyFont="1" applyFill="1" applyBorder="1" applyAlignment="1">
      <alignment horizontal="center" vertical="center"/>
    </xf>
    <xf numFmtId="165" fontId="8" fillId="4" borderId="13" xfId="0" applyNumberFormat="1" applyFont="1" applyFill="1" applyBorder="1" applyAlignment="1">
      <alignment horizontal="center" vertical="center"/>
    </xf>
    <xf numFmtId="166" fontId="8" fillId="5" borderId="13" xfId="0" applyNumberFormat="1" applyFont="1" applyFill="1" applyBorder="1" applyAlignment="1">
      <alignment horizontal="center" vertical="center"/>
    </xf>
    <xf numFmtId="167" fontId="8" fillId="5" borderId="13" xfId="0" applyNumberFormat="1" applyFont="1" applyFill="1" applyBorder="1" applyAlignment="1">
      <alignment horizontal="center" vertical="center"/>
    </xf>
    <xf numFmtId="2" fontId="8" fillId="5" borderId="13" xfId="0" applyNumberFormat="1" applyFont="1" applyFill="1" applyBorder="1" applyAlignment="1">
      <alignment horizontal="center" vertical="center"/>
    </xf>
    <xf numFmtId="165" fontId="8" fillId="5" borderId="13" xfId="0" applyNumberFormat="1" applyFont="1" applyFill="1" applyBorder="1" applyAlignment="1">
      <alignment horizontal="center" vertical="center"/>
    </xf>
    <xf numFmtId="166" fontId="8" fillId="9" borderId="13" xfId="0" applyNumberFormat="1" applyFont="1" applyFill="1" applyBorder="1" applyAlignment="1">
      <alignment horizontal="center" vertical="center"/>
    </xf>
    <xf numFmtId="167" fontId="8" fillId="9" borderId="13" xfId="0" applyNumberFormat="1" applyFont="1" applyFill="1" applyBorder="1" applyAlignment="1">
      <alignment horizontal="center" vertical="center"/>
    </xf>
    <xf numFmtId="2" fontId="8" fillId="9" borderId="13" xfId="0" applyNumberFormat="1" applyFont="1" applyFill="1" applyBorder="1" applyAlignment="1">
      <alignment horizontal="center" vertical="center"/>
    </xf>
    <xf numFmtId="165" fontId="8" fillId="9" borderId="13" xfId="0" applyNumberFormat="1" applyFont="1" applyFill="1" applyBorder="1" applyAlignment="1">
      <alignment horizontal="center" vertical="center"/>
    </xf>
    <xf numFmtId="166" fontId="8" fillId="10" borderId="13" xfId="0" applyNumberFormat="1" applyFont="1" applyFill="1" applyBorder="1" applyAlignment="1">
      <alignment horizontal="center" vertical="center"/>
    </xf>
    <xf numFmtId="167" fontId="8" fillId="10" borderId="13" xfId="0" applyNumberFormat="1" applyFont="1" applyFill="1" applyBorder="1" applyAlignment="1">
      <alignment horizontal="center" vertical="center"/>
    </xf>
    <xf numFmtId="2" fontId="8" fillId="10" borderId="13" xfId="0" applyNumberFormat="1" applyFont="1" applyFill="1" applyBorder="1" applyAlignment="1">
      <alignment horizontal="center" vertical="center"/>
    </xf>
    <xf numFmtId="165" fontId="8" fillId="10" borderId="13" xfId="0" applyNumberFormat="1" applyFont="1" applyFill="1" applyBorder="1" applyAlignment="1">
      <alignment horizontal="center" vertical="center"/>
    </xf>
    <xf numFmtId="0" fontId="58" fillId="44" borderId="13" xfId="0" applyFont="1" applyFill="1" applyBorder="1" applyAlignment="1">
      <alignment horizontal="center" vertical="center"/>
    </xf>
    <xf numFmtId="165" fontId="58" fillId="44" borderId="13" xfId="0" applyNumberFormat="1" applyFont="1" applyFill="1" applyBorder="1" applyAlignment="1">
      <alignment horizontal="center" vertical="center"/>
    </xf>
    <xf numFmtId="166" fontId="58" fillId="44" borderId="13" xfId="0" applyNumberFormat="1" applyFont="1" applyFill="1" applyBorder="1" applyAlignment="1">
      <alignment horizontal="center" vertical="center"/>
    </xf>
    <xf numFmtId="167" fontId="58" fillId="44" borderId="13" xfId="0" applyNumberFormat="1" applyFont="1" applyFill="1" applyBorder="1" applyAlignment="1">
      <alignment horizontal="center" vertical="center"/>
    </xf>
    <xf numFmtId="0" fontId="58" fillId="45" borderId="13" xfId="0" applyFont="1" applyFill="1" applyBorder="1" applyAlignment="1">
      <alignment horizontal="center" vertical="center"/>
    </xf>
    <xf numFmtId="165" fontId="58" fillId="45" borderId="13" xfId="0" applyNumberFormat="1" applyFont="1" applyFill="1" applyBorder="1" applyAlignment="1">
      <alignment horizontal="center" vertical="center"/>
    </xf>
    <xf numFmtId="166" fontId="58" fillId="45" borderId="13" xfId="0" applyNumberFormat="1" applyFont="1" applyFill="1" applyBorder="1" applyAlignment="1">
      <alignment horizontal="center" vertical="center"/>
    </xf>
    <xf numFmtId="167" fontId="58" fillId="45" borderId="13" xfId="0" applyNumberFormat="1" applyFont="1" applyFill="1" applyBorder="1" applyAlignment="1">
      <alignment horizontal="center" vertical="center"/>
    </xf>
    <xf numFmtId="0" fontId="58" fillId="46" borderId="13" xfId="0" applyFont="1" applyFill="1" applyBorder="1" applyAlignment="1">
      <alignment horizontal="center" vertical="center"/>
    </xf>
    <xf numFmtId="165" fontId="58" fillId="46" borderId="13" xfId="0" applyNumberFormat="1" applyFont="1" applyFill="1" applyBorder="1" applyAlignment="1">
      <alignment horizontal="center" vertical="center"/>
    </xf>
    <xf numFmtId="166" fontId="58" fillId="46" borderId="13" xfId="0" applyNumberFormat="1" applyFont="1" applyFill="1" applyBorder="1" applyAlignment="1">
      <alignment horizontal="center" vertical="center"/>
    </xf>
    <xf numFmtId="167" fontId="58" fillId="46" borderId="13" xfId="0" applyNumberFormat="1" applyFont="1" applyFill="1" applyBorder="1" applyAlignment="1">
      <alignment horizontal="center" vertical="center"/>
    </xf>
    <xf numFmtId="0" fontId="58" fillId="47" borderId="13" xfId="0" applyFont="1" applyFill="1" applyBorder="1" applyAlignment="1">
      <alignment horizontal="center" vertical="center"/>
    </xf>
    <xf numFmtId="165" fontId="58" fillId="47" borderId="13" xfId="0" applyNumberFormat="1" applyFont="1" applyFill="1" applyBorder="1" applyAlignment="1">
      <alignment horizontal="center" vertical="center"/>
    </xf>
    <xf numFmtId="166" fontId="58" fillId="47" borderId="13" xfId="0" applyNumberFormat="1" applyFont="1" applyFill="1" applyBorder="1" applyAlignment="1">
      <alignment horizontal="center" vertical="center"/>
    </xf>
    <xf numFmtId="167" fontId="58" fillId="47" borderId="13" xfId="0" applyNumberFormat="1" applyFont="1" applyFill="1" applyBorder="1" applyAlignment="1">
      <alignment horizontal="center" vertical="center"/>
    </xf>
    <xf numFmtId="0" fontId="58" fillId="48" borderId="13" xfId="0" applyFont="1" applyFill="1" applyBorder="1" applyAlignment="1">
      <alignment horizontal="center" vertical="center"/>
    </xf>
    <xf numFmtId="165" fontId="58" fillId="48" borderId="13" xfId="0" applyNumberFormat="1" applyFont="1" applyFill="1" applyBorder="1" applyAlignment="1">
      <alignment horizontal="center" vertical="center"/>
    </xf>
    <xf numFmtId="166" fontId="58" fillId="48" borderId="13" xfId="0" applyNumberFormat="1" applyFont="1" applyFill="1" applyBorder="1" applyAlignment="1">
      <alignment horizontal="center" vertical="center"/>
    </xf>
    <xf numFmtId="167" fontId="58" fillId="48" borderId="13" xfId="0" applyNumberFormat="1" applyFont="1" applyFill="1" applyBorder="1" applyAlignment="1">
      <alignment horizontal="center" vertical="center"/>
    </xf>
    <xf numFmtId="0" fontId="58" fillId="49" borderId="13" xfId="0" applyFont="1" applyFill="1" applyBorder="1" applyAlignment="1">
      <alignment horizontal="center" vertical="center"/>
    </xf>
    <xf numFmtId="165" fontId="58" fillId="49" borderId="13" xfId="0" applyNumberFormat="1" applyFont="1" applyFill="1" applyBorder="1" applyAlignment="1">
      <alignment horizontal="center" vertical="center"/>
    </xf>
    <xf numFmtId="166" fontId="58" fillId="49" borderId="13" xfId="0" applyNumberFormat="1" applyFont="1" applyFill="1" applyBorder="1" applyAlignment="1">
      <alignment horizontal="center" vertical="center"/>
    </xf>
    <xf numFmtId="167" fontId="58" fillId="49" borderId="13" xfId="0" applyNumberFormat="1" applyFont="1" applyFill="1" applyBorder="1" applyAlignment="1">
      <alignment horizontal="center" vertical="center"/>
    </xf>
    <xf numFmtId="166" fontId="57" fillId="2" borderId="2" xfId="0" applyNumberFormat="1" applyFont="1" applyFill="1" applyBorder="1" applyAlignment="1">
      <alignment horizontal="center" vertical="center"/>
    </xf>
    <xf numFmtId="167" fontId="57" fillId="2" borderId="2" xfId="0" applyNumberFormat="1" applyFont="1" applyFill="1" applyBorder="1" applyAlignment="1">
      <alignment horizontal="center" vertical="center"/>
    </xf>
    <xf numFmtId="0" fontId="47" fillId="36" borderId="13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/>
    </xf>
    <xf numFmtId="0" fontId="49" fillId="37" borderId="13" xfId="0" applyFont="1" applyFill="1" applyBorder="1" applyAlignment="1">
      <alignment horizontal="left" vertical="center"/>
    </xf>
    <xf numFmtId="165" fontId="48" fillId="37" borderId="13" xfId="0" applyNumberFormat="1" applyFont="1" applyFill="1" applyBorder="1" applyAlignment="1">
      <alignment horizontal="center" vertical="center"/>
    </xf>
    <xf numFmtId="14" fontId="48" fillId="37" borderId="13" xfId="0" applyNumberFormat="1" applyFont="1" applyFill="1" applyBorder="1" applyAlignment="1">
      <alignment horizontal="center" vertical="center"/>
    </xf>
    <xf numFmtId="169" fontId="48" fillId="37" borderId="13" xfId="0" applyNumberFormat="1" applyFont="1" applyFill="1" applyBorder="1" applyAlignment="1">
      <alignment horizontal="center" vertical="center"/>
    </xf>
    <xf numFmtId="2" fontId="48" fillId="37" borderId="13" xfId="0" applyNumberFormat="1" applyFont="1" applyFill="1" applyBorder="1" applyAlignment="1">
      <alignment horizontal="center" vertical="center"/>
    </xf>
    <xf numFmtId="166" fontId="48" fillId="37" borderId="13" xfId="0" applyNumberFormat="1" applyFont="1" applyFill="1" applyBorder="1" applyAlignment="1">
      <alignment horizontal="center" vertical="center"/>
    </xf>
    <xf numFmtId="0" fontId="50" fillId="37" borderId="13" xfId="0" applyFont="1" applyFill="1" applyBorder="1" applyAlignment="1">
      <alignment horizontal="center" vertical="center"/>
    </xf>
    <xf numFmtId="0" fontId="48" fillId="37" borderId="13" xfId="0" applyFont="1" applyFill="1" applyBorder="1" applyAlignment="1">
      <alignment horizontal="left" vertical="center"/>
    </xf>
    <xf numFmtId="0" fontId="48" fillId="38" borderId="13" xfId="0" applyFont="1" applyFill="1" applyBorder="1" applyAlignment="1">
      <alignment horizontal="center" vertical="center"/>
    </xf>
    <xf numFmtId="0" fontId="49" fillId="38" borderId="13" xfId="0" applyFont="1" applyFill="1" applyBorder="1" applyAlignment="1">
      <alignment horizontal="left" vertical="center"/>
    </xf>
    <xf numFmtId="165" fontId="48" fillId="38" borderId="13" xfId="0" applyNumberFormat="1" applyFont="1" applyFill="1" applyBorder="1" applyAlignment="1">
      <alignment horizontal="center" vertical="center"/>
    </xf>
    <xf numFmtId="14" fontId="48" fillId="38" borderId="13" xfId="0" applyNumberFormat="1" applyFont="1" applyFill="1" applyBorder="1" applyAlignment="1">
      <alignment horizontal="center" vertical="center"/>
    </xf>
    <xf numFmtId="169" fontId="48" fillId="38" borderId="13" xfId="0" applyNumberFormat="1" applyFont="1" applyFill="1" applyBorder="1" applyAlignment="1">
      <alignment horizontal="center" vertical="center"/>
    </xf>
    <xf numFmtId="2" fontId="48" fillId="38" borderId="13" xfId="0" applyNumberFormat="1" applyFont="1" applyFill="1" applyBorder="1" applyAlignment="1">
      <alignment horizontal="center" vertical="center"/>
    </xf>
    <xf numFmtId="166" fontId="48" fillId="38" borderId="13" xfId="0" applyNumberFormat="1" applyFont="1" applyFill="1" applyBorder="1" applyAlignment="1">
      <alignment horizontal="center" vertical="center"/>
    </xf>
    <xf numFmtId="0" fontId="51" fillId="38" borderId="13" xfId="0" applyFont="1" applyFill="1" applyBorder="1" applyAlignment="1">
      <alignment horizontal="center" vertical="center"/>
    </xf>
    <xf numFmtId="0" fontId="48" fillId="38" borderId="13" xfId="0" applyFont="1" applyFill="1" applyBorder="1" applyAlignment="1">
      <alignment horizontal="left" vertical="center"/>
    </xf>
    <xf numFmtId="0" fontId="48" fillId="39" borderId="13" xfId="0" applyFont="1" applyFill="1" applyBorder="1" applyAlignment="1">
      <alignment horizontal="center" vertical="center"/>
    </xf>
    <xf numFmtId="0" fontId="49" fillId="39" borderId="13" xfId="0" applyFont="1" applyFill="1" applyBorder="1" applyAlignment="1">
      <alignment horizontal="left" vertical="center"/>
    </xf>
    <xf numFmtId="165" fontId="48" fillId="39" borderId="13" xfId="0" applyNumberFormat="1" applyFont="1" applyFill="1" applyBorder="1" applyAlignment="1">
      <alignment horizontal="center" vertical="center"/>
    </xf>
    <xf numFmtId="14" fontId="48" fillId="39" borderId="13" xfId="0" applyNumberFormat="1" applyFont="1" applyFill="1" applyBorder="1" applyAlignment="1">
      <alignment horizontal="center" vertical="center"/>
    </xf>
    <xf numFmtId="169" fontId="48" fillId="39" borderId="13" xfId="0" applyNumberFormat="1" applyFont="1" applyFill="1" applyBorder="1" applyAlignment="1">
      <alignment horizontal="center" vertical="center"/>
    </xf>
    <xf numFmtId="2" fontId="48" fillId="39" borderId="13" xfId="0" applyNumberFormat="1" applyFont="1" applyFill="1" applyBorder="1" applyAlignment="1">
      <alignment horizontal="center" vertical="center"/>
    </xf>
    <xf numFmtId="166" fontId="48" fillId="39" borderId="13" xfId="0" applyNumberFormat="1" applyFont="1" applyFill="1" applyBorder="1" applyAlignment="1">
      <alignment horizontal="center" vertical="center"/>
    </xf>
    <xf numFmtId="0" fontId="52" fillId="39" borderId="13" xfId="0" applyFont="1" applyFill="1" applyBorder="1" applyAlignment="1">
      <alignment horizontal="center" vertical="center"/>
    </xf>
    <xf numFmtId="0" fontId="48" fillId="39" borderId="13" xfId="0" applyFont="1" applyFill="1" applyBorder="1" applyAlignment="1">
      <alignment horizontal="left" vertical="center"/>
    </xf>
    <xf numFmtId="0" fontId="48" fillId="40" borderId="13" xfId="0" applyFont="1" applyFill="1" applyBorder="1" applyAlignment="1">
      <alignment horizontal="center" vertical="center"/>
    </xf>
    <xf numFmtId="0" fontId="49" fillId="40" borderId="13" xfId="0" applyFont="1" applyFill="1" applyBorder="1" applyAlignment="1">
      <alignment horizontal="left" vertical="center"/>
    </xf>
    <xf numFmtId="165" fontId="48" fillId="40" borderId="13" xfId="0" applyNumberFormat="1" applyFont="1" applyFill="1" applyBorder="1" applyAlignment="1">
      <alignment horizontal="center" vertical="center"/>
    </xf>
    <xf numFmtId="14" fontId="48" fillId="40" borderId="13" xfId="0" applyNumberFormat="1" applyFont="1" applyFill="1" applyBorder="1" applyAlignment="1">
      <alignment horizontal="center" vertical="center"/>
    </xf>
    <xf numFmtId="169" fontId="48" fillId="40" borderId="13" xfId="0" applyNumberFormat="1" applyFont="1" applyFill="1" applyBorder="1" applyAlignment="1">
      <alignment horizontal="center" vertical="center"/>
    </xf>
    <xf numFmtId="2" fontId="48" fillId="40" borderId="13" xfId="0" applyNumberFormat="1" applyFont="1" applyFill="1" applyBorder="1" applyAlignment="1">
      <alignment horizontal="center" vertical="center"/>
    </xf>
    <xf numFmtId="166" fontId="48" fillId="40" borderId="13" xfId="0" applyNumberFormat="1" applyFont="1" applyFill="1" applyBorder="1" applyAlignment="1">
      <alignment horizontal="center" vertical="center"/>
    </xf>
    <xf numFmtId="0" fontId="53" fillId="40" borderId="13" xfId="0" applyFont="1" applyFill="1" applyBorder="1" applyAlignment="1">
      <alignment horizontal="center" vertical="center"/>
    </xf>
    <xf numFmtId="0" fontId="48" fillId="40" borderId="13" xfId="0" applyFont="1" applyFill="1" applyBorder="1" applyAlignment="1">
      <alignment horizontal="left" vertical="center"/>
    </xf>
    <xf numFmtId="0" fontId="48" fillId="41" borderId="13" xfId="0" applyFont="1" applyFill="1" applyBorder="1" applyAlignment="1">
      <alignment horizontal="center" vertical="center"/>
    </xf>
    <xf numFmtId="0" fontId="49" fillId="41" borderId="13" xfId="0" applyFont="1" applyFill="1" applyBorder="1" applyAlignment="1">
      <alignment horizontal="left" vertical="center"/>
    </xf>
    <xf numFmtId="165" fontId="48" fillId="41" borderId="13" xfId="0" applyNumberFormat="1" applyFont="1" applyFill="1" applyBorder="1" applyAlignment="1">
      <alignment horizontal="center" vertical="center"/>
    </xf>
    <xf numFmtId="14" fontId="48" fillId="41" borderId="13" xfId="0" applyNumberFormat="1" applyFont="1" applyFill="1" applyBorder="1" applyAlignment="1">
      <alignment horizontal="center" vertical="center"/>
    </xf>
    <xf numFmtId="169" fontId="48" fillId="41" borderId="13" xfId="0" applyNumberFormat="1" applyFont="1" applyFill="1" applyBorder="1" applyAlignment="1">
      <alignment horizontal="center" vertical="center"/>
    </xf>
    <xf numFmtId="2" fontId="48" fillId="41" borderId="13" xfId="0" applyNumberFormat="1" applyFont="1" applyFill="1" applyBorder="1" applyAlignment="1">
      <alignment horizontal="center" vertical="center"/>
    </xf>
    <xf numFmtId="166" fontId="48" fillId="41" borderId="13" xfId="0" applyNumberFormat="1" applyFont="1" applyFill="1" applyBorder="1" applyAlignment="1">
      <alignment horizontal="center" vertical="center"/>
    </xf>
    <xf numFmtId="0" fontId="54" fillId="41" borderId="13" xfId="0" applyFont="1" applyFill="1" applyBorder="1" applyAlignment="1">
      <alignment horizontal="center" vertical="center"/>
    </xf>
    <xf numFmtId="0" fontId="48" fillId="41" borderId="13" xfId="0" applyFont="1" applyFill="1" applyBorder="1" applyAlignment="1">
      <alignment horizontal="left" vertical="center"/>
    </xf>
    <xf numFmtId="0" fontId="48" fillId="42" borderId="13" xfId="0" applyFont="1" applyFill="1" applyBorder="1" applyAlignment="1">
      <alignment horizontal="center" vertical="center"/>
    </xf>
    <xf numFmtId="0" fontId="49" fillId="42" borderId="13" xfId="0" applyFont="1" applyFill="1" applyBorder="1" applyAlignment="1">
      <alignment horizontal="left" vertical="center"/>
    </xf>
    <xf numFmtId="165" fontId="48" fillId="42" borderId="13" xfId="0" applyNumberFormat="1" applyFont="1" applyFill="1" applyBorder="1" applyAlignment="1">
      <alignment horizontal="center" vertical="center"/>
    </xf>
    <xf numFmtId="14" fontId="48" fillId="42" borderId="13" xfId="0" applyNumberFormat="1" applyFont="1" applyFill="1" applyBorder="1" applyAlignment="1">
      <alignment horizontal="center" vertical="center"/>
    </xf>
    <xf numFmtId="169" fontId="48" fillId="42" borderId="13" xfId="0" applyNumberFormat="1" applyFont="1" applyFill="1" applyBorder="1" applyAlignment="1">
      <alignment horizontal="center" vertical="center"/>
    </xf>
    <xf numFmtId="2" fontId="48" fillId="42" borderId="13" xfId="0" applyNumberFormat="1" applyFont="1" applyFill="1" applyBorder="1" applyAlignment="1">
      <alignment horizontal="center" vertical="center"/>
    </xf>
    <xf numFmtId="166" fontId="48" fillId="42" borderId="13" xfId="0" applyNumberFormat="1" applyFont="1" applyFill="1" applyBorder="1" applyAlignment="1">
      <alignment horizontal="center" vertical="center"/>
    </xf>
    <xf numFmtId="0" fontId="55" fillId="42" borderId="13" xfId="0" applyFont="1" applyFill="1" applyBorder="1" applyAlignment="1">
      <alignment horizontal="center" vertical="center"/>
    </xf>
    <xf numFmtId="0" fontId="48" fillId="42" borderId="13" xfId="0" applyFont="1" applyFill="1" applyBorder="1" applyAlignment="1">
      <alignment horizontal="left" vertical="center"/>
    </xf>
    <xf numFmtId="0" fontId="48" fillId="43" borderId="13" xfId="0" applyFont="1" applyFill="1" applyBorder="1" applyAlignment="1">
      <alignment horizontal="center" vertical="center"/>
    </xf>
    <xf numFmtId="0" fontId="49" fillId="43" borderId="13" xfId="0" applyFont="1" applyFill="1" applyBorder="1" applyAlignment="1">
      <alignment horizontal="left" vertical="center"/>
    </xf>
    <xf numFmtId="165" fontId="48" fillId="43" borderId="13" xfId="0" applyNumberFormat="1" applyFont="1" applyFill="1" applyBorder="1" applyAlignment="1">
      <alignment horizontal="center" vertical="center"/>
    </xf>
    <xf numFmtId="14" fontId="48" fillId="43" borderId="13" xfId="0" applyNumberFormat="1" applyFont="1" applyFill="1" applyBorder="1" applyAlignment="1">
      <alignment horizontal="center" vertical="center"/>
    </xf>
    <xf numFmtId="169" fontId="48" fillId="43" borderId="13" xfId="0" applyNumberFormat="1" applyFont="1" applyFill="1" applyBorder="1" applyAlignment="1">
      <alignment horizontal="center" vertical="center"/>
    </xf>
    <xf numFmtId="2" fontId="48" fillId="43" borderId="13" xfId="0" applyNumberFormat="1" applyFont="1" applyFill="1" applyBorder="1" applyAlignment="1">
      <alignment horizontal="center" vertical="center"/>
    </xf>
    <xf numFmtId="166" fontId="48" fillId="43" borderId="13" xfId="0" applyNumberFormat="1" applyFont="1" applyFill="1" applyBorder="1" applyAlignment="1">
      <alignment horizontal="center" vertical="center"/>
    </xf>
    <xf numFmtId="0" fontId="56" fillId="43" borderId="13" xfId="0" applyFont="1" applyFill="1" applyBorder="1" applyAlignment="1">
      <alignment horizontal="center" vertical="center"/>
    </xf>
    <xf numFmtId="0" fontId="48" fillId="43" borderId="13" xfId="0" applyFont="1" applyFill="1" applyBorder="1" applyAlignment="1">
      <alignment horizontal="left" vertical="center"/>
    </xf>
    <xf numFmtId="0" fontId="0" fillId="34" borderId="13" xfId="0" applyFill="1" applyBorder="1"/>
    <xf numFmtId="170" fontId="57" fillId="34" borderId="13" xfId="0" applyNumberFormat="1" applyFont="1" applyFill="1" applyBorder="1" applyAlignment="1">
      <alignment horizontal="center" vertical="center"/>
    </xf>
    <xf numFmtId="171" fontId="57" fillId="34" borderId="13" xfId="0" applyNumberFormat="1" applyFont="1" applyFill="1" applyBorder="1" applyAlignment="1">
      <alignment horizontal="center" vertical="center"/>
    </xf>
    <xf numFmtId="166" fontId="57" fillId="34" borderId="13" xfId="0" applyNumberFormat="1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28" fillId="10" borderId="13" xfId="0" applyFont="1" applyFill="1" applyBorder="1" applyAlignment="1">
      <alignment horizontal="left" vertical="center"/>
    </xf>
    <xf numFmtId="14" fontId="8" fillId="10" borderId="13" xfId="0" applyNumberFormat="1" applyFont="1" applyFill="1" applyBorder="1" applyAlignment="1">
      <alignment horizontal="center" vertical="center"/>
    </xf>
    <xf numFmtId="169" fontId="8" fillId="10" borderId="13" xfId="0" applyNumberFormat="1" applyFont="1" applyFill="1" applyBorder="1" applyAlignment="1">
      <alignment horizontal="center" vertical="center"/>
    </xf>
    <xf numFmtId="1" fontId="8" fillId="10" borderId="13" xfId="0" applyNumberFormat="1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left" vertical="center"/>
    </xf>
    <xf numFmtId="0" fontId="12" fillId="10" borderId="13" xfId="0" applyFont="1" applyFill="1" applyBorder="1" applyAlignment="1">
      <alignment horizontal="left" vertical="center"/>
    </xf>
    <xf numFmtId="0" fontId="8" fillId="9" borderId="13" xfId="0" applyFont="1" applyFill="1" applyBorder="1" applyAlignment="1">
      <alignment horizontal="center" vertical="center"/>
    </xf>
    <xf numFmtId="0" fontId="28" fillId="9" borderId="13" xfId="0" applyFont="1" applyFill="1" applyBorder="1" applyAlignment="1">
      <alignment horizontal="left" vertical="center"/>
    </xf>
    <xf numFmtId="14" fontId="8" fillId="9" borderId="13" xfId="0" applyNumberFormat="1" applyFont="1" applyFill="1" applyBorder="1" applyAlignment="1">
      <alignment horizontal="center" vertical="center"/>
    </xf>
    <xf numFmtId="169" fontId="8" fillId="9" borderId="13" xfId="0" applyNumberFormat="1" applyFont="1" applyFill="1" applyBorder="1" applyAlignment="1">
      <alignment horizontal="center" vertical="center"/>
    </xf>
    <xf numFmtId="1" fontId="8" fillId="9" borderId="13" xfId="0" applyNumberFormat="1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left" vertical="center"/>
    </xf>
    <xf numFmtId="0" fontId="8" fillId="5" borderId="13" xfId="0" applyFont="1" applyFill="1" applyBorder="1" applyAlignment="1">
      <alignment horizontal="center" vertical="center"/>
    </xf>
    <xf numFmtId="0" fontId="28" fillId="5" borderId="13" xfId="0" applyFont="1" applyFill="1" applyBorder="1" applyAlignment="1">
      <alignment horizontal="left" vertical="center"/>
    </xf>
    <xf numFmtId="14" fontId="8" fillId="5" borderId="13" xfId="0" applyNumberFormat="1" applyFont="1" applyFill="1" applyBorder="1" applyAlignment="1">
      <alignment horizontal="center" vertical="center"/>
    </xf>
    <xf numFmtId="169" fontId="8" fillId="5" borderId="13" xfId="0" applyNumberFormat="1" applyFont="1" applyFill="1" applyBorder="1" applyAlignment="1">
      <alignment horizontal="center" vertical="center"/>
    </xf>
    <xf numFmtId="1" fontId="8" fillId="5" borderId="13" xfId="0" applyNumberFormat="1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left" vertical="center"/>
    </xf>
    <xf numFmtId="0" fontId="8" fillId="4" borderId="13" xfId="0" applyFont="1" applyFill="1" applyBorder="1" applyAlignment="1">
      <alignment horizontal="center" vertical="center"/>
    </xf>
    <xf numFmtId="0" fontId="28" fillId="4" borderId="13" xfId="0" applyFont="1" applyFill="1" applyBorder="1" applyAlignment="1">
      <alignment horizontal="left" vertical="center"/>
    </xf>
    <xf numFmtId="14" fontId="8" fillId="4" borderId="13" xfId="0" applyNumberFormat="1" applyFont="1" applyFill="1" applyBorder="1" applyAlignment="1">
      <alignment horizontal="center" vertical="center"/>
    </xf>
    <xf numFmtId="169" fontId="8" fillId="4" borderId="13" xfId="0" applyNumberFormat="1" applyFont="1" applyFill="1" applyBorder="1" applyAlignment="1">
      <alignment horizontal="center" vertical="center"/>
    </xf>
    <xf numFmtId="1" fontId="8" fillId="4" borderId="13" xfId="0" applyNumberFormat="1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left" vertical="center"/>
    </xf>
    <xf numFmtId="0" fontId="13" fillId="10" borderId="13" xfId="0" applyFont="1" applyFill="1" applyBorder="1" applyAlignment="1">
      <alignment horizontal="center" vertical="center"/>
    </xf>
    <xf numFmtId="0" fontId="13" fillId="10" borderId="13" xfId="0" applyFont="1" applyFill="1" applyBorder="1" applyAlignment="1">
      <alignment horizontal="left" vertical="center"/>
    </xf>
    <xf numFmtId="0" fontId="20" fillId="7" borderId="13" xfId="0" applyFont="1" applyFill="1" applyBorder="1" applyAlignment="1">
      <alignment horizontal="center" vertical="center"/>
    </xf>
    <xf numFmtId="0" fontId="28" fillId="7" borderId="13" xfId="0" applyFont="1" applyFill="1" applyBorder="1" applyAlignment="1">
      <alignment horizontal="left" vertical="center"/>
    </xf>
    <xf numFmtId="165" fontId="8" fillId="7" borderId="13" xfId="0" applyNumberFormat="1" applyFont="1" applyFill="1" applyBorder="1" applyAlignment="1">
      <alignment horizontal="center" vertical="center"/>
    </xf>
    <xf numFmtId="14" fontId="8" fillId="7" borderId="13" xfId="0" applyNumberFormat="1" applyFont="1" applyFill="1" applyBorder="1" applyAlignment="1">
      <alignment horizontal="center" vertical="center"/>
    </xf>
    <xf numFmtId="2" fontId="8" fillId="7" borderId="13" xfId="0" applyNumberFormat="1" applyFont="1" applyFill="1" applyBorder="1" applyAlignment="1">
      <alignment horizontal="center" vertical="center"/>
    </xf>
    <xf numFmtId="166" fontId="8" fillId="7" borderId="13" xfId="0" applyNumberFormat="1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left" vertical="center"/>
    </xf>
    <xf numFmtId="0" fontId="8" fillId="20" borderId="13" xfId="0" applyFont="1" applyFill="1" applyBorder="1" applyAlignment="1">
      <alignment horizontal="center" vertical="center"/>
    </xf>
    <xf numFmtId="0" fontId="28" fillId="20" borderId="13" xfId="0" applyFont="1" applyFill="1" applyBorder="1" applyAlignment="1">
      <alignment horizontal="left" vertical="center"/>
    </xf>
    <xf numFmtId="165" fontId="8" fillId="20" borderId="13" xfId="0" applyNumberFormat="1" applyFont="1" applyFill="1" applyBorder="1" applyAlignment="1">
      <alignment horizontal="center" vertical="center"/>
    </xf>
    <xf numFmtId="14" fontId="8" fillId="20" borderId="13" xfId="0" applyNumberFormat="1" applyFont="1" applyFill="1" applyBorder="1" applyAlignment="1">
      <alignment horizontal="center" vertical="center"/>
    </xf>
    <xf numFmtId="2" fontId="8" fillId="20" borderId="13" xfId="0" applyNumberFormat="1" applyFont="1" applyFill="1" applyBorder="1" applyAlignment="1">
      <alignment horizontal="center" vertical="center"/>
    </xf>
    <xf numFmtId="166" fontId="8" fillId="20" borderId="13" xfId="0" applyNumberFormat="1" applyFont="1" applyFill="1" applyBorder="1" applyAlignment="1">
      <alignment horizontal="center" vertical="center"/>
    </xf>
    <xf numFmtId="0" fontId="8" fillId="20" borderId="13" xfId="0" applyFont="1" applyFill="1" applyBorder="1" applyAlignment="1">
      <alignment horizontal="left" vertical="center"/>
    </xf>
    <xf numFmtId="0" fontId="8" fillId="19" borderId="13" xfId="0" applyFont="1" applyFill="1" applyBorder="1" applyAlignment="1">
      <alignment horizontal="center" vertical="center"/>
    </xf>
    <xf numFmtId="0" fontId="28" fillId="19" borderId="13" xfId="0" applyFont="1" applyFill="1" applyBorder="1" applyAlignment="1">
      <alignment horizontal="left" vertical="center"/>
    </xf>
    <xf numFmtId="165" fontId="8" fillId="19" borderId="13" xfId="0" applyNumberFormat="1" applyFont="1" applyFill="1" applyBorder="1" applyAlignment="1">
      <alignment horizontal="center" vertical="center"/>
    </xf>
    <xf numFmtId="14" fontId="8" fillId="19" borderId="13" xfId="0" applyNumberFormat="1" applyFont="1" applyFill="1" applyBorder="1" applyAlignment="1">
      <alignment horizontal="center" vertical="center"/>
    </xf>
    <xf numFmtId="2" fontId="8" fillId="19" borderId="13" xfId="0" applyNumberFormat="1" applyFont="1" applyFill="1" applyBorder="1" applyAlignment="1">
      <alignment horizontal="center" vertical="center"/>
    </xf>
    <xf numFmtId="166" fontId="8" fillId="19" borderId="13" xfId="0" applyNumberFormat="1" applyFont="1" applyFill="1" applyBorder="1" applyAlignment="1">
      <alignment horizontal="center" vertical="center"/>
    </xf>
    <xf numFmtId="0" fontId="8" fillId="19" borderId="13" xfId="0" applyFont="1" applyFill="1" applyBorder="1" applyAlignment="1">
      <alignment horizontal="left" vertical="center"/>
    </xf>
    <xf numFmtId="0" fontId="8" fillId="18" borderId="13" xfId="0" applyFont="1" applyFill="1" applyBorder="1" applyAlignment="1">
      <alignment horizontal="center" vertical="center"/>
    </xf>
    <xf numFmtId="0" fontId="28" fillId="18" borderId="13" xfId="0" applyFont="1" applyFill="1" applyBorder="1" applyAlignment="1">
      <alignment horizontal="left" vertical="center"/>
    </xf>
    <xf numFmtId="165" fontId="8" fillId="18" borderId="13" xfId="0" applyNumberFormat="1" applyFont="1" applyFill="1" applyBorder="1" applyAlignment="1">
      <alignment horizontal="center" vertical="center"/>
    </xf>
    <xf numFmtId="14" fontId="8" fillId="18" borderId="13" xfId="0" applyNumberFormat="1" applyFont="1" applyFill="1" applyBorder="1" applyAlignment="1">
      <alignment horizontal="center" vertical="center"/>
    </xf>
    <xf numFmtId="2" fontId="8" fillId="18" borderId="13" xfId="0" applyNumberFormat="1" applyFont="1" applyFill="1" applyBorder="1" applyAlignment="1">
      <alignment horizontal="center" vertical="center"/>
    </xf>
    <xf numFmtId="166" fontId="8" fillId="18" borderId="13" xfId="0" applyNumberFormat="1" applyFont="1" applyFill="1" applyBorder="1" applyAlignment="1">
      <alignment horizontal="center" vertical="center"/>
    </xf>
    <xf numFmtId="0" fontId="8" fillId="18" borderId="13" xfId="0" applyFont="1" applyFill="1" applyBorder="1" applyAlignment="1">
      <alignment horizontal="left" vertical="center"/>
    </xf>
    <xf numFmtId="0" fontId="8" fillId="21" borderId="13" xfId="0" applyFont="1" applyFill="1" applyBorder="1" applyAlignment="1">
      <alignment horizontal="center" vertical="center"/>
    </xf>
    <xf numFmtId="0" fontId="28" fillId="21" borderId="13" xfId="0" applyFont="1" applyFill="1" applyBorder="1" applyAlignment="1">
      <alignment horizontal="left" vertical="center"/>
    </xf>
    <xf numFmtId="165" fontId="8" fillId="21" borderId="13" xfId="0" applyNumberFormat="1" applyFont="1" applyFill="1" applyBorder="1" applyAlignment="1">
      <alignment horizontal="center" vertical="center"/>
    </xf>
    <xf numFmtId="14" fontId="8" fillId="21" borderId="13" xfId="0" applyNumberFormat="1" applyFont="1" applyFill="1" applyBorder="1" applyAlignment="1">
      <alignment horizontal="center" vertical="center"/>
    </xf>
    <xf numFmtId="2" fontId="8" fillId="21" borderId="13" xfId="0" applyNumberFormat="1" applyFont="1" applyFill="1" applyBorder="1" applyAlignment="1">
      <alignment horizontal="center" vertical="center"/>
    </xf>
    <xf numFmtId="166" fontId="8" fillId="21" borderId="13" xfId="0" applyNumberFormat="1" applyFont="1" applyFill="1" applyBorder="1" applyAlignment="1">
      <alignment horizontal="center" vertical="center"/>
    </xf>
    <xf numFmtId="0" fontId="8" fillId="21" borderId="13" xfId="0" applyFont="1" applyFill="1" applyBorder="1" applyAlignment="1">
      <alignment horizontal="left" vertical="center"/>
    </xf>
    <xf numFmtId="0" fontId="60" fillId="43" borderId="13" xfId="0" applyFont="1" applyFill="1" applyBorder="1" applyAlignment="1">
      <alignment horizontal="center" vertical="center"/>
    </xf>
    <xf numFmtId="0" fontId="58" fillId="52" borderId="16" xfId="0" applyFont="1" applyFill="1"/>
    <xf numFmtId="14" fontId="48" fillId="53" borderId="13" xfId="0" applyNumberFormat="1" applyFont="1" applyFill="1" applyBorder="1" applyAlignment="1">
      <alignment horizontal="center" vertical="center"/>
    </xf>
    <xf numFmtId="0" fontId="58" fillId="52" borderId="16" xfId="0" applyFont="1" applyFill="1" applyAlignment="1">
      <alignment horizontal="left" vertical="center"/>
    </xf>
    <xf numFmtId="0" fontId="58" fillId="4" borderId="13" xfId="0" applyFont="1" applyFill="1" applyBorder="1" applyAlignment="1">
      <alignment horizontal="center" vertical="center"/>
    </xf>
    <xf numFmtId="0" fontId="58" fillId="5" borderId="13" xfId="0" applyFont="1" applyFill="1" applyBorder="1" applyAlignment="1">
      <alignment horizontal="center" vertical="center"/>
    </xf>
    <xf numFmtId="165" fontId="57" fillId="34" borderId="13" xfId="0" applyNumberFormat="1" applyFont="1" applyFill="1" applyBorder="1" applyAlignment="1">
      <alignment horizontal="center" vertical="center"/>
    </xf>
    <xf numFmtId="0" fontId="57" fillId="36" borderId="13" xfId="0" applyFont="1" applyFill="1" applyBorder="1" applyAlignment="1">
      <alignment horizontal="left" vertical="center"/>
    </xf>
    <xf numFmtId="14" fontId="53" fillId="41" borderId="13" xfId="0" applyNumberFormat="1" applyFont="1" applyFill="1" applyBorder="1" applyAlignment="1">
      <alignment horizontal="center" vertical="center"/>
    </xf>
    <xf numFmtId="165" fontId="53" fillId="41" borderId="13" xfId="0" applyNumberFormat="1" applyFont="1" applyFill="1" applyBorder="1" applyAlignment="1">
      <alignment horizontal="center" vertical="center"/>
    </xf>
    <xf numFmtId="10" fontId="53" fillId="41" borderId="13" xfId="0" applyNumberFormat="1" applyFont="1" applyFill="1" applyBorder="1" applyAlignment="1">
      <alignment horizontal="center" vertical="center"/>
    </xf>
    <xf numFmtId="166" fontId="53" fillId="41" borderId="13" xfId="0" applyNumberFormat="1" applyFont="1" applyFill="1" applyBorder="1" applyAlignment="1">
      <alignment horizontal="center" vertical="center"/>
    </xf>
    <xf numFmtId="167" fontId="53" fillId="41" borderId="13" xfId="0" applyNumberFormat="1" applyFont="1" applyFill="1" applyBorder="1" applyAlignment="1">
      <alignment horizontal="center" vertical="center"/>
    </xf>
    <xf numFmtId="2" fontId="53" fillId="41" borderId="13" xfId="0" applyNumberFormat="1" applyFont="1" applyFill="1" applyBorder="1" applyAlignment="1">
      <alignment horizontal="center" vertical="center"/>
    </xf>
    <xf numFmtId="0" fontId="53" fillId="41" borderId="13" xfId="0" applyFont="1" applyFill="1" applyBorder="1" applyAlignment="1">
      <alignment horizontal="left" vertical="center"/>
    </xf>
    <xf numFmtId="0" fontId="64" fillId="0" borderId="0" xfId="0" applyFont="1" applyBorder="1" applyAlignment="1">
      <alignment horizontal="center" vertical="center"/>
    </xf>
    <xf numFmtId="14" fontId="58" fillId="53" borderId="13" xfId="0" applyNumberFormat="1" applyFont="1" applyFill="1" applyBorder="1" applyAlignment="1">
      <alignment horizontal="center" vertical="center"/>
    </xf>
    <xf numFmtId="165" fontId="58" fillId="53" borderId="13" xfId="0" applyNumberFormat="1" applyFont="1" applyFill="1" applyBorder="1" applyAlignment="1">
      <alignment horizontal="center" vertical="center"/>
    </xf>
    <xf numFmtId="10" fontId="58" fillId="53" borderId="13" xfId="0" applyNumberFormat="1" applyFont="1" applyFill="1" applyBorder="1" applyAlignment="1">
      <alignment horizontal="center" vertical="center"/>
    </xf>
    <xf numFmtId="166" fontId="58" fillId="53" borderId="13" xfId="0" applyNumberFormat="1" applyFont="1" applyFill="1" applyBorder="1" applyAlignment="1">
      <alignment horizontal="center" vertical="center"/>
    </xf>
    <xf numFmtId="167" fontId="58" fillId="53" borderId="13" xfId="0" applyNumberFormat="1" applyFont="1" applyFill="1" applyBorder="1" applyAlignment="1">
      <alignment horizontal="center" vertical="center"/>
    </xf>
    <xf numFmtId="2" fontId="58" fillId="53" borderId="13" xfId="0" applyNumberFormat="1" applyFont="1" applyFill="1" applyBorder="1" applyAlignment="1">
      <alignment horizontal="center" vertical="center"/>
    </xf>
    <xf numFmtId="0" fontId="58" fillId="53" borderId="13" xfId="0" applyFont="1" applyFill="1" applyBorder="1" applyAlignment="1">
      <alignment horizontal="left" vertical="center"/>
    </xf>
    <xf numFmtId="14" fontId="0" fillId="53" borderId="13" xfId="0" applyNumberFormat="1" applyFill="1" applyBorder="1" applyAlignment="1">
      <alignment horizontal="center" vertical="center"/>
    </xf>
    <xf numFmtId="165" fontId="0" fillId="53" borderId="13" xfId="0" applyNumberFormat="1" applyFill="1" applyBorder="1" applyAlignment="1">
      <alignment horizontal="center" vertical="center"/>
    </xf>
    <xf numFmtId="10" fontId="0" fillId="53" borderId="13" xfId="0" applyNumberFormat="1" applyFill="1" applyBorder="1" applyAlignment="1">
      <alignment horizontal="center" vertical="center"/>
    </xf>
    <xf numFmtId="166" fontId="0" fillId="53" borderId="13" xfId="0" applyNumberFormat="1" applyFill="1" applyBorder="1" applyAlignment="1">
      <alignment horizontal="center" vertical="center"/>
    </xf>
    <xf numFmtId="167" fontId="0" fillId="53" borderId="13" xfId="0" applyNumberFormat="1" applyFill="1" applyBorder="1" applyAlignment="1">
      <alignment horizontal="center" vertical="center"/>
    </xf>
    <xf numFmtId="2" fontId="0" fillId="53" borderId="13" xfId="0" applyNumberFormat="1" applyFill="1" applyBorder="1" applyAlignment="1">
      <alignment horizontal="center" vertical="center"/>
    </xf>
    <xf numFmtId="0" fontId="0" fillId="53" borderId="13" xfId="0" applyFill="1" applyBorder="1" applyAlignment="1">
      <alignment horizontal="left" vertical="center"/>
    </xf>
    <xf numFmtId="0" fontId="59" fillId="4" borderId="13" xfId="0" applyFont="1" applyFill="1" applyBorder="1" applyAlignment="1">
      <alignment horizontal="left" vertical="center"/>
    </xf>
    <xf numFmtId="0" fontId="58" fillId="4" borderId="13" xfId="0" applyFont="1" applyFill="1" applyBorder="1" applyAlignment="1">
      <alignment horizontal="left" vertical="center"/>
    </xf>
    <xf numFmtId="14" fontId="58" fillId="4" borderId="13" xfId="0" applyNumberFormat="1" applyFont="1" applyFill="1" applyBorder="1" applyAlignment="1">
      <alignment horizontal="center" vertical="center"/>
    </xf>
    <xf numFmtId="169" fontId="58" fillId="4" borderId="13" xfId="0" applyNumberFormat="1" applyFont="1" applyFill="1" applyBorder="1" applyAlignment="1">
      <alignment horizontal="center" vertical="center"/>
    </xf>
    <xf numFmtId="166" fontId="58" fillId="4" borderId="13" xfId="0" applyNumberFormat="1" applyFont="1" applyFill="1" applyBorder="1" applyAlignment="1">
      <alignment horizontal="center" vertical="center"/>
    </xf>
    <xf numFmtId="0" fontId="59" fillId="5" borderId="13" xfId="0" applyFont="1" applyFill="1" applyBorder="1" applyAlignment="1">
      <alignment horizontal="left" vertical="center"/>
    </xf>
    <xf numFmtId="0" fontId="58" fillId="5" borderId="13" xfId="0" applyFont="1" applyFill="1" applyBorder="1" applyAlignment="1">
      <alignment horizontal="left" vertical="center"/>
    </xf>
    <xf numFmtId="14" fontId="58" fillId="5" borderId="13" xfId="0" applyNumberFormat="1" applyFont="1" applyFill="1" applyBorder="1" applyAlignment="1">
      <alignment horizontal="center" vertical="center"/>
    </xf>
    <xf numFmtId="169" fontId="58" fillId="5" borderId="13" xfId="0" applyNumberFormat="1" applyFont="1" applyFill="1" applyBorder="1" applyAlignment="1">
      <alignment horizontal="center" vertical="center"/>
    </xf>
    <xf numFmtId="166" fontId="58" fillId="5" borderId="13" xfId="0" applyNumberFormat="1" applyFont="1" applyFill="1" applyBorder="1" applyAlignment="1">
      <alignment horizontal="center" vertical="center"/>
    </xf>
    <xf numFmtId="0" fontId="59" fillId="9" borderId="13" xfId="0" applyFont="1" applyFill="1" applyBorder="1" applyAlignment="1">
      <alignment horizontal="left" vertical="center"/>
    </xf>
    <xf numFmtId="0" fontId="58" fillId="9" borderId="13" xfId="0" applyFont="1" applyFill="1" applyBorder="1" applyAlignment="1">
      <alignment horizontal="left" vertical="center"/>
    </xf>
    <xf numFmtId="14" fontId="58" fillId="9" borderId="13" xfId="0" applyNumberFormat="1" applyFont="1" applyFill="1" applyBorder="1" applyAlignment="1">
      <alignment horizontal="center" vertical="center"/>
    </xf>
    <xf numFmtId="169" fontId="58" fillId="9" borderId="13" xfId="0" applyNumberFormat="1" applyFont="1" applyFill="1" applyBorder="1" applyAlignment="1">
      <alignment horizontal="center" vertical="center"/>
    </xf>
    <xf numFmtId="166" fontId="58" fillId="9" borderId="13" xfId="0" applyNumberFormat="1" applyFont="1" applyFill="1" applyBorder="1" applyAlignment="1">
      <alignment horizontal="center" vertical="center"/>
    </xf>
    <xf numFmtId="0" fontId="59" fillId="10" borderId="13" xfId="0" applyFont="1" applyFill="1" applyBorder="1" applyAlignment="1">
      <alignment horizontal="left" vertical="center"/>
    </xf>
    <xf numFmtId="0" fontId="58" fillId="10" borderId="13" xfId="0" applyFont="1" applyFill="1" applyBorder="1" applyAlignment="1">
      <alignment horizontal="left" vertical="center"/>
    </xf>
    <xf numFmtId="14" fontId="58" fillId="10" borderId="13" xfId="0" applyNumberFormat="1" applyFont="1" applyFill="1" applyBorder="1" applyAlignment="1">
      <alignment horizontal="center" vertical="center"/>
    </xf>
    <xf numFmtId="169" fontId="58" fillId="10" borderId="13" xfId="0" applyNumberFormat="1" applyFont="1" applyFill="1" applyBorder="1" applyAlignment="1">
      <alignment horizontal="center" vertical="center"/>
    </xf>
    <xf numFmtId="166" fontId="58" fillId="10" borderId="13" xfId="0" applyNumberFormat="1" applyFont="1" applyFill="1" applyBorder="1" applyAlignment="1">
      <alignment horizontal="center" vertical="center"/>
    </xf>
    <xf numFmtId="0" fontId="58" fillId="10" borderId="13" xfId="0" applyFont="1" applyFill="1" applyBorder="1" applyAlignment="1">
      <alignment horizontal="center" vertical="center"/>
    </xf>
    <xf numFmtId="166" fontId="65" fillId="50" borderId="13" xfId="0" applyNumberFormat="1" applyFont="1" applyFill="1" applyBorder="1" applyAlignment="1">
      <alignment horizontal="center" vertical="center"/>
    </xf>
    <xf numFmtId="167" fontId="65" fillId="50" borderId="13" xfId="0" applyNumberFormat="1" applyFont="1" applyFill="1" applyBorder="1" applyAlignment="1">
      <alignment horizontal="center" vertical="center"/>
    </xf>
    <xf numFmtId="165" fontId="65" fillId="50" borderId="13" xfId="0" applyNumberFormat="1" applyFont="1" applyFill="1" applyBorder="1" applyAlignment="1">
      <alignment horizontal="center" vertical="center"/>
    </xf>
    <xf numFmtId="0" fontId="65" fillId="50" borderId="13" xfId="0" applyFont="1" applyFill="1" applyBorder="1" applyAlignment="1">
      <alignment horizontal="center" vertical="center"/>
    </xf>
    <xf numFmtId="166" fontId="65" fillId="51" borderId="13" xfId="0" applyNumberFormat="1" applyFont="1" applyFill="1" applyBorder="1" applyAlignment="1">
      <alignment horizontal="center" vertical="center"/>
    </xf>
    <xf numFmtId="167" fontId="65" fillId="51" borderId="13" xfId="0" applyNumberFormat="1" applyFont="1" applyFill="1" applyBorder="1" applyAlignment="1">
      <alignment horizontal="center" vertical="center"/>
    </xf>
    <xf numFmtId="165" fontId="65" fillId="51" borderId="13" xfId="0" applyNumberFormat="1" applyFont="1" applyFill="1" applyBorder="1" applyAlignment="1">
      <alignment horizontal="center" vertical="center"/>
    </xf>
    <xf numFmtId="0" fontId="65" fillId="51" borderId="13" xfId="0" applyFont="1" applyFill="1" applyBorder="1" applyAlignment="1">
      <alignment horizontal="center" vertical="center"/>
    </xf>
    <xf numFmtId="14" fontId="23" fillId="9" borderId="13" xfId="0" applyNumberFormat="1" applyFont="1" applyFill="1" applyBorder="1" applyAlignment="1">
      <alignment horizontal="center" vertical="center"/>
    </xf>
    <xf numFmtId="172" fontId="66" fillId="9" borderId="13" xfId="0" applyNumberFormat="1" applyFont="1" applyFill="1" applyBorder="1" applyAlignment="1">
      <alignment horizontal="center" vertical="center"/>
    </xf>
    <xf numFmtId="172" fontId="0" fillId="0" borderId="13" xfId="0" applyNumberFormat="1" applyBorder="1" applyAlignment="1">
      <alignment horizontal="center" vertical="center"/>
    </xf>
    <xf numFmtId="14" fontId="26" fillId="6" borderId="13" xfId="0" applyNumberFormat="1" applyFont="1" applyFill="1" applyBorder="1" applyAlignment="1">
      <alignment horizontal="center" vertical="center"/>
    </xf>
    <xf numFmtId="172" fontId="66" fillId="6" borderId="13" xfId="0" applyNumberFormat="1" applyFont="1" applyFill="1" applyBorder="1" applyAlignment="1">
      <alignment horizontal="center" vertical="center"/>
    </xf>
    <xf numFmtId="14" fontId="26" fillId="4" borderId="13" xfId="0" applyNumberFormat="1" applyFont="1" applyFill="1" applyBorder="1" applyAlignment="1">
      <alignment horizontal="center" vertical="center"/>
    </xf>
    <xf numFmtId="172" fontId="48" fillId="4" borderId="13" xfId="0" applyNumberFormat="1" applyFont="1" applyFill="1" applyBorder="1" applyAlignment="1">
      <alignment horizontal="center" vertical="center"/>
    </xf>
    <xf numFmtId="14" fontId="26" fillId="5" borderId="13" xfId="0" applyNumberFormat="1" applyFont="1" applyFill="1" applyBorder="1" applyAlignment="1">
      <alignment horizontal="center" vertical="center"/>
    </xf>
    <xf numFmtId="172" fontId="48" fillId="5" borderId="13" xfId="0" applyNumberFormat="1" applyFont="1" applyFill="1" applyBorder="1" applyAlignment="1">
      <alignment horizontal="center" vertical="center"/>
    </xf>
    <xf numFmtId="14" fontId="27" fillId="5" borderId="13" xfId="0" applyNumberFormat="1" applyFont="1" applyFill="1" applyBorder="1" applyAlignment="1">
      <alignment horizontal="center" vertical="center"/>
    </xf>
    <xf numFmtId="14" fontId="27" fillId="4" borderId="13" xfId="0" applyNumberFormat="1" applyFont="1" applyFill="1" applyBorder="1" applyAlignment="1">
      <alignment horizontal="center" vertical="center"/>
    </xf>
    <xf numFmtId="14" fontId="27" fillId="9" borderId="13" xfId="0" applyNumberFormat="1" applyFont="1" applyFill="1" applyBorder="1" applyAlignment="1">
      <alignment horizontal="center" vertical="center"/>
    </xf>
    <xf numFmtId="14" fontId="27" fillId="6" borderId="13" xfId="0" applyNumberFormat="1" applyFont="1" applyFill="1" applyBorder="1" applyAlignment="1">
      <alignment horizontal="center" vertical="center"/>
    </xf>
    <xf numFmtId="0" fontId="58" fillId="52" borderId="16" xfId="0" applyFont="1" applyFill="1" applyAlignment="1">
      <alignment horizontal="left" vertical="center" wrapText="1"/>
    </xf>
    <xf numFmtId="0" fontId="58" fillId="52" borderId="16" xfId="0" applyFont="1" applyFill="1" applyAlignment="1">
      <alignment horizontal="center" vertical="center" wrapText="1"/>
    </xf>
    <xf numFmtId="0" fontId="58" fillId="52" borderId="16" xfId="0" applyFont="1" applyFill="1" applyAlignment="1">
      <alignment horizontal="center" vertical="center"/>
    </xf>
    <xf numFmtId="165" fontId="58" fillId="52" borderId="16" xfId="0" applyNumberFormat="1" applyFont="1" applyFill="1" applyAlignment="1">
      <alignment horizontal="center" vertical="center"/>
    </xf>
    <xf numFmtId="166" fontId="58" fillId="52" borderId="16" xfId="0" applyNumberFormat="1" applyFont="1" applyFill="1" applyAlignment="1">
      <alignment horizontal="center" vertical="center"/>
    </xf>
    <xf numFmtId="167" fontId="58" fillId="52" borderId="16" xfId="0" applyNumberFormat="1" applyFont="1" applyFill="1" applyAlignment="1">
      <alignment horizontal="center" vertical="center"/>
    </xf>
    <xf numFmtId="14" fontId="58" fillId="52" borderId="16" xfId="0" applyNumberFormat="1" applyFont="1" applyFill="1" applyAlignment="1">
      <alignment horizontal="center" vertical="center"/>
    </xf>
    <xf numFmtId="0" fontId="67" fillId="35" borderId="0" xfId="0" applyFont="1" applyFill="1" applyBorder="1" applyAlignment="1">
      <alignment horizontal="center" vertical="center"/>
    </xf>
    <xf numFmtId="173" fontId="67" fillId="35" borderId="13" xfId="0" applyNumberFormat="1" applyFont="1" applyFill="1" applyBorder="1" applyAlignment="1">
      <alignment horizontal="center" vertical="center"/>
    </xf>
    <xf numFmtId="164" fontId="68" fillId="50" borderId="13" xfId="0" applyNumberFormat="1" applyFont="1" applyFill="1" applyBorder="1" applyAlignment="1">
      <alignment horizontal="center" vertical="center"/>
    </xf>
    <xf numFmtId="164" fontId="68" fillId="51" borderId="13" xfId="0" applyNumberFormat="1" applyFont="1" applyFill="1" applyBorder="1" applyAlignment="1">
      <alignment horizontal="center" vertical="center"/>
    </xf>
    <xf numFmtId="0" fontId="61" fillId="35" borderId="13" xfId="0" applyFont="1" applyFill="1" applyBorder="1" applyAlignment="1">
      <alignment horizontal="left" vertical="center"/>
    </xf>
    <xf numFmtId="0" fontId="71" fillId="54" borderId="16" xfId="2" applyFont="1" applyFill="1" applyAlignment="1">
      <alignment vertical="center"/>
    </xf>
    <xf numFmtId="0" fontId="72" fillId="54" borderId="16" xfId="2" applyFont="1" applyFill="1" applyAlignment="1">
      <alignment vertical="center"/>
    </xf>
    <xf numFmtId="0" fontId="73" fillId="54" borderId="16" xfId="2" applyFont="1" applyFill="1" applyAlignment="1">
      <alignment vertical="center"/>
    </xf>
    <xf numFmtId="0" fontId="74" fillId="54" borderId="16" xfId="2" applyFont="1" applyFill="1" applyAlignment="1">
      <alignment vertical="center"/>
    </xf>
    <xf numFmtId="0" fontId="75" fillId="54" borderId="16" xfId="2" applyFont="1" applyFill="1" applyAlignment="1">
      <alignment vertical="center"/>
    </xf>
    <xf numFmtId="0" fontId="76" fillId="54" borderId="16" xfId="2" applyFont="1" applyFill="1" applyAlignment="1">
      <alignment vertical="center"/>
    </xf>
    <xf numFmtId="176" fontId="71" fillId="54" borderId="16" xfId="2" applyNumberFormat="1" applyFont="1" applyFill="1" applyAlignment="1">
      <alignment vertical="center"/>
    </xf>
    <xf numFmtId="0" fontId="77" fillId="55" borderId="19" xfId="2" applyFont="1" applyFill="1" applyBorder="1" applyAlignment="1">
      <alignment vertical="center"/>
    </xf>
    <xf numFmtId="0" fontId="78" fillId="55" borderId="20" xfId="2" applyFont="1" applyFill="1" applyBorder="1" applyAlignment="1">
      <alignment vertical="center"/>
    </xf>
    <xf numFmtId="0" fontId="78" fillId="55" borderId="21" xfId="2" applyFont="1" applyFill="1" applyBorder="1" applyAlignment="1">
      <alignment vertical="center"/>
    </xf>
    <xf numFmtId="0" fontId="76" fillId="54" borderId="22" xfId="2" applyFont="1" applyFill="1" applyBorder="1" applyAlignment="1">
      <alignment vertical="center"/>
    </xf>
    <xf numFmtId="0" fontId="79" fillId="54" borderId="16" xfId="2" applyFont="1" applyFill="1" applyAlignment="1">
      <alignment vertical="center"/>
    </xf>
    <xf numFmtId="0" fontId="71" fillId="56" borderId="19" xfId="2" applyFont="1" applyFill="1" applyBorder="1" applyAlignment="1">
      <alignment vertical="center"/>
    </xf>
    <xf numFmtId="0" fontId="80" fillId="56" borderId="20" xfId="2" applyFont="1" applyFill="1" applyBorder="1" applyAlignment="1">
      <alignment vertical="center"/>
    </xf>
    <xf numFmtId="0" fontId="81" fillId="56" borderId="21" xfId="2" applyFont="1" applyFill="1" applyBorder="1" applyAlignment="1">
      <alignment vertical="center"/>
    </xf>
    <xf numFmtId="176" fontId="73" fillId="54" borderId="16" xfId="2" applyNumberFormat="1" applyFont="1" applyFill="1" applyAlignment="1">
      <alignment vertical="center"/>
    </xf>
    <xf numFmtId="0" fontId="71" fillId="56" borderId="23" xfId="2" applyFont="1" applyFill="1" applyBorder="1" applyAlignment="1">
      <alignment vertical="center"/>
    </xf>
    <xf numFmtId="6" fontId="80" fillId="56" borderId="16" xfId="2" applyNumberFormat="1" applyFont="1" applyFill="1" applyAlignment="1">
      <alignment vertical="center"/>
    </xf>
    <xf numFmtId="0" fontId="81" fillId="56" borderId="24" xfId="2" applyFont="1" applyFill="1" applyBorder="1" applyAlignment="1">
      <alignment vertical="center"/>
    </xf>
    <xf numFmtId="0" fontId="76" fillId="54" borderId="25" xfId="2" applyFont="1" applyFill="1" applyBorder="1" applyAlignment="1">
      <alignment vertical="center"/>
    </xf>
    <xf numFmtId="176" fontId="76" fillId="54" borderId="26" xfId="2" applyNumberFormat="1" applyFont="1" applyFill="1" applyBorder="1" applyAlignment="1">
      <alignment horizontal="center" vertical="center"/>
    </xf>
    <xf numFmtId="0" fontId="76" fillId="54" borderId="26" xfId="2" applyFont="1" applyFill="1" applyBorder="1" applyAlignment="1">
      <alignment horizontal="center" vertical="center"/>
    </xf>
    <xf numFmtId="0" fontId="76" fillId="54" borderId="27" xfId="2" applyFont="1" applyFill="1" applyBorder="1" applyAlignment="1">
      <alignment horizontal="center" vertical="center"/>
    </xf>
    <xf numFmtId="8" fontId="80" fillId="56" borderId="16" xfId="2" applyNumberFormat="1" applyFont="1" applyFill="1" applyAlignment="1">
      <alignment vertical="center"/>
    </xf>
    <xf numFmtId="0" fontId="76" fillId="54" borderId="19" xfId="2" applyFont="1" applyFill="1" applyBorder="1" applyAlignment="1">
      <alignment vertical="center"/>
    </xf>
    <xf numFmtId="176" fontId="71" fillId="54" borderId="20" xfId="2" applyNumberFormat="1" applyFont="1" applyFill="1" applyBorder="1" applyAlignment="1">
      <alignment horizontal="center" vertical="center"/>
    </xf>
    <xf numFmtId="10" fontId="71" fillId="54" borderId="20" xfId="2" applyNumberFormat="1" applyFont="1" applyFill="1" applyBorder="1" applyAlignment="1">
      <alignment horizontal="center" vertical="center"/>
    </xf>
    <xf numFmtId="176" fontId="71" fillId="54" borderId="21" xfId="2" applyNumberFormat="1" applyFont="1" applyFill="1" applyBorder="1" applyAlignment="1">
      <alignment horizontal="center" vertical="center"/>
    </xf>
    <xf numFmtId="176" fontId="80" fillId="56" borderId="16" xfId="2" applyNumberFormat="1" applyFont="1" applyFill="1" applyAlignment="1">
      <alignment horizontal="right" vertical="center"/>
    </xf>
    <xf numFmtId="177" fontId="81" fillId="56" borderId="24" xfId="2" applyNumberFormat="1" applyFont="1" applyFill="1" applyBorder="1" applyAlignment="1">
      <alignment horizontal="right" vertical="center"/>
    </xf>
    <xf numFmtId="176" fontId="71" fillId="54" borderId="23" xfId="2" applyNumberFormat="1" applyFont="1" applyFill="1" applyBorder="1" applyAlignment="1">
      <alignment vertical="center"/>
    </xf>
    <xf numFmtId="176" fontId="71" fillId="54" borderId="16" xfId="2" applyNumberFormat="1" applyFont="1" applyFill="1" applyAlignment="1">
      <alignment horizontal="center" vertical="center"/>
    </xf>
    <xf numFmtId="10" fontId="71" fillId="54" borderId="16" xfId="2" applyNumberFormat="1" applyFont="1" applyFill="1" applyAlignment="1">
      <alignment horizontal="center" vertical="center"/>
    </xf>
    <xf numFmtId="176" fontId="71" fillId="54" borderId="24" xfId="2" applyNumberFormat="1" applyFont="1" applyFill="1" applyBorder="1" applyAlignment="1">
      <alignment horizontal="center" vertical="center"/>
    </xf>
    <xf numFmtId="178" fontId="80" fillId="56" borderId="16" xfId="2" applyNumberFormat="1" applyFont="1" applyFill="1" applyAlignment="1">
      <alignment horizontal="right" vertical="center"/>
    </xf>
    <xf numFmtId="179" fontId="81" fillId="56" borderId="24" xfId="2" applyNumberFormat="1" applyFont="1" applyFill="1" applyBorder="1" applyAlignment="1">
      <alignment horizontal="right" vertical="center"/>
    </xf>
    <xf numFmtId="10" fontId="71" fillId="54" borderId="16" xfId="3" applyNumberFormat="1" applyFont="1" applyFill="1" applyAlignment="1">
      <alignment horizontal="center" vertical="center"/>
    </xf>
    <xf numFmtId="10" fontId="80" fillId="56" borderId="16" xfId="2" applyNumberFormat="1" applyFont="1" applyFill="1" applyAlignment="1">
      <alignment vertical="center"/>
    </xf>
    <xf numFmtId="10" fontId="81" fillId="56" borderId="24" xfId="2" applyNumberFormat="1" applyFont="1" applyFill="1" applyBorder="1" applyAlignment="1">
      <alignment vertical="center"/>
    </xf>
    <xf numFmtId="176" fontId="71" fillId="54" borderId="25" xfId="2" applyNumberFormat="1" applyFont="1" applyFill="1" applyBorder="1" applyAlignment="1">
      <alignment vertical="center"/>
    </xf>
    <xf numFmtId="176" fontId="71" fillId="54" borderId="26" xfId="2" applyNumberFormat="1" applyFont="1" applyFill="1" applyBorder="1" applyAlignment="1">
      <alignment horizontal="center" vertical="center"/>
    </xf>
    <xf numFmtId="10" fontId="71" fillId="54" borderId="26" xfId="3" applyNumberFormat="1" applyFont="1" applyFill="1" applyBorder="1" applyAlignment="1">
      <alignment horizontal="center" vertical="center"/>
    </xf>
    <xf numFmtId="176" fontId="71" fillId="54" borderId="27" xfId="2" applyNumberFormat="1" applyFont="1" applyFill="1" applyBorder="1" applyAlignment="1">
      <alignment horizontal="center" vertical="center"/>
    </xf>
    <xf numFmtId="180" fontId="71" fillId="54" borderId="16" xfId="2" applyNumberFormat="1" applyFont="1" applyFill="1" applyAlignment="1">
      <alignment horizontal="center" vertical="center"/>
    </xf>
    <xf numFmtId="180" fontId="80" fillId="57" borderId="16" xfId="4" applyNumberFormat="1" applyFont="1" applyFill="1" applyAlignment="1">
      <alignment vertical="center"/>
    </xf>
    <xf numFmtId="44" fontId="71" fillId="54" borderId="16" xfId="4" applyFont="1" applyFill="1" applyAlignment="1">
      <alignment vertical="center"/>
    </xf>
    <xf numFmtId="176" fontId="80" fillId="56" borderId="16" xfId="5" applyNumberFormat="1" applyFont="1" applyFill="1" applyAlignment="1">
      <alignment vertical="center"/>
    </xf>
    <xf numFmtId="176" fontId="81" fillId="56" borderId="24" xfId="5" applyNumberFormat="1" applyFont="1" applyFill="1" applyBorder="1" applyAlignment="1">
      <alignment vertical="center"/>
    </xf>
    <xf numFmtId="0" fontId="71" fillId="56" borderId="28" xfId="2" applyFont="1" applyFill="1" applyBorder="1" applyAlignment="1">
      <alignment vertical="center"/>
    </xf>
    <xf numFmtId="176" fontId="80" fillId="56" borderId="29" xfId="5" applyNumberFormat="1" applyFont="1" applyFill="1" applyBorder="1" applyAlignment="1">
      <alignment vertical="center"/>
    </xf>
    <xf numFmtId="176" fontId="81" fillId="56" borderId="30" xfId="5" applyNumberFormat="1" applyFont="1" applyFill="1" applyBorder="1" applyAlignment="1">
      <alignment vertical="center"/>
    </xf>
    <xf numFmtId="176" fontId="82" fillId="55" borderId="31" xfId="2" applyNumberFormat="1" applyFont="1" applyFill="1" applyBorder="1" applyAlignment="1">
      <alignment horizontal="left" vertical="center"/>
    </xf>
    <xf numFmtId="0" fontId="83" fillId="55" borderId="31" xfId="6" applyFont="1" applyFill="1" applyBorder="1" applyAlignment="1">
      <alignment horizontal="left" vertical="center"/>
    </xf>
    <xf numFmtId="0" fontId="82" fillId="55" borderId="31" xfId="2" applyFont="1" applyFill="1" applyBorder="1" applyAlignment="1">
      <alignment horizontal="left" vertical="center"/>
    </xf>
    <xf numFmtId="176" fontId="71" fillId="54" borderId="16" xfId="3" applyNumberFormat="1" applyFont="1" applyFill="1" applyAlignment="1">
      <alignment horizontal="center" vertical="center"/>
    </xf>
    <xf numFmtId="0" fontId="71" fillId="56" borderId="31" xfId="2" applyFont="1" applyFill="1" applyBorder="1" applyAlignment="1">
      <alignment horizontal="left" vertical="center"/>
    </xf>
    <xf numFmtId="176" fontId="71" fillId="56" borderId="31" xfId="2" applyNumberFormat="1" applyFont="1" applyFill="1" applyBorder="1" applyAlignment="1">
      <alignment horizontal="left" vertical="center"/>
    </xf>
    <xf numFmtId="176" fontId="76" fillId="54" borderId="16" xfId="2" applyNumberFormat="1" applyFont="1" applyFill="1" applyAlignment="1">
      <alignment vertical="center"/>
    </xf>
    <xf numFmtId="176" fontId="79" fillId="54" borderId="16" xfId="2" applyNumberFormat="1" applyFont="1" applyFill="1" applyAlignment="1">
      <alignment vertical="center"/>
    </xf>
    <xf numFmtId="176" fontId="73" fillId="54" borderId="16" xfId="2" applyNumberFormat="1" applyFont="1" applyFill="1" applyAlignment="1">
      <alignment horizontal="left" vertical="center"/>
    </xf>
    <xf numFmtId="10" fontId="73" fillId="54" borderId="16" xfId="3" applyNumberFormat="1" applyFont="1" applyFill="1" applyAlignment="1">
      <alignment vertical="center"/>
    </xf>
    <xf numFmtId="176" fontId="73" fillId="54" borderId="16" xfId="3" applyNumberFormat="1" applyFont="1" applyFill="1" applyAlignment="1">
      <alignment vertical="center"/>
    </xf>
    <xf numFmtId="0" fontId="84" fillId="54" borderId="32" xfId="2" applyFont="1" applyFill="1" applyBorder="1" applyAlignment="1">
      <alignment vertical="center"/>
    </xf>
    <xf numFmtId="0" fontId="79" fillId="54" borderId="16" xfId="2" applyFont="1" applyFill="1" applyAlignment="1">
      <alignment horizontal="right" vertical="center"/>
    </xf>
    <xf numFmtId="176" fontId="73" fillId="54" borderId="16" xfId="2" applyNumberFormat="1" applyFont="1" applyFill="1" applyAlignment="1">
      <alignment horizontal="right" vertical="center"/>
    </xf>
    <xf numFmtId="0" fontId="83" fillId="58" borderId="19" xfId="7" applyFont="1" applyFill="1" applyBorder="1" applyAlignment="1">
      <alignment horizontal="left"/>
    </xf>
    <xf numFmtId="0" fontId="85" fillId="58" borderId="20" xfId="7" applyFont="1" applyFill="1" applyBorder="1" applyAlignment="1">
      <alignment horizontal="left"/>
    </xf>
    <xf numFmtId="0" fontId="70" fillId="58" borderId="20" xfId="7" applyFill="1" applyBorder="1" applyAlignment="1">
      <alignment horizontal="left"/>
    </xf>
    <xf numFmtId="0" fontId="70" fillId="58" borderId="21" xfId="7" applyFill="1" applyBorder="1" applyAlignment="1">
      <alignment horizontal="left"/>
    </xf>
    <xf numFmtId="0" fontId="70" fillId="0" borderId="16" xfId="7"/>
    <xf numFmtId="0" fontId="83" fillId="58" borderId="28" xfId="7" applyFont="1" applyFill="1" applyBorder="1" applyAlignment="1">
      <alignment horizontal="left" vertical="center"/>
    </xf>
    <xf numFmtId="0" fontId="83" fillId="58" borderId="29" xfId="7" applyFont="1" applyFill="1" applyBorder="1" applyAlignment="1">
      <alignment horizontal="left" vertical="center"/>
    </xf>
    <xf numFmtId="0" fontId="86" fillId="58" borderId="29" xfId="7" applyFont="1" applyFill="1" applyBorder="1" applyAlignment="1">
      <alignment horizontal="left" vertical="center"/>
    </xf>
    <xf numFmtId="0" fontId="86" fillId="58" borderId="30" xfId="7" applyFont="1" applyFill="1" applyBorder="1" applyAlignment="1">
      <alignment horizontal="left" vertical="center"/>
    </xf>
    <xf numFmtId="0" fontId="86" fillId="59" borderId="25" xfId="7" applyFont="1" applyFill="1" applyBorder="1" applyAlignment="1">
      <alignment horizontal="left"/>
    </xf>
    <xf numFmtId="0" fontId="70" fillId="59" borderId="26" xfId="7" applyFill="1" applyBorder="1" applyAlignment="1">
      <alignment horizontal="left"/>
    </xf>
    <xf numFmtId="0" fontId="70" fillId="59" borderId="27" xfId="7" applyFill="1" applyBorder="1" applyAlignment="1">
      <alignment horizontal="left"/>
    </xf>
    <xf numFmtId="0" fontId="87" fillId="56" borderId="19" xfId="7" applyFont="1" applyFill="1" applyBorder="1" applyAlignment="1">
      <alignment horizontal="left"/>
    </xf>
    <xf numFmtId="0" fontId="88" fillId="56" borderId="20" xfId="7" applyFont="1" applyFill="1" applyBorder="1" applyAlignment="1">
      <alignment horizontal="left"/>
    </xf>
    <xf numFmtId="0" fontId="88" fillId="56" borderId="21" xfId="7" applyFont="1" applyFill="1" applyBorder="1" applyAlignment="1">
      <alignment horizontal="left"/>
    </xf>
    <xf numFmtId="0" fontId="87" fillId="56" borderId="23" xfId="7" applyFont="1" applyFill="1" applyBorder="1" applyAlignment="1">
      <alignment horizontal="left"/>
    </xf>
    <xf numFmtId="0" fontId="89" fillId="56" borderId="16" xfId="7" applyFont="1" applyFill="1"/>
    <xf numFmtId="0" fontId="88" fillId="56" borderId="16" xfId="7" applyFont="1" applyFill="1" applyAlignment="1">
      <alignment horizontal="left"/>
    </xf>
    <xf numFmtId="0" fontId="88" fillId="56" borderId="24" xfId="7" applyFont="1" applyFill="1" applyBorder="1" applyAlignment="1">
      <alignment horizontal="left"/>
    </xf>
    <xf numFmtId="10" fontId="88" fillId="56" borderId="16" xfId="7" applyNumberFormat="1" applyFont="1" applyFill="1" applyAlignment="1">
      <alignment horizontal="left"/>
    </xf>
    <xf numFmtId="0" fontId="90" fillId="56" borderId="16" xfId="7" applyFont="1" applyFill="1" applyAlignment="1">
      <alignment horizontal="right"/>
    </xf>
    <xf numFmtId="15" fontId="88" fillId="56" borderId="16" xfId="7" applyNumberFormat="1" applyFont="1" applyFill="1" applyAlignment="1">
      <alignment horizontal="left"/>
    </xf>
    <xf numFmtId="16" fontId="88" fillId="56" borderId="24" xfId="7" applyNumberFormat="1" applyFont="1" applyFill="1" applyBorder="1" applyAlignment="1">
      <alignment horizontal="left"/>
    </xf>
    <xf numFmtId="1" fontId="88" fillId="56" borderId="16" xfId="7" applyNumberFormat="1" applyFont="1" applyFill="1" applyAlignment="1">
      <alignment horizontal="left"/>
    </xf>
    <xf numFmtId="0" fontId="90" fillId="56" borderId="16" xfId="7" applyFont="1" applyFill="1" applyAlignment="1">
      <alignment horizontal="center"/>
    </xf>
    <xf numFmtId="8" fontId="88" fillId="56" borderId="16" xfId="7" applyNumberFormat="1" applyFont="1" applyFill="1" applyAlignment="1">
      <alignment horizontal="left"/>
    </xf>
    <xf numFmtId="0" fontId="87" fillId="56" borderId="16" xfId="7" applyFont="1" applyFill="1" applyAlignment="1">
      <alignment horizontal="left"/>
    </xf>
    <xf numFmtId="176" fontId="88" fillId="56" borderId="16" xfId="7" applyNumberFormat="1" applyFont="1" applyFill="1" applyAlignment="1">
      <alignment horizontal="right"/>
    </xf>
    <xf numFmtId="17" fontId="88" fillId="56" borderId="24" xfId="7" applyNumberFormat="1" applyFont="1" applyFill="1" applyBorder="1" applyAlignment="1">
      <alignment horizontal="left"/>
    </xf>
    <xf numFmtId="10" fontId="88" fillId="56" borderId="16" xfId="8" applyNumberFormat="1" applyFont="1" applyFill="1" applyAlignment="1">
      <alignment horizontal="left"/>
    </xf>
    <xf numFmtId="0" fontId="90" fillId="56" borderId="23" xfId="7" applyFont="1" applyFill="1" applyBorder="1" applyAlignment="1">
      <alignment horizontal="left"/>
    </xf>
    <xf numFmtId="0" fontId="87" fillId="56" borderId="16" xfId="7" applyFont="1" applyFill="1" applyAlignment="1">
      <alignment horizontal="left" wrapText="1"/>
    </xf>
    <xf numFmtId="176" fontId="90" fillId="56" borderId="16" xfId="7" applyNumberFormat="1" applyFont="1" applyFill="1" applyAlignment="1">
      <alignment horizontal="left"/>
    </xf>
    <xf numFmtId="0" fontId="87" fillId="56" borderId="23" xfId="7" applyFont="1" applyFill="1" applyBorder="1" applyAlignment="1">
      <alignment horizontal="left" wrapText="1"/>
    </xf>
    <xf numFmtId="167" fontId="88" fillId="56" borderId="16" xfId="7" applyNumberFormat="1" applyFont="1" applyFill="1" applyAlignment="1">
      <alignment horizontal="left" wrapText="1"/>
    </xf>
    <xf numFmtId="0" fontId="87" fillId="56" borderId="16" xfId="7" applyFont="1" applyFill="1" applyAlignment="1">
      <alignment horizontal="right"/>
    </xf>
    <xf numFmtId="0" fontId="88" fillId="56" borderId="16" xfId="7" applyFont="1" applyFill="1" applyAlignment="1">
      <alignment horizontal="center" wrapText="1"/>
    </xf>
    <xf numFmtId="176" fontId="88" fillId="56" borderId="16" xfId="7" applyNumberFormat="1" applyFont="1" applyFill="1" applyAlignment="1">
      <alignment horizontal="left" wrapText="1"/>
    </xf>
    <xf numFmtId="0" fontId="88" fillId="56" borderId="24" xfId="7" applyFont="1" applyFill="1" applyBorder="1" applyAlignment="1">
      <alignment horizontal="left" wrapText="1"/>
    </xf>
    <xf numFmtId="0" fontId="88" fillId="56" borderId="23" xfId="7" applyFont="1" applyFill="1" applyBorder="1" applyAlignment="1">
      <alignment horizontal="left" wrapText="1"/>
    </xf>
    <xf numFmtId="0" fontId="88" fillId="56" borderId="16" xfId="7" applyFont="1" applyFill="1" applyAlignment="1">
      <alignment horizontal="left" wrapText="1"/>
    </xf>
    <xf numFmtId="176" fontId="88" fillId="56" borderId="16" xfId="7" applyNumberFormat="1" applyFont="1" applyFill="1" applyAlignment="1">
      <alignment horizontal="left"/>
    </xf>
    <xf numFmtId="181" fontId="88" fillId="56" borderId="16" xfId="7" applyNumberFormat="1" applyFont="1" applyFill="1" applyAlignment="1">
      <alignment horizontal="left"/>
    </xf>
    <xf numFmtId="0" fontId="88" fillId="56" borderId="23" xfId="7" applyFont="1" applyFill="1" applyBorder="1" applyAlignment="1">
      <alignment horizontal="left"/>
    </xf>
    <xf numFmtId="9" fontId="88" fillId="56" borderId="16" xfId="7" applyNumberFormat="1" applyFont="1" applyFill="1" applyAlignment="1">
      <alignment horizontal="left"/>
    </xf>
    <xf numFmtId="9" fontId="87" fillId="56" borderId="28" xfId="7" applyNumberFormat="1" applyFont="1" applyFill="1" applyBorder="1" applyAlignment="1">
      <alignment horizontal="left"/>
    </xf>
    <xf numFmtId="0" fontId="88" fillId="56" borderId="29" xfId="7" applyFont="1" applyFill="1" applyBorder="1" applyAlignment="1">
      <alignment horizontal="left"/>
    </xf>
    <xf numFmtId="0" fontId="87" fillId="56" borderId="29" xfId="7" applyFont="1" applyFill="1" applyBorder="1" applyAlignment="1">
      <alignment horizontal="left"/>
    </xf>
    <xf numFmtId="181" fontId="88" fillId="56" borderId="29" xfId="7" applyNumberFormat="1" applyFont="1" applyFill="1" applyBorder="1" applyAlignment="1">
      <alignment horizontal="left"/>
    </xf>
    <xf numFmtId="0" fontId="88" fillId="56" borderId="30" xfId="7" applyFont="1" applyFill="1" applyBorder="1" applyAlignment="1">
      <alignment horizontal="left"/>
    </xf>
    <xf numFmtId="182" fontId="70" fillId="0" borderId="16" xfId="7" applyNumberFormat="1"/>
    <xf numFmtId="0" fontId="91" fillId="0" borderId="16" xfId="9" applyFont="1"/>
    <xf numFmtId="0" fontId="69" fillId="0" borderId="16" xfId="9"/>
    <xf numFmtId="15" fontId="69" fillId="0" borderId="16" xfId="9" applyNumberFormat="1"/>
    <xf numFmtId="6" fontId="69" fillId="0" borderId="16" xfId="9" applyNumberFormat="1"/>
    <xf numFmtId="0" fontId="9" fillId="6" borderId="13" xfId="0" applyFont="1" applyFill="1" applyBorder="1" applyAlignment="1">
      <alignment horizontal="left" vertical="center" wrapText="1"/>
    </xf>
    <xf numFmtId="0" fontId="9" fillId="6" borderId="13" xfId="0" applyFont="1" applyFill="1" applyBorder="1" applyAlignment="1">
      <alignment horizontal="left" vertical="center"/>
    </xf>
    <xf numFmtId="44" fontId="9" fillId="6" borderId="13" xfId="1" applyFont="1" applyFill="1" applyBorder="1" applyAlignment="1">
      <alignment horizontal="center" vertical="center"/>
    </xf>
    <xf numFmtId="6" fontId="9" fillId="6" borderId="13" xfId="0" applyNumberFormat="1" applyFont="1" applyFill="1" applyBorder="1" applyAlignment="1">
      <alignment horizontal="center" vertical="center"/>
    </xf>
    <xf numFmtId="8" fontId="9" fillId="6" borderId="13" xfId="0" applyNumberFormat="1" applyFont="1" applyFill="1" applyBorder="1" applyAlignment="1">
      <alignment horizontal="center" vertical="center"/>
    </xf>
    <xf numFmtId="14" fontId="9" fillId="6" borderId="13" xfId="0" applyNumberFormat="1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14" fontId="9" fillId="6" borderId="2" xfId="0" applyNumberFormat="1" applyFont="1" applyFill="1" applyBorder="1" applyAlignment="1">
      <alignment horizontal="center" vertical="center"/>
    </xf>
    <xf numFmtId="6" fontId="8" fillId="6" borderId="2" xfId="0" applyNumberFormat="1" applyFont="1" applyFill="1" applyBorder="1" applyAlignment="1">
      <alignment horizontal="center" vertical="center"/>
    </xf>
    <xf numFmtId="0" fontId="58" fillId="67" borderId="35" xfId="0" applyFont="1" applyFill="1" applyBorder="1"/>
    <xf numFmtId="0" fontId="95" fillId="62" borderId="34" xfId="0" applyFont="1" applyFill="1" applyBorder="1" applyAlignment="1">
      <alignment horizontal="center" vertical="center" wrapText="1"/>
    </xf>
    <xf numFmtId="0" fontId="96" fillId="63" borderId="34" xfId="0" applyFont="1" applyFill="1" applyBorder="1" applyAlignment="1">
      <alignment horizontal="left" vertical="center"/>
    </xf>
    <xf numFmtId="167" fontId="99" fillId="66" borderId="34" xfId="0" applyNumberFormat="1" applyFont="1" applyFill="1" applyBorder="1" applyAlignment="1">
      <alignment horizontal="center" vertical="center"/>
    </xf>
    <xf numFmtId="0" fontId="96" fillId="65" borderId="34" xfId="0" applyFont="1" applyFill="1" applyBorder="1" applyAlignment="1">
      <alignment horizontal="left" vertical="center"/>
    </xf>
    <xf numFmtId="166" fontId="97" fillId="64" borderId="34" xfId="0" applyNumberFormat="1" applyFont="1" applyFill="1" applyBorder="1" applyAlignment="1">
      <alignment horizontal="center" vertical="center"/>
    </xf>
    <xf numFmtId="14" fontId="97" fillId="64" borderId="34" xfId="0" applyNumberFormat="1" applyFont="1" applyFill="1" applyBorder="1" applyAlignment="1">
      <alignment horizontal="center" vertical="center"/>
    </xf>
    <xf numFmtId="0" fontId="97" fillId="64" borderId="34" xfId="0" applyFont="1" applyFill="1" applyBorder="1" applyAlignment="1">
      <alignment horizontal="center" vertical="center"/>
    </xf>
    <xf numFmtId="10" fontId="97" fillId="64" borderId="34" xfId="0" applyNumberFormat="1" applyFont="1" applyFill="1" applyBorder="1" applyAlignment="1">
      <alignment horizontal="center" vertical="center"/>
    </xf>
    <xf numFmtId="0" fontId="96" fillId="67" borderId="34" xfId="0" applyFont="1" applyFill="1" applyBorder="1" applyAlignment="1">
      <alignment horizontal="left" vertical="center"/>
    </xf>
    <xf numFmtId="183" fontId="97" fillId="64" borderId="34" xfId="0" applyNumberFormat="1" applyFont="1" applyFill="1" applyBorder="1" applyAlignment="1">
      <alignment horizontal="center" vertical="center"/>
    </xf>
    <xf numFmtId="183" fontId="98" fillId="64" borderId="34" xfId="0" applyNumberFormat="1" applyFont="1" applyFill="1" applyBorder="1" applyAlignment="1">
      <alignment horizontal="center" vertical="center"/>
    </xf>
    <xf numFmtId="167" fontId="97" fillId="64" borderId="34" xfId="0" applyNumberFormat="1" applyFont="1" applyFill="1" applyBorder="1" applyAlignment="1">
      <alignment horizontal="center" vertical="center"/>
    </xf>
    <xf numFmtId="184" fontId="97" fillId="64" borderId="34" xfId="0" applyNumberFormat="1" applyFont="1" applyFill="1" applyBorder="1" applyAlignment="1">
      <alignment horizontal="center" vertical="center"/>
    </xf>
    <xf numFmtId="0" fontId="18" fillId="15" borderId="16" xfId="0" applyFont="1" applyFill="1" applyAlignment="1">
      <alignment horizontal="center" vertical="center"/>
    </xf>
    <xf numFmtId="0" fontId="0" fillId="0" borderId="0" xfId="0" applyBorder="1"/>
    <xf numFmtId="0" fontId="58" fillId="5" borderId="13" xfId="0" applyFont="1" applyFill="1" applyBorder="1" applyAlignment="1">
      <alignment horizontal="left" vertical="center" wrapText="1"/>
    </xf>
    <xf numFmtId="0" fontId="0" fillId="0" borderId="15" xfId="0" applyBorder="1"/>
    <xf numFmtId="0" fontId="97" fillId="68" borderId="34" xfId="0" applyFont="1" applyFill="1" applyBorder="1" applyAlignment="1">
      <alignment horizontal="center" vertical="center"/>
    </xf>
    <xf numFmtId="0" fontId="18" fillId="16" borderId="16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0" fillId="0" borderId="14" xfId="0" applyBorder="1"/>
    <xf numFmtId="0" fontId="58" fillId="4" borderId="13" xfId="0" applyFont="1" applyFill="1" applyBorder="1" applyAlignment="1">
      <alignment horizontal="left" vertical="center" wrapText="1"/>
    </xf>
    <xf numFmtId="166" fontId="45" fillId="11" borderId="13" xfId="0" applyNumberFormat="1" applyFont="1" applyFill="1" applyBorder="1" applyAlignment="1">
      <alignment horizontal="center" vertical="center"/>
    </xf>
    <xf numFmtId="0" fontId="2" fillId="17" borderId="16" xfId="0" applyFont="1" applyFill="1" applyAlignment="1">
      <alignment horizontal="center" vertical="center"/>
    </xf>
    <xf numFmtId="0" fontId="0" fillId="0" borderId="16" xfId="0"/>
    <xf numFmtId="0" fontId="58" fillId="48" borderId="13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58" fillId="46" borderId="13" xfId="0" applyFont="1" applyFill="1" applyBorder="1" applyAlignment="1">
      <alignment horizontal="left" vertical="center"/>
    </xf>
    <xf numFmtId="0" fontId="18" fillId="2" borderId="1" xfId="0" applyFont="1" applyFill="1" applyBorder="1" applyAlignment="1">
      <alignment horizontal="center" vertical="center"/>
    </xf>
    <xf numFmtId="14" fontId="97" fillId="65" borderId="34" xfId="0" applyNumberFormat="1" applyFont="1" applyFill="1" applyBorder="1" applyAlignment="1">
      <alignment horizontal="center" vertical="center"/>
    </xf>
    <xf numFmtId="0" fontId="0" fillId="11" borderId="16" xfId="0" applyFill="1"/>
    <xf numFmtId="0" fontId="4" fillId="2" borderId="1" xfId="0" applyFont="1" applyFill="1" applyBorder="1" applyAlignment="1">
      <alignment horizontal="center" vertical="center"/>
    </xf>
    <xf numFmtId="14" fontId="97" fillId="68" borderId="34" xfId="0" applyNumberFormat="1" applyFont="1" applyFill="1" applyBorder="1" applyAlignment="1">
      <alignment horizontal="center" vertical="center"/>
    </xf>
    <xf numFmtId="0" fontId="96" fillId="63" borderId="34" xfId="0" applyFont="1" applyFill="1" applyBorder="1" applyAlignment="1">
      <alignment horizontal="left" vertical="center"/>
    </xf>
    <xf numFmtId="166" fontId="59" fillId="66" borderId="34" xfId="0" applyNumberFormat="1" applyFont="1" applyFill="1" applyBorder="1" applyAlignment="1">
      <alignment horizontal="center" vertical="center"/>
    </xf>
    <xf numFmtId="0" fontId="103" fillId="62" borderId="34" xfId="0" applyFont="1" applyFill="1" applyBorder="1" applyAlignment="1">
      <alignment horizontal="left" vertical="center" wrapText="1"/>
    </xf>
    <xf numFmtId="0" fontId="96" fillId="65" borderId="34" xfId="0" applyFont="1" applyFill="1" applyBorder="1" applyAlignment="1">
      <alignment horizontal="left" vertical="center"/>
    </xf>
    <xf numFmtId="0" fontId="58" fillId="49" borderId="13" xfId="0" applyFont="1" applyFill="1" applyBorder="1" applyAlignment="1">
      <alignment horizontal="left" vertical="center"/>
    </xf>
    <xf numFmtId="166" fontId="97" fillId="63" borderId="34" xfId="0" applyNumberFormat="1" applyFont="1" applyFill="1" applyBorder="1" applyAlignment="1">
      <alignment horizontal="center" vertical="center"/>
    </xf>
    <xf numFmtId="166" fontId="99" fillId="66" borderId="34" xfId="0" applyNumberFormat="1" applyFont="1" applyFill="1" applyBorder="1" applyAlignment="1">
      <alignment horizontal="center" vertical="center"/>
    </xf>
    <xf numFmtId="167" fontId="99" fillId="66" borderId="34" xfId="0" applyNumberFormat="1" applyFont="1" applyFill="1" applyBorder="1" applyAlignment="1">
      <alignment horizontal="center" vertical="center"/>
    </xf>
    <xf numFmtId="0" fontId="94" fillId="60" borderId="34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18" xfId="0" applyBorder="1"/>
    <xf numFmtId="0" fontId="58" fillId="47" borderId="13" xfId="0" applyFont="1" applyFill="1" applyBorder="1" applyAlignment="1">
      <alignment horizontal="left" vertical="center"/>
    </xf>
    <xf numFmtId="0" fontId="58" fillId="44" borderId="13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left" vertical="center"/>
    </xf>
    <xf numFmtId="0" fontId="98" fillId="61" borderId="34" xfId="0" applyFont="1" applyFill="1" applyBorder="1" applyAlignment="1">
      <alignment horizontal="left" vertical="center"/>
    </xf>
    <xf numFmtId="10" fontId="19" fillId="14" borderId="16" xfId="0" applyNumberFormat="1" applyFont="1" applyFill="1" applyAlignment="1">
      <alignment horizontal="center" vertical="center"/>
    </xf>
    <xf numFmtId="0" fontId="95" fillId="62" borderId="34" xfId="0" applyFont="1" applyFill="1" applyBorder="1" applyAlignment="1">
      <alignment horizontal="center" vertical="center" wrapText="1"/>
    </xf>
    <xf numFmtId="0" fontId="97" fillId="63" borderId="34" xfId="0" applyFont="1" applyFill="1" applyBorder="1" applyAlignment="1">
      <alignment horizontal="center" vertical="center"/>
    </xf>
    <xf numFmtId="0" fontId="102" fillId="65" borderId="34" xfId="0" applyFont="1" applyFill="1" applyBorder="1" applyAlignment="1">
      <alignment horizontal="center" vertical="center"/>
    </xf>
    <xf numFmtId="0" fontId="58" fillId="51" borderId="13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0" fillId="12" borderId="3" xfId="0" applyFill="1" applyBorder="1"/>
    <xf numFmtId="0" fontId="0" fillId="0" borderId="3" xfId="0" applyBorder="1"/>
    <xf numFmtId="0" fontId="0" fillId="14" borderId="3" xfId="0" applyFill="1" applyBorder="1"/>
    <xf numFmtId="166" fontId="97" fillId="65" borderId="34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66" fontId="99" fillId="68" borderId="34" xfId="0" applyNumberFormat="1" applyFont="1" applyFill="1" applyBorder="1" applyAlignment="1">
      <alignment horizontal="center" vertical="center"/>
    </xf>
    <xf numFmtId="0" fontId="58" fillId="45" borderId="13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0" fillId="11" borderId="3" xfId="0" applyFill="1" applyBorder="1"/>
    <xf numFmtId="0" fontId="5" fillId="5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0" fontId="0" fillId="3" borderId="3" xfId="0" applyFill="1" applyBorder="1"/>
    <xf numFmtId="10" fontId="97" fillId="68" borderId="34" xfId="0" applyNumberFormat="1" applyFont="1" applyFill="1" applyBorder="1" applyAlignment="1">
      <alignment horizontal="center" vertical="center"/>
    </xf>
    <xf numFmtId="0" fontId="18" fillId="3" borderId="13" xfId="0" applyFont="1" applyFill="1" applyBorder="1" applyAlignment="1">
      <alignment horizontal="center" vertical="center" wrapText="1"/>
    </xf>
    <xf numFmtId="10" fontId="97" fillId="63" borderId="34" xfId="0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18" fillId="3" borderId="16" xfId="0" applyFont="1" applyFill="1" applyAlignment="1">
      <alignment horizontal="center" vertical="center"/>
    </xf>
    <xf numFmtId="0" fontId="16" fillId="2" borderId="16" xfId="0" applyFont="1" applyFill="1" applyAlignment="1">
      <alignment horizontal="center" vertical="center"/>
    </xf>
    <xf numFmtId="170" fontId="19" fillId="13" borderId="16" xfId="0" applyNumberFormat="1" applyFont="1" applyFill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58" fillId="50" borderId="13" xfId="0" applyFont="1" applyFill="1" applyBorder="1" applyAlignment="1">
      <alignment horizontal="left" vertical="center" wrapText="1"/>
    </xf>
    <xf numFmtId="166" fontId="2" fillId="3" borderId="16" xfId="0" applyNumberFormat="1" applyFont="1" applyFill="1" applyAlignment="1">
      <alignment horizontal="center" vertical="center"/>
    </xf>
    <xf numFmtId="175" fontId="2" fillId="13" borderId="16" xfId="0" applyNumberFormat="1" applyFont="1" applyFill="1" applyAlignment="1">
      <alignment horizontal="center" vertical="center"/>
    </xf>
    <xf numFmtId="10" fontId="19" fillId="12" borderId="16" xfId="0" applyNumberFormat="1" applyFont="1" applyFill="1" applyAlignment="1">
      <alignment horizontal="center" vertical="center"/>
    </xf>
    <xf numFmtId="0" fontId="18" fillId="13" borderId="16" xfId="0" applyFont="1" applyFill="1" applyAlignment="1">
      <alignment horizontal="center" vertical="center"/>
    </xf>
    <xf numFmtId="0" fontId="18" fillId="17" borderId="16" xfId="0" applyFont="1" applyFill="1" applyAlignment="1">
      <alignment horizontal="center" vertical="center"/>
    </xf>
    <xf numFmtId="0" fontId="17" fillId="3" borderId="16" xfId="0" applyFont="1" applyFill="1" applyAlignment="1">
      <alignment horizontal="center" vertical="center"/>
    </xf>
    <xf numFmtId="0" fontId="0" fillId="17" borderId="16" xfId="0" applyFill="1"/>
    <xf numFmtId="170" fontId="19" fillId="11" borderId="16" xfId="0" applyNumberFormat="1" applyFont="1" applyFill="1" applyAlignment="1">
      <alignment horizontal="center" vertical="center"/>
    </xf>
    <xf numFmtId="170" fontId="19" fillId="12" borderId="16" xfId="0" applyNumberFormat="1" applyFont="1" applyFill="1" applyAlignment="1">
      <alignment horizontal="center" vertical="center"/>
    </xf>
    <xf numFmtId="0" fontId="18" fillId="11" borderId="16" xfId="0" applyFont="1" applyFill="1" applyAlignment="1">
      <alignment horizontal="center" vertical="center"/>
    </xf>
    <xf numFmtId="166" fontId="97" fillId="68" borderId="34" xfId="0" applyNumberFormat="1" applyFont="1" applyFill="1" applyBorder="1" applyAlignment="1">
      <alignment horizontal="center" vertical="center"/>
    </xf>
    <xf numFmtId="1" fontId="7" fillId="2" borderId="16" xfId="0" applyNumberFormat="1" applyFont="1" applyFill="1"/>
    <xf numFmtId="0" fontId="19" fillId="3" borderId="16" xfId="0" applyFont="1" applyFill="1" applyAlignment="1">
      <alignment horizontal="center" vertical="center"/>
    </xf>
    <xf numFmtId="0" fontId="18" fillId="14" borderId="16" xfId="0" applyFont="1" applyFill="1" applyAlignment="1">
      <alignment horizontal="center" vertical="center"/>
    </xf>
    <xf numFmtId="0" fontId="18" fillId="12" borderId="16" xfId="0" applyFont="1" applyFill="1" applyAlignment="1">
      <alignment horizontal="center" vertical="center"/>
    </xf>
    <xf numFmtId="10" fontId="97" fillId="65" borderId="34" xfId="0" applyNumberFormat="1" applyFont="1" applyFill="1" applyBorder="1" applyAlignment="1">
      <alignment horizontal="center" vertical="center"/>
    </xf>
    <xf numFmtId="0" fontId="102" fillId="63" borderId="34" xfId="0" applyFont="1" applyFill="1" applyBorder="1" applyAlignment="1">
      <alignment horizontal="center" vertical="center"/>
    </xf>
    <xf numFmtId="0" fontId="0" fillId="3" borderId="16" xfId="0" applyFill="1"/>
    <xf numFmtId="0" fontId="5" fillId="4" borderId="1" xfId="0" applyFont="1" applyFill="1" applyBorder="1" applyAlignment="1">
      <alignment horizontal="left" vertical="center"/>
    </xf>
    <xf numFmtId="0" fontId="0" fillId="13" borderId="3" xfId="0" applyFill="1" applyBorder="1"/>
    <xf numFmtId="0" fontId="0" fillId="0" borderId="36" xfId="0" applyBorder="1"/>
    <xf numFmtId="0" fontId="0" fillId="15" borderId="16" xfId="0" applyFill="1"/>
    <xf numFmtId="0" fontId="0" fillId="16" borderId="16" xfId="0" applyFill="1"/>
    <xf numFmtId="10" fontId="59" fillId="66" borderId="34" xfId="0" applyNumberFormat="1" applyFont="1" applyFill="1" applyBorder="1" applyAlignment="1">
      <alignment horizontal="center" vertical="center"/>
    </xf>
    <xf numFmtId="0" fontId="0" fillId="13" borderId="16" xfId="0" applyFill="1"/>
    <xf numFmtId="164" fontId="45" fillId="15" borderId="13" xfId="0" applyNumberFormat="1" applyFont="1" applyFill="1" applyBorder="1" applyAlignment="1">
      <alignment horizontal="center" vertical="center"/>
    </xf>
    <xf numFmtId="164" fontId="45" fillId="16" borderId="13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7" fillId="4" borderId="13" xfId="0" applyFont="1" applyFill="1" applyBorder="1" applyAlignment="1">
      <alignment horizontal="left" vertical="center"/>
    </xf>
    <xf numFmtId="166" fontId="7" fillId="4" borderId="13" xfId="0" applyNumberFormat="1" applyFont="1" applyFill="1" applyBorder="1" applyAlignment="1">
      <alignment horizontal="left" vertical="center"/>
    </xf>
    <xf numFmtId="0" fontId="5" fillId="4" borderId="13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5" fillId="5" borderId="13" xfId="0" applyFont="1" applyFill="1" applyBorder="1" applyAlignment="1">
      <alignment horizontal="left" vertical="center"/>
    </xf>
    <xf numFmtId="0" fontId="7" fillId="6" borderId="13" xfId="0" applyFont="1" applyFill="1" applyBorder="1" applyAlignment="1">
      <alignment horizontal="left" vertical="center"/>
    </xf>
    <xf numFmtId="170" fontId="7" fillId="4" borderId="13" xfId="0" applyNumberFormat="1" applyFont="1" applyFill="1" applyBorder="1" applyAlignment="1">
      <alignment horizontal="left" vertical="center"/>
    </xf>
    <xf numFmtId="0" fontId="2" fillId="2" borderId="16" xfId="0" applyFont="1" applyFill="1" applyAlignment="1">
      <alignment horizontal="center" vertical="center"/>
    </xf>
    <xf numFmtId="0" fontId="6" fillId="4" borderId="13" xfId="0" applyFont="1" applyFill="1" applyBorder="1" applyAlignment="1">
      <alignment horizontal="left" vertical="center"/>
    </xf>
    <xf numFmtId="0" fontId="7" fillId="5" borderId="13" xfId="0" applyFont="1" applyFill="1" applyBorder="1" applyAlignment="1">
      <alignment horizontal="left" vertical="center"/>
    </xf>
    <xf numFmtId="0" fontId="3" fillId="0" borderId="16" xfId="0" applyFont="1" applyAlignment="1">
      <alignment horizontal="center" vertical="center"/>
    </xf>
    <xf numFmtId="14" fontId="6" fillId="6" borderId="13" xfId="0" applyNumberFormat="1" applyFont="1" applyFill="1" applyBorder="1" applyAlignment="1">
      <alignment horizontal="left" vertical="center"/>
    </xf>
    <xf numFmtId="174" fontId="7" fillId="5" borderId="13" xfId="0" applyNumberFormat="1" applyFont="1" applyFill="1" applyBorder="1" applyAlignment="1">
      <alignment horizontal="left" vertical="center"/>
    </xf>
    <xf numFmtId="174" fontId="7" fillId="4" borderId="13" xfId="0" applyNumberFormat="1" applyFont="1" applyFill="1" applyBorder="1" applyAlignment="1">
      <alignment horizontal="left" vertical="center"/>
    </xf>
    <xf numFmtId="166" fontId="8" fillId="5" borderId="13" xfId="0" applyNumberFormat="1" applyFont="1" applyFill="1" applyBorder="1" applyAlignment="1">
      <alignment horizontal="left" vertical="center"/>
    </xf>
    <xf numFmtId="10" fontId="7" fillId="5" borderId="13" xfId="0" applyNumberFormat="1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center" vertical="center"/>
    </xf>
    <xf numFmtId="0" fontId="15" fillId="0" borderId="16" xfId="0" applyFont="1"/>
    <xf numFmtId="0" fontId="93" fillId="61" borderId="34" xfId="0" applyFont="1" applyFill="1" applyBorder="1" applyAlignment="1">
      <alignment horizontal="left" vertical="center"/>
    </xf>
    <xf numFmtId="0" fontId="97" fillId="64" borderId="34" xfId="0" applyFont="1" applyFill="1" applyBorder="1" applyAlignment="1">
      <alignment horizontal="left" vertical="center"/>
    </xf>
    <xf numFmtId="0" fontId="97" fillId="64" borderId="33" xfId="0" applyFont="1" applyFill="1" applyBorder="1" applyAlignment="1">
      <alignment horizontal="center" vertical="center"/>
    </xf>
    <xf numFmtId="0" fontId="97" fillId="64" borderId="35" xfId="0" applyFont="1" applyFill="1" applyBorder="1" applyAlignment="1">
      <alignment horizontal="center" vertical="center"/>
    </xf>
    <xf numFmtId="14" fontId="97" fillId="64" borderId="34" xfId="0" applyNumberFormat="1" applyFont="1" applyFill="1" applyBorder="1" applyAlignment="1">
      <alignment horizontal="center" vertical="center"/>
    </xf>
    <xf numFmtId="166" fontId="97" fillId="64" borderId="34" xfId="0" applyNumberFormat="1" applyFont="1" applyFill="1" applyBorder="1" applyAlignment="1">
      <alignment horizontal="center" vertical="center"/>
    </xf>
    <xf numFmtId="0" fontId="94" fillId="60" borderId="34" xfId="0" applyFont="1" applyFill="1" applyBorder="1" applyAlignment="1">
      <alignment horizontal="left" vertical="center"/>
    </xf>
    <xf numFmtId="167" fontId="101" fillId="66" borderId="34" xfId="0" applyNumberFormat="1" applyFont="1" applyFill="1" applyBorder="1" applyAlignment="1">
      <alignment horizontal="center" vertical="center"/>
    </xf>
    <xf numFmtId="184" fontId="97" fillId="64" borderId="34" xfId="0" applyNumberFormat="1" applyFont="1" applyFill="1" applyBorder="1" applyAlignment="1">
      <alignment horizontal="center" vertical="center"/>
    </xf>
    <xf numFmtId="183" fontId="97" fillId="64" borderId="34" xfId="0" applyNumberFormat="1" applyFont="1" applyFill="1" applyBorder="1" applyAlignment="1">
      <alignment horizontal="center" vertical="center"/>
    </xf>
    <xf numFmtId="0" fontId="93" fillId="61" borderId="0" xfId="0" applyFont="1" applyFill="1" applyBorder="1" applyAlignment="1">
      <alignment horizontal="center" vertical="center" wrapText="1"/>
    </xf>
    <xf numFmtId="0" fontId="97" fillId="64" borderId="34" xfId="0" applyFont="1" applyFill="1" applyBorder="1" applyAlignment="1">
      <alignment horizontal="center" vertical="center"/>
    </xf>
    <xf numFmtId="0" fontId="100" fillId="66" borderId="34" xfId="0" applyFont="1" applyFill="1" applyBorder="1" applyAlignment="1">
      <alignment horizontal="left" vertical="center"/>
    </xf>
    <xf numFmtId="0" fontId="92" fillId="60" borderId="0" xfId="0" applyFont="1" applyFill="1" applyBorder="1" applyAlignment="1">
      <alignment horizontal="center" vertical="center"/>
    </xf>
    <xf numFmtId="0" fontId="95" fillId="62" borderId="34" xfId="0" applyFont="1" applyFill="1" applyBorder="1" applyAlignment="1">
      <alignment horizontal="left" vertical="center"/>
    </xf>
    <xf numFmtId="0" fontId="45" fillId="34" borderId="16" xfId="0" applyFont="1" applyFill="1" applyAlignment="1">
      <alignment horizontal="center" vertical="center"/>
    </xf>
    <xf numFmtId="0" fontId="57" fillId="34" borderId="13" xfId="0" applyFont="1" applyFill="1" applyBorder="1" applyAlignment="1">
      <alignment horizontal="center" vertical="center"/>
    </xf>
    <xf numFmtId="0" fontId="46" fillId="35" borderId="16" xfId="0" applyFont="1" applyFill="1" applyAlignment="1">
      <alignment horizontal="center" vertical="center"/>
    </xf>
    <xf numFmtId="0" fontId="29" fillId="2" borderId="16" xfId="0" applyFont="1" applyFill="1" applyAlignment="1">
      <alignment horizontal="center" vertical="center"/>
    </xf>
    <xf numFmtId="0" fontId="25" fillId="5" borderId="13" xfId="0" applyFont="1" applyFill="1" applyBorder="1" applyAlignment="1">
      <alignment horizontal="left" vertical="center"/>
    </xf>
    <xf numFmtId="0" fontId="25" fillId="4" borderId="13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6" xfId="0" applyFont="1" applyFill="1" applyAlignment="1">
      <alignment horizontal="center" vertical="center"/>
    </xf>
    <xf numFmtId="0" fontId="39" fillId="6" borderId="13" xfId="0" applyFont="1" applyFill="1" applyBorder="1" applyAlignment="1">
      <alignment horizontal="center" vertical="center"/>
    </xf>
    <xf numFmtId="0" fontId="25" fillId="18" borderId="13" xfId="0" applyFont="1" applyFill="1" applyBorder="1" applyAlignment="1">
      <alignment horizontal="left" vertical="center"/>
    </xf>
    <xf numFmtId="0" fontId="40" fillId="5" borderId="1" xfId="0" applyFont="1" applyFill="1" applyBorder="1" applyAlignment="1">
      <alignment horizontal="left" vertical="center"/>
    </xf>
    <xf numFmtId="0" fontId="8" fillId="4" borderId="13" xfId="0" applyFont="1" applyFill="1" applyBorder="1" applyAlignment="1">
      <alignment horizontal="left" vertical="center"/>
    </xf>
    <xf numFmtId="0" fontId="8" fillId="5" borderId="13" xfId="0" applyFont="1" applyFill="1" applyBorder="1" applyAlignment="1">
      <alignment horizontal="left" vertical="center"/>
    </xf>
    <xf numFmtId="0" fontId="18" fillId="3" borderId="13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0" borderId="10" xfId="0" applyBorder="1"/>
    <xf numFmtId="0" fontId="44" fillId="28" borderId="1" xfId="0" applyFont="1" applyFill="1" applyBorder="1" applyAlignment="1">
      <alignment horizontal="center" vertical="center"/>
    </xf>
    <xf numFmtId="0" fontId="44" fillId="31" borderId="7" xfId="0" applyFont="1" applyFill="1" applyBorder="1" applyAlignment="1">
      <alignment horizontal="center" vertical="center"/>
    </xf>
    <xf numFmtId="0" fontId="43" fillId="28" borderId="7" xfId="0" applyFont="1" applyFill="1" applyBorder="1" applyAlignment="1">
      <alignment horizontal="center" vertical="center" wrapText="1"/>
    </xf>
    <xf numFmtId="0" fontId="44" fillId="7" borderId="7" xfId="0" applyFont="1" applyFill="1" applyBorder="1"/>
    <xf numFmtId="0" fontId="44" fillId="31" borderId="1" xfId="0" applyFont="1" applyFill="1" applyBorder="1" applyAlignment="1">
      <alignment horizontal="center" vertical="center"/>
    </xf>
    <xf numFmtId="0" fontId="44" fillId="29" borderId="7" xfId="0" applyFont="1" applyFill="1" applyBorder="1" applyAlignment="1">
      <alignment horizontal="center" vertical="center"/>
    </xf>
    <xf numFmtId="0" fontId="44" fillId="30" borderId="1" xfId="0" applyFont="1" applyFill="1" applyBorder="1" applyAlignment="1">
      <alignment horizontal="center" vertical="center"/>
    </xf>
    <xf numFmtId="0" fontId="41" fillId="24" borderId="7" xfId="0" applyFont="1" applyFill="1" applyBorder="1" applyAlignment="1">
      <alignment horizontal="center" vertical="center" wrapText="1"/>
    </xf>
    <xf numFmtId="0" fontId="44" fillId="28" borderId="7" xfId="0" applyFont="1" applyFill="1" applyBorder="1" applyAlignment="1">
      <alignment horizontal="center" vertical="center"/>
    </xf>
    <xf numFmtId="0" fontId="43" fillId="31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/>
    </xf>
    <xf numFmtId="0" fontId="44" fillId="25" borderId="7" xfId="0" applyFont="1" applyFill="1" applyBorder="1" applyAlignment="1">
      <alignment horizontal="center" vertical="center"/>
    </xf>
    <xf numFmtId="165" fontId="5" fillId="4" borderId="6" xfId="0" applyNumberFormat="1" applyFont="1" applyFill="1" applyBorder="1" applyAlignment="1">
      <alignment horizontal="center" vertical="center"/>
    </xf>
    <xf numFmtId="0" fontId="0" fillId="0" borderId="11" xfId="0" applyBorder="1"/>
    <xf numFmtId="0" fontId="25" fillId="4" borderId="1" xfId="0" applyFont="1" applyFill="1" applyBorder="1" applyAlignment="1">
      <alignment horizontal="center" vertical="center" wrapText="1"/>
    </xf>
    <xf numFmtId="0" fontId="18" fillId="33" borderId="1" xfId="0" applyFont="1" applyFill="1" applyBorder="1" applyAlignment="1">
      <alignment horizontal="center" vertical="center"/>
    </xf>
    <xf numFmtId="0" fontId="44" fillId="7" borderId="1" xfId="0" applyFont="1" applyFill="1" applyBorder="1"/>
    <xf numFmtId="0" fontId="44" fillId="30" borderId="7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44" fillId="32" borderId="7" xfId="0" applyFont="1" applyFill="1" applyBorder="1" applyAlignment="1">
      <alignment horizontal="center" vertical="center"/>
    </xf>
    <xf numFmtId="0" fontId="44" fillId="25" borderId="1" xfId="0" applyFont="1" applyFill="1" applyBorder="1" applyAlignment="1">
      <alignment horizontal="center" vertical="center"/>
    </xf>
    <xf numFmtId="0" fontId="42" fillId="27" borderId="1" xfId="0" applyFont="1" applyFill="1" applyBorder="1" applyAlignment="1">
      <alignment horizontal="center" vertical="center"/>
    </xf>
    <xf numFmtId="0" fontId="0" fillId="23" borderId="8" xfId="0" applyFill="1" applyBorder="1"/>
    <xf numFmtId="0" fontId="0" fillId="0" borderId="12" xfId="0" applyBorder="1"/>
    <xf numFmtId="0" fontId="43" fillId="31" borderId="7" xfId="0" applyFont="1" applyFill="1" applyBorder="1" applyAlignment="1">
      <alignment horizontal="center" vertical="center" wrapText="1"/>
    </xf>
    <xf numFmtId="0" fontId="19" fillId="2" borderId="16" xfId="0" applyFont="1" applyFill="1" applyAlignment="1">
      <alignment horizontal="center" vertical="center"/>
    </xf>
    <xf numFmtId="0" fontId="43" fillId="28" borderId="1" xfId="0" applyFont="1" applyFill="1" applyBorder="1" applyAlignment="1">
      <alignment horizontal="center" vertical="center" wrapText="1"/>
    </xf>
    <xf numFmtId="0" fontId="18" fillId="29" borderId="1" xfId="0" applyFont="1" applyFill="1" applyBorder="1" applyAlignment="1">
      <alignment horizontal="center" vertical="center"/>
    </xf>
    <xf numFmtId="0" fontId="44" fillId="29" borderId="1" xfId="0" applyFont="1" applyFill="1" applyBorder="1" applyAlignment="1">
      <alignment horizontal="center" vertical="center"/>
    </xf>
    <xf numFmtId="0" fontId="42" fillId="24" borderId="7" xfId="0" applyFont="1" applyFill="1" applyBorder="1" applyAlignment="1">
      <alignment horizontal="center" vertical="center"/>
    </xf>
    <xf numFmtId="0" fontId="43" fillId="25" borderId="7" xfId="0" applyFont="1" applyFill="1" applyBorder="1" applyAlignment="1">
      <alignment horizontal="center" vertical="center" wrapText="1"/>
    </xf>
    <xf numFmtId="0" fontId="41" fillId="26" borderId="1" xfId="0" applyFont="1" applyFill="1" applyBorder="1" applyAlignment="1">
      <alignment horizontal="center" vertical="center" wrapText="1"/>
    </xf>
    <xf numFmtId="0" fontId="43" fillId="29" borderId="7" xfId="0" applyFont="1" applyFill="1" applyBorder="1" applyAlignment="1">
      <alignment horizontal="center" vertical="center" wrapText="1"/>
    </xf>
    <xf numFmtId="0" fontId="18" fillId="32" borderId="1" xfId="0" applyFont="1" applyFill="1" applyBorder="1" applyAlignment="1">
      <alignment horizontal="center" vertical="center"/>
    </xf>
    <xf numFmtId="0" fontId="43" fillId="29" borderId="1" xfId="0" applyFont="1" applyFill="1" applyBorder="1" applyAlignment="1">
      <alignment horizontal="center" vertical="center" wrapText="1"/>
    </xf>
    <xf numFmtId="0" fontId="42" fillId="7" borderId="1" xfId="0" applyFont="1" applyFill="1" applyBorder="1"/>
    <xf numFmtId="0" fontId="18" fillId="25" borderId="1" xfId="0" applyFont="1" applyFill="1" applyBorder="1" applyAlignment="1">
      <alignment horizontal="center" vertical="center"/>
    </xf>
    <xf numFmtId="0" fontId="18" fillId="28" borderId="1" xfId="0" applyFont="1" applyFill="1" applyBorder="1" applyAlignment="1">
      <alignment horizontal="center" vertical="center"/>
    </xf>
    <xf numFmtId="0" fontId="18" fillId="31" borderId="1" xfId="0" applyFont="1" applyFill="1" applyBorder="1" applyAlignment="1">
      <alignment horizontal="center" vertical="center"/>
    </xf>
    <xf numFmtId="0" fontId="18" fillId="27" borderId="1" xfId="0" applyFont="1" applyFill="1" applyBorder="1" applyAlignment="1">
      <alignment horizontal="center" vertical="center"/>
    </xf>
    <xf numFmtId="0" fontId="43" fillId="30" borderId="7" xfId="0" applyFont="1" applyFill="1" applyBorder="1" applyAlignment="1">
      <alignment horizontal="center" vertical="center" wrapText="1"/>
    </xf>
    <xf numFmtId="0" fontId="43" fillId="32" borderId="7" xfId="0" applyFont="1" applyFill="1" applyBorder="1" applyAlignment="1">
      <alignment horizontal="center" vertical="center" wrapText="1"/>
    </xf>
    <xf numFmtId="0" fontId="43" fillId="30" borderId="1" xfId="0" applyFont="1" applyFill="1" applyBorder="1" applyAlignment="1">
      <alignment horizontal="center" vertical="center" wrapText="1"/>
    </xf>
    <xf numFmtId="0" fontId="43" fillId="25" borderId="1" xfId="0" applyFont="1" applyFill="1" applyBorder="1" applyAlignment="1">
      <alignment horizontal="center" vertical="center" wrapText="1"/>
    </xf>
    <xf numFmtId="0" fontId="42" fillId="7" borderId="7" xfId="0" applyFont="1" applyFill="1" applyBorder="1"/>
    <xf numFmtId="0" fontId="0" fillId="23" borderId="4" xfId="0" applyFill="1" applyBorder="1"/>
    <xf numFmtId="0" fontId="0" fillId="0" borderId="9" xfId="0" applyBorder="1"/>
    <xf numFmtId="0" fontId="63" fillId="38" borderId="13" xfId="0" applyFont="1" applyFill="1" applyBorder="1" applyAlignment="1">
      <alignment horizontal="left" vertical="center" wrapText="1"/>
    </xf>
    <xf numFmtId="0" fontId="46" fillId="35" borderId="16" xfId="0" applyFont="1" applyFill="1" applyAlignment="1">
      <alignment horizontal="center" vertical="center" wrapText="1"/>
    </xf>
    <xf numFmtId="0" fontId="57" fillId="36" borderId="13" xfId="0" applyFont="1" applyFill="1" applyBorder="1" applyAlignment="1">
      <alignment horizontal="left" vertical="center"/>
    </xf>
    <xf numFmtId="0" fontId="62" fillId="34" borderId="16" xfId="0" applyFont="1" applyFill="1" applyAlignment="1">
      <alignment horizontal="center" vertical="center"/>
    </xf>
    <xf numFmtId="176" fontId="79" fillId="54" borderId="16" xfId="2" applyNumberFormat="1" applyFont="1" applyFill="1" applyAlignment="1">
      <alignment horizontal="left" vertical="center"/>
    </xf>
    <xf numFmtId="0" fontId="73" fillId="54" borderId="16" xfId="2" applyFont="1" applyFill="1" applyAlignment="1">
      <alignment vertical="center"/>
    </xf>
  </cellXfs>
  <cellStyles count="10">
    <cellStyle name="Currency" xfId="1" builtinId="4"/>
    <cellStyle name="Currency 2" xfId="4" xr:uid="{00000000-0005-0000-0000-000004000000}"/>
    <cellStyle name="Currency 2 2" xfId="5" xr:uid="{00000000-0005-0000-0000-000005000000}"/>
    <cellStyle name="Normal" xfId="0" builtinId="0"/>
    <cellStyle name="Normal 2" xfId="2" xr:uid="{00000000-0005-0000-0000-000002000000}"/>
    <cellStyle name="Normal 3" xfId="6" xr:uid="{00000000-0005-0000-0000-000006000000}"/>
    <cellStyle name="Normal 3 2" xfId="7" xr:uid="{00000000-0005-0000-0000-000007000000}"/>
    <cellStyle name="Normal 4" xfId="9" xr:uid="{00000000-0005-0000-0000-000009000000}"/>
    <cellStyle name="Percent 2" xfId="3" xr:uid="{00000000-0005-0000-0000-000003000000}"/>
    <cellStyle name="Percent 2 2" xfId="8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0F3F4"/>
      <rgbColor rgb="FFFF00FF"/>
      <rgbColor rgb="FF00FFFF"/>
      <rgbColor rgb="FF7B0000"/>
      <rgbColor rgb="FF008000"/>
      <rgbColor rgb="FF000080"/>
      <rgbColor rgb="FFD35400"/>
      <rgbColor rgb="FF800080"/>
      <rgbColor rgb="FF1F6B75"/>
      <rgbColor rgb="FFBFBFBF"/>
      <rgbColor rgb="FF808080"/>
      <rgbColor rgb="FFECECEC"/>
      <rgbColor rgb="FF6C3483"/>
      <rgbColor rgb="FFFFF2CC"/>
      <rgbColor rgb="FFD9F0F3"/>
      <rgbColor rgb="FF5B4B8A"/>
      <rgbColor rgb="FFFF8080"/>
      <rgbColor rgb="FF1A5276"/>
      <rgbColor rgb="FFC5D8F5"/>
      <rgbColor rgb="FF000080"/>
      <rgbColor rgb="FFFF00FF"/>
      <rgbColor rgb="FFFFFF00"/>
      <rgbColor rgb="FF00FFFF"/>
      <rgbColor rgb="FF800080"/>
      <rgbColor rgb="FF800000"/>
      <rgbColor rgb="FF0E6655"/>
      <rgbColor rgb="FF0000FF"/>
      <rgbColor rgb="FF00CCFF"/>
      <rgbColor rgb="FFEEF4FC"/>
      <rgbColor rgb="FFE2EFDA"/>
      <rgbColor rgb="FFF2F2F2"/>
      <rgbColor rgb="FFD6E4F7"/>
      <rgbColor rgb="FFFFE5E5"/>
      <rgbColor rgb="FFE2D5F0"/>
      <rgbColor rgb="FFFCE4D6"/>
      <rgbColor rgb="FF4472C4"/>
      <rgbColor rgb="FF33CCCC"/>
      <rgbColor rgb="FF99CC00"/>
      <rgbColor rgb="FFFFCC00"/>
      <rgbColor rgb="FFC9A84C"/>
      <rgbColor rgb="FFED7D31"/>
      <rgbColor rgb="FF5D6D7E"/>
      <rgbColor rgb="FF707070"/>
      <rgbColor rgb="FF1F3864"/>
      <rgbColor rgb="FF1E8449"/>
      <rgbColor rgb="FF003300"/>
      <rgbColor rgb="FF595959"/>
      <rgbColor rgb="FFC0392B"/>
      <rgbColor rgb="FF7030A0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AU"/>
              <a:t>Net Effective Rent PSM — Monthly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Avg NER PSM ($)</c:v>
          </c:tx>
          <c:spPr>
            <a:ln w="25000">
              <a:solidFill>
                <a:srgbClr val="2E5090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2C-4414-89A9-86B6F87BB0B4}"/>
            </c:ext>
          </c:extLst>
        </c:ser>
        <c:ser>
          <c:idx val="1"/>
          <c:order val="1"/>
          <c:tx>
            <c:v>Avg Face PSM ($)</c:v>
          </c:tx>
          <c:spPr>
            <a:ln w="2000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2C-4414-89A9-86B6F87BB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Month</a:t>
                </a:r>
              </a:p>
            </c:rich>
          </c:tx>
          <c:overlay val="1"/>
        </c:title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NER ($/sqm)</a:t>
                </a:r>
              </a:p>
            </c:rich>
          </c:tx>
          <c:overlay val="1"/>
        </c:title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AU"/>
              <a:t>Occupancy % &amp; WALE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Occupancy %</c:v>
          </c:tx>
          <c:spPr>
            <a:ln w="25000">
              <a:solidFill>
                <a:srgbClr val="375623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FE-4F87-A5A3-952E7B3E3C0C}"/>
            </c:ext>
          </c:extLst>
        </c:ser>
        <c:ser>
          <c:idx val="1"/>
          <c:order val="1"/>
          <c:tx>
            <c:v>WALE (yrs, NLA)</c:v>
          </c:tx>
          <c:spPr>
            <a:ln w="20000"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FE-4F87-A5A3-952E7B3E3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Month</a:t>
                </a:r>
              </a:p>
            </c:rich>
          </c:tx>
          <c:overlay val="1"/>
        </c:title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Value</a:t>
                </a:r>
              </a:p>
            </c:rich>
          </c:tx>
          <c:overlay val="1"/>
        </c:title>
        <c:numFmt formatCode="0.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33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56</xdr:row>
      <xdr:rowOff>0</xdr:rowOff>
    </xdr:from>
    <xdr:ext cx="79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134470</xdr:rowOff>
    </xdr:from>
    <xdr:to>
      <xdr:col>8</xdr:col>
      <xdr:colOff>925232</xdr:colOff>
      <xdr:row>1</xdr:row>
      <xdr:rowOff>182880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77475" y="134470"/>
          <a:ext cx="922057" cy="29288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52041</xdr:colOff>
      <xdr:row>0</xdr:row>
      <xdr:rowOff>95250</xdr:rowOff>
    </xdr:from>
    <xdr:to>
      <xdr:col>6</xdr:col>
      <xdr:colOff>514350</xdr:colOff>
      <xdr:row>1</xdr:row>
      <xdr:rowOff>295275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287866" y="95250"/>
          <a:ext cx="1179859" cy="3619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showGridLines="0" zoomScaleNormal="100" workbookViewId="0">
      <selection sqref="A1:H1"/>
    </sheetView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628" t="s">
        <v>124</v>
      </c>
      <c r="B1" s="524"/>
      <c r="C1" s="524"/>
      <c r="D1" s="524"/>
      <c r="E1" s="524"/>
      <c r="F1" s="524"/>
      <c r="G1" s="524"/>
      <c r="H1" s="524"/>
    </row>
    <row r="2" spans="1:8" ht="18" customHeight="1" x14ac:dyDescent="0.35">
      <c r="A2" s="631" t="s">
        <v>125</v>
      </c>
      <c r="B2" s="524"/>
      <c r="C2" s="524"/>
      <c r="D2" s="524"/>
      <c r="E2" s="524"/>
      <c r="F2" s="524"/>
      <c r="G2" s="524"/>
      <c r="H2" s="524"/>
    </row>
    <row r="3" spans="1:8" ht="7.5" customHeight="1" x14ac:dyDescent="0.35"/>
    <row r="4" spans="1:8" ht="19.5" customHeight="1" x14ac:dyDescent="0.35">
      <c r="B4" s="620" t="s">
        <v>126</v>
      </c>
      <c r="C4" s="530"/>
      <c r="D4" s="530"/>
      <c r="E4" s="530"/>
      <c r="F4" s="530"/>
      <c r="G4" s="530"/>
    </row>
    <row r="5" spans="1:8" ht="18" customHeight="1" x14ac:dyDescent="0.35">
      <c r="B5" s="623" t="s">
        <v>127</v>
      </c>
      <c r="C5" s="526"/>
      <c r="D5" s="629" t="s">
        <v>128</v>
      </c>
      <c r="E5" s="530"/>
      <c r="F5" s="530"/>
      <c r="G5" s="526"/>
    </row>
    <row r="6" spans="1:8" ht="18" customHeight="1" x14ac:dyDescent="0.35">
      <c r="B6" s="625" t="s">
        <v>129</v>
      </c>
      <c r="C6" s="526"/>
      <c r="D6" s="632">
        <v>46142</v>
      </c>
      <c r="E6" s="530"/>
      <c r="F6" s="530"/>
      <c r="G6" s="526"/>
    </row>
    <row r="7" spans="1:8" ht="18" customHeight="1" x14ac:dyDescent="0.35">
      <c r="B7" s="623" t="s">
        <v>130</v>
      </c>
      <c r="C7" s="526"/>
      <c r="D7" s="627">
        <f>SUM('Input Data'!F3:F27)</f>
        <v>4704.5</v>
      </c>
      <c r="E7" s="530"/>
      <c r="F7" s="530"/>
      <c r="G7" s="526"/>
    </row>
    <row r="8" spans="1:8" ht="18" customHeight="1" x14ac:dyDescent="0.35">
      <c r="B8" s="625" t="s">
        <v>131</v>
      </c>
      <c r="C8" s="526"/>
      <c r="D8" s="636">
        <f>(SUM('Input Data'!F3:F27)-'Input Data'!F27)/SUM('Input Data'!F3:F27)</f>
        <v>0.96592624083324474</v>
      </c>
      <c r="E8" s="530"/>
      <c r="F8" s="530"/>
      <c r="G8" s="526"/>
    </row>
    <row r="9" spans="1:8" ht="18" customHeight="1" x14ac:dyDescent="0.35">
      <c r="B9" s="623" t="s">
        <v>132</v>
      </c>
      <c r="C9" s="526"/>
      <c r="D9" s="634">
        <f ca="1">IFERROR(SUMPRODUCT(('Input Data'!K3:K26&gt;0)*'Input Data'!F3:F26*MAX(('Input Data'!H3:H26-TODAY())/365.25,0))/SUMIF('Input Data'!K3:K26,"&gt;0",'Input Data'!F3:F26),0)</f>
        <v>0</v>
      </c>
      <c r="E9" s="530"/>
      <c r="F9" s="530"/>
      <c r="G9" s="526"/>
    </row>
    <row r="10" spans="1:8" ht="18" customHeight="1" x14ac:dyDescent="0.35">
      <c r="B10" s="625" t="s">
        <v>133</v>
      </c>
      <c r="C10" s="526"/>
      <c r="D10" s="633">
        <f ca="1">IFERROR(SUMPRODUCT(('Input Data'!N3:N26&gt;0)*'Input Data'!N3:N26*MAX(('Input Data'!H3:H26-TODAY())/365.25,0))/SUMIF('Input Data'!N3:N26,"&gt;0"),0)</f>
        <v>0</v>
      </c>
      <c r="E10" s="530"/>
      <c r="F10" s="530"/>
      <c r="G10" s="526"/>
    </row>
    <row r="11" spans="1:8" ht="18" customHeight="1" x14ac:dyDescent="0.35">
      <c r="B11" s="623" t="s">
        <v>134</v>
      </c>
      <c r="C11" s="526"/>
      <c r="D11" s="622">
        <f ca="1">SUMIF('Input Data'!K3:K27,"&gt;0")</f>
        <v>4688787.5659999996</v>
      </c>
      <c r="E11" s="530"/>
      <c r="F11" s="530"/>
      <c r="G11" s="526"/>
    </row>
    <row r="12" spans="1:8" ht="18" customHeight="1" x14ac:dyDescent="0.35">
      <c r="B12" s="625" t="s">
        <v>135</v>
      </c>
      <c r="C12" s="526"/>
      <c r="D12" s="635">
        <f ca="1">SUM('Input Data'!N3:N27)</f>
        <v>3894924.4459999995</v>
      </c>
      <c r="E12" s="530"/>
      <c r="F12" s="530"/>
      <c r="G12" s="526"/>
    </row>
    <row r="13" spans="1:8" ht="18" customHeight="1" x14ac:dyDescent="0.35">
      <c r="B13" s="623" t="s">
        <v>136</v>
      </c>
      <c r="C13" s="526"/>
      <c r="D13" s="621" t="s">
        <v>137</v>
      </c>
      <c r="E13" s="530"/>
      <c r="F13" s="530"/>
      <c r="G13" s="526"/>
    </row>
    <row r="14" spans="1:8" ht="18" customHeight="1" x14ac:dyDescent="0.35">
      <c r="B14" s="625" t="s">
        <v>138</v>
      </c>
      <c r="C14" s="526"/>
      <c r="D14" s="630" t="s">
        <v>139</v>
      </c>
      <c r="E14" s="530"/>
      <c r="F14" s="530"/>
      <c r="G14" s="526"/>
    </row>
    <row r="15" spans="1:8" ht="18" customHeight="1" x14ac:dyDescent="0.35">
      <c r="B15" s="623" t="s">
        <v>140</v>
      </c>
      <c r="C15" s="526"/>
      <c r="D15" s="626"/>
      <c r="E15" s="530"/>
      <c r="F15" s="530"/>
      <c r="G15" s="526"/>
    </row>
    <row r="16" spans="1:8" ht="18" customHeight="1" x14ac:dyDescent="0.35">
      <c r="B16" s="625" t="s">
        <v>141</v>
      </c>
      <c r="C16" s="526"/>
      <c r="D16" s="626"/>
      <c r="E16" s="530"/>
      <c r="F16" s="530"/>
      <c r="G16" s="526"/>
    </row>
    <row r="17" spans="2:7" ht="19.5" customHeight="1" x14ac:dyDescent="0.35">
      <c r="B17" s="623" t="s">
        <v>142</v>
      </c>
      <c r="C17" s="526"/>
      <c r="D17" s="621"/>
      <c r="E17" s="530"/>
      <c r="F17" s="530"/>
      <c r="G17" s="526"/>
    </row>
    <row r="18" spans="2:7" ht="7.5" customHeight="1" x14ac:dyDescent="0.35"/>
    <row r="19" spans="2:7" ht="19.5" customHeight="1" x14ac:dyDescent="0.35">
      <c r="B19" s="574" t="s">
        <v>143</v>
      </c>
      <c r="C19" s="530"/>
      <c r="D19" s="530"/>
      <c r="E19" s="530"/>
      <c r="F19" s="530"/>
      <c r="G19" s="530"/>
    </row>
    <row r="20" spans="2:7" ht="24" customHeight="1" x14ac:dyDescent="0.35">
      <c r="B20" s="1" t="s">
        <v>144</v>
      </c>
      <c r="C20" s="1" t="s">
        <v>145</v>
      </c>
      <c r="D20" s="1" t="s">
        <v>146</v>
      </c>
      <c r="E20" s="1" t="s">
        <v>147</v>
      </c>
      <c r="F20" s="1" t="s">
        <v>148</v>
      </c>
      <c r="G20" s="1" t="s">
        <v>149</v>
      </c>
    </row>
    <row r="21" spans="2:7" ht="18" customHeight="1" x14ac:dyDescent="0.35">
      <c r="B21" s="2">
        <v>46142</v>
      </c>
      <c r="C21" s="3"/>
      <c r="D21" s="3" t="s">
        <v>150</v>
      </c>
      <c r="E21" s="4">
        <f>(SUM('Input Data'!F3:F27)-'Input Data'!F27)/SUM('Input Data'!F3:F27)</f>
        <v>0.96592624083324474</v>
      </c>
      <c r="F21" s="5">
        <f ca="1">IFERROR(SUMPRODUCT(('Input Data'!K3:K26&gt;0)*'Input Data'!F3:F26*MAX(('Input Data'!H3:H26-TODAY())/365.25,0))/SUMIF('Input Data'!K3:K26,"&gt;0",'Input Data'!F3:F26),0)</f>
        <v>0</v>
      </c>
      <c r="G21" s="6" t="s">
        <v>151</v>
      </c>
    </row>
    <row r="22" spans="2:7" ht="18" customHeight="1" x14ac:dyDescent="0.35">
      <c r="B22" s="7"/>
      <c r="C22" s="7"/>
      <c r="D22" s="7"/>
      <c r="E22" s="7"/>
      <c r="F22" s="7"/>
      <c r="G22" s="7"/>
    </row>
    <row r="23" spans="2:7" ht="18" customHeight="1" x14ac:dyDescent="0.35">
      <c r="B23" s="8"/>
      <c r="C23" s="8"/>
      <c r="D23" s="8"/>
      <c r="E23" s="8"/>
      <c r="F23" s="8"/>
      <c r="G23" s="8"/>
    </row>
    <row r="24" spans="2:7" ht="18" customHeight="1" x14ac:dyDescent="0.35">
      <c r="B24" s="7"/>
      <c r="C24" s="7"/>
      <c r="D24" s="7"/>
      <c r="E24" s="7"/>
      <c r="F24" s="7"/>
      <c r="G24" s="7"/>
    </row>
    <row r="25" spans="2:7" ht="18" customHeight="1" x14ac:dyDescent="0.35">
      <c r="B25" s="8"/>
      <c r="C25" s="8"/>
      <c r="D25" s="8"/>
      <c r="E25" s="8"/>
      <c r="F25" s="8"/>
      <c r="G25" s="8"/>
    </row>
    <row r="26" spans="2:7" ht="18" customHeight="1" x14ac:dyDescent="0.35">
      <c r="B26" s="7"/>
      <c r="C26" s="7"/>
      <c r="D26" s="7"/>
      <c r="E26" s="7"/>
      <c r="F26" s="7"/>
      <c r="G26" s="7"/>
    </row>
    <row r="27" spans="2:7" ht="18" customHeight="1" x14ac:dyDescent="0.35">
      <c r="B27" s="8"/>
      <c r="C27" s="8"/>
      <c r="D27" s="8"/>
      <c r="E27" s="8"/>
      <c r="F27" s="8"/>
      <c r="G27" s="8"/>
    </row>
    <row r="28" spans="2:7" ht="18" customHeight="1" x14ac:dyDescent="0.35">
      <c r="B28" s="7"/>
      <c r="C28" s="7"/>
      <c r="D28" s="7"/>
      <c r="E28" s="7"/>
      <c r="F28" s="7"/>
      <c r="G28" s="7"/>
    </row>
    <row r="29" spans="2:7" ht="18" customHeight="1" x14ac:dyDescent="0.35">
      <c r="B29" s="8"/>
      <c r="C29" s="8"/>
      <c r="D29" s="8"/>
      <c r="E29" s="8"/>
      <c r="F29" s="8"/>
      <c r="G29" s="8"/>
    </row>
    <row r="30" spans="2:7" ht="18" customHeight="1" x14ac:dyDescent="0.35">
      <c r="B30" s="7"/>
      <c r="C30" s="7"/>
      <c r="D30" s="7"/>
      <c r="E30" s="7"/>
      <c r="F30" s="7"/>
      <c r="G30" s="7"/>
    </row>
    <row r="31" spans="2:7" ht="18" customHeight="1" x14ac:dyDescent="0.35">
      <c r="B31" s="8"/>
      <c r="C31" s="8"/>
      <c r="D31" s="8"/>
      <c r="E31" s="8"/>
      <c r="F31" s="8"/>
      <c r="G31" s="8"/>
    </row>
    <row r="32" spans="2:7" ht="18" customHeight="1" x14ac:dyDescent="0.35">
      <c r="B32" s="7"/>
      <c r="C32" s="7"/>
      <c r="D32" s="7"/>
      <c r="E32" s="7"/>
      <c r="F32" s="7"/>
      <c r="G32" s="7"/>
    </row>
    <row r="33" spans="2:7" ht="18" customHeight="1" x14ac:dyDescent="0.35">
      <c r="B33" s="8"/>
      <c r="C33" s="8"/>
      <c r="D33" s="8"/>
      <c r="E33" s="8"/>
      <c r="F33" s="8"/>
      <c r="G33" s="8"/>
    </row>
    <row r="34" spans="2:7" ht="18" customHeight="1" x14ac:dyDescent="0.35">
      <c r="B34" s="7"/>
      <c r="C34" s="7"/>
      <c r="D34" s="7"/>
      <c r="E34" s="7"/>
      <c r="F34" s="7"/>
      <c r="G34" s="7"/>
    </row>
    <row r="35" spans="2:7" ht="18" customHeight="1" x14ac:dyDescent="0.35">
      <c r="B35" s="8"/>
      <c r="C35" s="8"/>
      <c r="D35" s="8"/>
      <c r="E35" s="8"/>
      <c r="F35" s="8"/>
      <c r="G35" s="8"/>
    </row>
    <row r="36" spans="2:7" ht="18" customHeight="1" x14ac:dyDescent="0.35">
      <c r="B36" s="7"/>
      <c r="C36" s="7"/>
      <c r="D36" s="7"/>
      <c r="E36" s="7"/>
      <c r="F36" s="7"/>
      <c r="G36" s="7"/>
    </row>
    <row r="37" spans="2:7" ht="18" customHeight="1" x14ac:dyDescent="0.35">
      <c r="B37" s="8"/>
      <c r="C37" s="8"/>
      <c r="D37" s="8"/>
      <c r="E37" s="8"/>
      <c r="F37" s="8"/>
      <c r="G37" s="8"/>
    </row>
    <row r="38" spans="2:7" ht="18" customHeight="1" x14ac:dyDescent="0.35">
      <c r="B38" s="7"/>
      <c r="C38" s="7"/>
      <c r="D38" s="7"/>
      <c r="E38" s="7"/>
      <c r="F38" s="7"/>
      <c r="G38" s="7"/>
    </row>
    <row r="39" spans="2:7" ht="18" customHeight="1" x14ac:dyDescent="0.35">
      <c r="B39" s="8"/>
      <c r="C39" s="8"/>
      <c r="D39" s="8"/>
      <c r="E39" s="8"/>
      <c r="F39" s="8"/>
      <c r="G39" s="8"/>
    </row>
    <row r="40" spans="2:7" ht="7.5" customHeight="1" x14ac:dyDescent="0.35"/>
    <row r="41" spans="2:7" ht="19.5" customHeight="1" x14ac:dyDescent="0.35">
      <c r="B41" s="620" t="s">
        <v>152</v>
      </c>
      <c r="C41" s="530"/>
      <c r="D41" s="530"/>
      <c r="E41" s="530"/>
      <c r="F41" s="530"/>
      <c r="G41" s="530"/>
    </row>
    <row r="42" spans="2:7" ht="18" customHeight="1" x14ac:dyDescent="0.35">
      <c r="B42" s="9" t="s">
        <v>153</v>
      </c>
      <c r="C42" s="624" t="s">
        <v>154</v>
      </c>
      <c r="D42" s="530"/>
      <c r="E42" s="530"/>
      <c r="F42" s="530"/>
      <c r="G42" s="530"/>
    </row>
    <row r="43" spans="2:7" ht="18" customHeight="1" x14ac:dyDescent="0.35">
      <c r="B43" s="9" t="s">
        <v>155</v>
      </c>
      <c r="C43" s="619" t="s">
        <v>156</v>
      </c>
      <c r="D43" s="530"/>
      <c r="E43" s="530"/>
      <c r="F43" s="530"/>
      <c r="G43" s="530"/>
    </row>
    <row r="44" spans="2:7" ht="18" customHeight="1" x14ac:dyDescent="0.35">
      <c r="B44" s="9" t="s">
        <v>157</v>
      </c>
      <c r="C44" s="624" t="s">
        <v>158</v>
      </c>
      <c r="D44" s="530"/>
      <c r="E44" s="530"/>
      <c r="F44" s="530"/>
      <c r="G44" s="530"/>
    </row>
    <row r="45" spans="2:7" ht="18" customHeight="1" x14ac:dyDescent="0.35">
      <c r="B45" s="9" t="s">
        <v>159</v>
      </c>
      <c r="C45" s="619" t="s">
        <v>160</v>
      </c>
      <c r="D45" s="530"/>
      <c r="E45" s="530"/>
      <c r="F45" s="530"/>
      <c r="G45" s="530"/>
    </row>
    <row r="46" spans="2:7" ht="18" customHeight="1" x14ac:dyDescent="0.35">
      <c r="B46" s="9" t="s">
        <v>161</v>
      </c>
      <c r="C46" s="624" t="s">
        <v>162</v>
      </c>
      <c r="D46" s="530"/>
      <c r="E46" s="530"/>
      <c r="F46" s="530"/>
      <c r="G46" s="530"/>
    </row>
    <row r="47" spans="2:7" ht="18" customHeight="1" x14ac:dyDescent="0.35">
      <c r="B47" s="9" t="s">
        <v>163</v>
      </c>
      <c r="C47" s="619" t="s">
        <v>164</v>
      </c>
      <c r="D47" s="530"/>
      <c r="E47" s="530"/>
      <c r="F47" s="530"/>
      <c r="G47" s="530"/>
    </row>
    <row r="48" spans="2:7" ht="18" customHeight="1" x14ac:dyDescent="0.35">
      <c r="B48" s="9" t="s">
        <v>165</v>
      </c>
      <c r="C48" s="624" t="s">
        <v>166</v>
      </c>
      <c r="D48" s="530"/>
      <c r="E48" s="530"/>
      <c r="F48" s="530"/>
      <c r="G48" s="530"/>
    </row>
    <row r="49" spans="2:7" ht="18" customHeight="1" x14ac:dyDescent="0.35">
      <c r="B49" s="9" t="s">
        <v>167</v>
      </c>
      <c r="C49" s="619" t="s">
        <v>168</v>
      </c>
      <c r="D49" s="530"/>
      <c r="E49" s="530"/>
      <c r="F49" s="530"/>
      <c r="G49" s="530"/>
    </row>
    <row r="50" spans="2:7" ht="18" customHeight="1" x14ac:dyDescent="0.35">
      <c r="B50" s="9" t="s">
        <v>169</v>
      </c>
      <c r="C50" s="624" t="s">
        <v>170</v>
      </c>
      <c r="D50" s="530"/>
      <c r="E50" s="530"/>
      <c r="F50" s="530"/>
      <c r="G50" s="530"/>
    </row>
    <row r="51" spans="2:7" ht="18" customHeight="1" x14ac:dyDescent="0.35">
      <c r="B51" s="9" t="s">
        <v>171</v>
      </c>
      <c r="C51" s="619" t="s">
        <v>172</v>
      </c>
      <c r="D51" s="530"/>
      <c r="E51" s="530"/>
      <c r="F51" s="530"/>
      <c r="G51" s="530"/>
    </row>
  </sheetData>
  <mergeCells count="41"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C47:G47"/>
    <mergeCell ref="C43:G43"/>
    <mergeCell ref="C46:G46"/>
    <mergeCell ref="A1:H1"/>
    <mergeCell ref="D5:G5"/>
    <mergeCell ref="D14:G14"/>
    <mergeCell ref="B12:C12"/>
    <mergeCell ref="B19:G19"/>
    <mergeCell ref="B11:C11"/>
    <mergeCell ref="B8:C8"/>
    <mergeCell ref="A2:H2"/>
    <mergeCell ref="D6:G6"/>
    <mergeCell ref="B17:C17"/>
    <mergeCell ref="D10:G10"/>
    <mergeCell ref="B13:C13"/>
    <mergeCell ref="B10:C10"/>
    <mergeCell ref="C51:G51"/>
    <mergeCell ref="B41:G41"/>
    <mergeCell ref="B4:G4"/>
    <mergeCell ref="D13:G13"/>
    <mergeCell ref="D11:G11"/>
    <mergeCell ref="B9:C9"/>
    <mergeCell ref="C48:G48"/>
    <mergeCell ref="B6:C6"/>
    <mergeCell ref="D17:G17"/>
    <mergeCell ref="B15:C15"/>
    <mergeCell ref="B5:C5"/>
    <mergeCell ref="D16:G16"/>
    <mergeCell ref="D7:G7"/>
    <mergeCell ref="C50:G50"/>
    <mergeCell ref="C44:G44"/>
    <mergeCell ref="B14:C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1"/>
  <sheetViews>
    <sheetView showGridLines="0" topLeftCell="J1" zoomScaleNormal="100" workbookViewId="0">
      <pane ySplit="2" topLeftCell="A3" activePane="bottomLeft" state="frozen"/>
      <selection pane="bottomLeft" activeCell="Z22" sqref="Z22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628" t="s">
        <v>173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  <c r="O1" s="524"/>
      <c r="P1" s="524"/>
      <c r="Q1" s="524"/>
      <c r="R1" s="524"/>
      <c r="S1" s="524"/>
      <c r="T1" s="524"/>
      <c r="U1" s="524"/>
      <c r="V1" s="524"/>
      <c r="W1" s="524"/>
      <c r="X1" s="524"/>
    </row>
    <row r="2" spans="1:28" ht="31.5" customHeight="1" x14ac:dyDescent="0.35">
      <c r="A2" s="10" t="s">
        <v>174</v>
      </c>
      <c r="B2" s="10" t="s">
        <v>81</v>
      </c>
      <c r="C2" s="10" t="s">
        <v>175</v>
      </c>
      <c r="D2" s="10" t="s">
        <v>176</v>
      </c>
      <c r="E2" s="10" t="s">
        <v>177</v>
      </c>
      <c r="F2" s="10" t="s">
        <v>28</v>
      </c>
      <c r="G2" s="10" t="s">
        <v>178</v>
      </c>
      <c r="H2" s="10" t="s">
        <v>58</v>
      </c>
      <c r="I2" s="10" t="s">
        <v>179</v>
      </c>
      <c r="J2" s="10" t="s">
        <v>180</v>
      </c>
      <c r="K2" s="10" t="s">
        <v>181</v>
      </c>
      <c r="L2" s="10" t="s">
        <v>182</v>
      </c>
      <c r="M2" s="10" t="s">
        <v>183</v>
      </c>
      <c r="N2" s="10" t="s">
        <v>84</v>
      </c>
      <c r="O2" s="10" t="s">
        <v>184</v>
      </c>
      <c r="P2" s="10" t="s">
        <v>185</v>
      </c>
      <c r="Q2" s="10" t="s">
        <v>186</v>
      </c>
      <c r="R2" s="10" t="s">
        <v>187</v>
      </c>
      <c r="S2" s="10" t="s">
        <v>188</v>
      </c>
      <c r="T2" s="10" t="s">
        <v>189</v>
      </c>
      <c r="U2" s="10" t="s">
        <v>190</v>
      </c>
      <c r="V2" s="10" t="s">
        <v>191</v>
      </c>
      <c r="W2" s="10" t="s">
        <v>192</v>
      </c>
      <c r="X2" s="10" t="s">
        <v>193</v>
      </c>
      <c r="Y2" s="164" t="s">
        <v>194</v>
      </c>
      <c r="Z2" s="164" t="s">
        <v>195</v>
      </c>
      <c r="AA2" s="375" t="s">
        <v>196</v>
      </c>
      <c r="AB2" s="375" t="s">
        <v>197</v>
      </c>
    </row>
    <row r="3" spans="1:28" ht="15.75" customHeight="1" x14ac:dyDescent="0.35">
      <c r="A3" s="3" t="s">
        <v>198</v>
      </c>
      <c r="B3" s="3" t="s">
        <v>199</v>
      </c>
      <c r="C3" s="3" t="s">
        <v>200</v>
      </c>
      <c r="D3" s="326" t="str">
        <f ca="1">IF(Y3="EXPIRED","VACANT","OPULENT TWO ENTERPRISES")</f>
        <v>OPULENT TWO ENTERPRISES</v>
      </c>
      <c r="E3" s="327" t="str">
        <f ca="1">IF(Y3="EXPIRED","","OPULENT TWO ENTERPRISES")</f>
        <v>OPULENT TWO ENTERPRISES</v>
      </c>
      <c r="F3" s="11">
        <v>151.19999999999999</v>
      </c>
      <c r="G3" s="328">
        <f ca="1">IF(Y3="EXPIRED","",DATE(2016,2,1))</f>
        <v>42401</v>
      </c>
      <c r="H3" s="328">
        <f t="shared" ref="H3:H27" ca="1" si="0">IF(Z3="","",IF(Z3&lt;TODAY(),"",Z3))</f>
        <v>47149</v>
      </c>
      <c r="I3" s="329">
        <f ca="1">IF(Y3="EXPIRED","",13)</f>
        <v>13</v>
      </c>
      <c r="J3" s="330">
        <f ca="1">IF(Y3="EXPIRED",0,1002.01)</f>
        <v>1002.01</v>
      </c>
      <c r="K3" s="330">
        <f t="shared" ref="K3:K27" ca="1" si="1">IF(Y3="EXPIRED",0,J3*F3)</f>
        <v>151503.91199999998</v>
      </c>
      <c r="L3" s="13">
        <v>-28014.84</v>
      </c>
      <c r="M3" s="13">
        <v>15000</v>
      </c>
      <c r="N3" s="122">
        <f t="shared" ref="N3:N27" ca="1" si="2">K3+L3</f>
        <v>123489.07199999999</v>
      </c>
      <c r="O3" s="3">
        <v>0</v>
      </c>
      <c r="P3" s="3" t="s">
        <v>201</v>
      </c>
      <c r="Q3" s="12">
        <v>46419</v>
      </c>
      <c r="R3" s="3" t="s">
        <v>202</v>
      </c>
      <c r="S3" s="13">
        <f>IFERROR(INDEX('Market Rents 26-27'!E:E,MATCH(C3,'Market Rents 26-27'!$A:$A,0)),0)</f>
        <v>930</v>
      </c>
      <c r="T3" s="122">
        <f t="shared" ref="T3:T27" ca="1" si="3">IF(J3&gt;0,J3-S3,"")</f>
        <v>72.009999999999991</v>
      </c>
      <c r="U3" s="123">
        <f t="shared" ref="U3:U27" ca="1" si="4">IF(AND(J3&gt;0,S3&gt;0),(J3-S3)/S3,"")</f>
        <v>7.7430107526881717E-2</v>
      </c>
      <c r="V3" s="124">
        <f t="shared" ref="V3:V27" ca="1" si="5">IF(H3="",0,IFERROR(MAX((H3-TODAY())/365.25,0),0))</f>
        <v>2.7351129363449691</v>
      </c>
      <c r="W3" s="125">
        <f t="shared" ref="W3:W27" ca="1" si="6">F3*V3</f>
        <v>413.5490759753593</v>
      </c>
      <c r="X3" s="3"/>
      <c r="Y3" s="217" t="str">
        <f t="shared" ref="Y3:Y27" ca="1" si="7">IF(Z3="","VACANT",IF(Z3&lt;TODAY(),"EXPIRED","ACTIVE"))</f>
        <v>ACTIVE</v>
      </c>
      <c r="Z3" s="298">
        <v>47149</v>
      </c>
      <c r="AA3" s="376">
        <v>1002.01</v>
      </c>
      <c r="AB3" s="379" t="s">
        <v>203</v>
      </c>
    </row>
    <row r="4" spans="1:28" ht="15.75" customHeight="1" x14ac:dyDescent="0.35">
      <c r="A4" s="15" t="s">
        <v>204</v>
      </c>
      <c r="B4" s="15" t="s">
        <v>98</v>
      </c>
      <c r="C4" s="15" t="s">
        <v>205</v>
      </c>
      <c r="D4" s="331" t="str">
        <f ca="1">IF(Y4="EXPIRED","VACANT","RCVRI MARTIN PLACE PTY LTD")</f>
        <v>RCVRI MARTIN PLACE PTY LTD</v>
      </c>
      <c r="E4" s="332" t="str">
        <f ca="1">IF(Y4="EXPIRED","","RECOVERIE")</f>
        <v>RECOVERIE</v>
      </c>
      <c r="F4" s="16">
        <v>298.3</v>
      </c>
      <c r="G4" s="333">
        <f ca="1">IF(Y4="EXPIRED","",DATE(2025,1,21))</f>
        <v>45678</v>
      </c>
      <c r="H4" s="333">
        <f t="shared" ca="1" si="0"/>
        <v>48233</v>
      </c>
      <c r="I4" s="334">
        <f ca="1">IF(Y4="EXPIRED","",7)</f>
        <v>7</v>
      </c>
      <c r="J4" s="335">
        <f ca="1">IF(Y4="EXPIRED",0,1150.52)</f>
        <v>1150.52</v>
      </c>
      <c r="K4" s="335">
        <f t="shared" ca="1" si="1"/>
        <v>343200.11599999998</v>
      </c>
      <c r="L4" s="18">
        <v>-70714.320000000007</v>
      </c>
      <c r="M4" s="18">
        <v>10408.32</v>
      </c>
      <c r="N4" s="126">
        <f t="shared" ca="1" si="2"/>
        <v>272485.79599999997</v>
      </c>
      <c r="O4" s="15">
        <v>0</v>
      </c>
      <c r="P4" s="15" t="s">
        <v>201</v>
      </c>
      <c r="Q4" s="17">
        <v>46408</v>
      </c>
      <c r="R4" s="15" t="s">
        <v>206</v>
      </c>
      <c r="S4" s="18">
        <f>IFERROR(INDEX('Market Rents 26-27'!E:E,MATCH(C4,'Market Rents 26-27'!$A:$A,0)),0)</f>
        <v>1100</v>
      </c>
      <c r="T4" s="126">
        <f t="shared" ca="1" si="3"/>
        <v>50.519999999999982</v>
      </c>
      <c r="U4" s="127">
        <f t="shared" ca="1" si="4"/>
        <v>4.5927272727272712E-2</v>
      </c>
      <c r="V4" s="128">
        <f t="shared" ca="1" si="5"/>
        <v>5.7029431895961666</v>
      </c>
      <c r="W4" s="129">
        <f t="shared" ca="1" si="6"/>
        <v>1701.1879534565367</v>
      </c>
      <c r="X4" s="15"/>
      <c r="Y4" s="217" t="str">
        <f t="shared" ca="1" si="7"/>
        <v>ACTIVE</v>
      </c>
      <c r="Z4" s="298">
        <v>48233</v>
      </c>
      <c r="AA4" s="376">
        <v>1150.52</v>
      </c>
      <c r="AB4" s="379" t="s">
        <v>207</v>
      </c>
    </row>
    <row r="5" spans="1:28" ht="15.75" customHeight="1" x14ac:dyDescent="0.35">
      <c r="A5" s="20" t="s">
        <v>208</v>
      </c>
      <c r="B5" s="20" t="s">
        <v>97</v>
      </c>
      <c r="C5" s="20" t="s">
        <v>209</v>
      </c>
      <c r="D5" s="336" t="str">
        <f ca="1">IF(Y5="EXPIRED","VACANT","BLITZEM PTY LTD")</f>
        <v>BLITZEM PTY LTD</v>
      </c>
      <c r="E5" s="337" t="str">
        <f ca="1">IF(Y5="EXPIRED","","BLITZEM PTY LTD")</f>
        <v>BLITZEM PTY LTD</v>
      </c>
      <c r="F5" s="21">
        <v>162.4</v>
      </c>
      <c r="G5" s="338">
        <f ca="1">IF(Y5="EXPIRED","",DATE(2017,3,1))</f>
        <v>42795</v>
      </c>
      <c r="H5" s="338">
        <f t="shared" ca="1" si="0"/>
        <v>46203</v>
      </c>
      <c r="I5" s="339">
        <f ca="1">IF(Y5="EXPIRED","",9.3)</f>
        <v>9.3000000000000007</v>
      </c>
      <c r="J5" s="340">
        <f ca="1">IF(Y5="EXPIRED",0,1010.25)</f>
        <v>1010.25</v>
      </c>
      <c r="K5" s="340">
        <f t="shared" ca="1" si="1"/>
        <v>164064.6</v>
      </c>
      <c r="L5" s="23">
        <v>0</v>
      </c>
      <c r="M5" s="23">
        <v>9936</v>
      </c>
      <c r="N5" s="130">
        <f t="shared" ca="1" si="2"/>
        <v>164064.6</v>
      </c>
      <c r="O5" s="20">
        <v>0</v>
      </c>
      <c r="P5" s="20" t="s">
        <v>210</v>
      </c>
      <c r="Q5" s="22">
        <v>46203</v>
      </c>
      <c r="R5" s="20" t="s">
        <v>202</v>
      </c>
      <c r="S5" s="23">
        <f>IFERROR(INDEX('Market Rents 26-27'!E:E,MATCH(C5,'Market Rents 26-27'!$A:$A,0)),0)</f>
        <v>1115</v>
      </c>
      <c r="T5" s="130">
        <f t="shared" ca="1" si="3"/>
        <v>-104.75</v>
      </c>
      <c r="U5" s="131">
        <f t="shared" ca="1" si="4"/>
        <v>-9.3946188340807174E-2</v>
      </c>
      <c r="V5" s="132">
        <f t="shared" ca="1" si="5"/>
        <v>0.14510609171800137</v>
      </c>
      <c r="W5" s="133">
        <f t="shared" ca="1" si="6"/>
        <v>23.565229295003423</v>
      </c>
      <c r="X5" s="20"/>
      <c r="Y5" s="217" t="str">
        <f t="shared" ca="1" si="7"/>
        <v>ACTIVE</v>
      </c>
      <c r="Z5" s="298">
        <v>46203</v>
      </c>
      <c r="AA5" s="376">
        <v>1010.25</v>
      </c>
      <c r="AB5" s="379" t="s">
        <v>211</v>
      </c>
    </row>
    <row r="6" spans="1:28" ht="15.75" customHeight="1" x14ac:dyDescent="0.35">
      <c r="A6" s="15" t="s">
        <v>212</v>
      </c>
      <c r="B6" s="15" t="s">
        <v>97</v>
      </c>
      <c r="C6" s="15" t="s">
        <v>213</v>
      </c>
      <c r="D6" s="331" t="str">
        <f ca="1">IF(Y6="EXPIRED","VACANT","PU PRIME TRADING PTY LTD")</f>
        <v>PU PRIME TRADING PTY LTD</v>
      </c>
      <c r="E6" s="332" t="str">
        <f ca="1">IF(Y6="EXPIRED","","PU PRIME TRADING PTY LTD")</f>
        <v>PU PRIME TRADING PTY LTD</v>
      </c>
      <c r="F6" s="16">
        <v>96.3</v>
      </c>
      <c r="G6" s="333">
        <f ca="1">IF(Y6="EXPIRED","",DATE(2021,7,1))</f>
        <v>44378</v>
      </c>
      <c r="H6" s="333">
        <f t="shared" ca="1" si="0"/>
        <v>46918</v>
      </c>
      <c r="I6" s="334">
        <f ca="1">IF(Y6="EXPIRED","",7)</f>
        <v>7</v>
      </c>
      <c r="J6" s="335">
        <f ca="1">IF(Y6="EXPIRED",0,982.68)</f>
        <v>982.68</v>
      </c>
      <c r="K6" s="335">
        <f t="shared" ca="1" si="1"/>
        <v>94632.083999999988</v>
      </c>
      <c r="L6" s="18">
        <v>-5459.04</v>
      </c>
      <c r="M6" s="18">
        <v>6780</v>
      </c>
      <c r="N6" s="126">
        <f t="shared" ca="1" si="2"/>
        <v>89173.043999999994</v>
      </c>
      <c r="O6" s="15">
        <v>0</v>
      </c>
      <c r="P6" s="15" t="s">
        <v>201</v>
      </c>
      <c r="Q6" s="17">
        <v>46461</v>
      </c>
      <c r="R6" s="15" t="s">
        <v>202</v>
      </c>
      <c r="S6" s="18">
        <f>IFERROR(INDEX('Market Rents 26-27'!E:E,MATCH(C6,'Market Rents 26-27'!$A:$A,0)),0)</f>
        <v>960</v>
      </c>
      <c r="T6" s="126">
        <f t="shared" ca="1" si="3"/>
        <v>22.67999999999995</v>
      </c>
      <c r="U6" s="127">
        <f t="shared" ca="1" si="4"/>
        <v>2.3624999999999948E-2</v>
      </c>
      <c r="V6" s="128">
        <f t="shared" ca="1" si="5"/>
        <v>2.1026694045174539</v>
      </c>
      <c r="W6" s="129">
        <f t="shared" ca="1" si="6"/>
        <v>202.48706365503079</v>
      </c>
      <c r="X6" s="15"/>
      <c r="Y6" s="217" t="str">
        <f t="shared" ca="1" si="7"/>
        <v>ACTIVE</v>
      </c>
      <c r="Z6" s="298">
        <v>46918</v>
      </c>
      <c r="AA6" s="376">
        <v>982.68</v>
      </c>
      <c r="AB6" s="379" t="s">
        <v>214</v>
      </c>
    </row>
    <row r="7" spans="1:28" ht="15.75" customHeight="1" x14ac:dyDescent="0.35">
      <c r="A7" s="20" t="s">
        <v>215</v>
      </c>
      <c r="B7" s="20" t="s">
        <v>97</v>
      </c>
      <c r="C7" s="20" t="s">
        <v>216</v>
      </c>
      <c r="D7" s="336" t="str">
        <f ca="1">IF(Y7="EXPIRED","VACANT","TJC#1 PTY LTD")</f>
        <v>TJC#1 PTY LTD</v>
      </c>
      <c r="E7" s="337" t="str">
        <f ca="1">IF(Y7="EXPIRED","","TJC#1 PTY LTD")</f>
        <v>TJC#1 PTY LTD</v>
      </c>
      <c r="F7" s="21">
        <v>98.1</v>
      </c>
      <c r="G7" s="338">
        <f ca="1">IF(Y7="EXPIRED","",DATE(2023,8,1))</f>
        <v>45139</v>
      </c>
      <c r="H7" s="338">
        <f t="shared" ca="1" si="0"/>
        <v>46234</v>
      </c>
      <c r="I7" s="339">
        <f ca="1">IF(Y7="EXPIRED","",3)</f>
        <v>3</v>
      </c>
      <c r="J7" s="340">
        <f ca="1">IF(Y7="EXPIRED",0,973.44)</f>
        <v>973.44</v>
      </c>
      <c r="K7" s="340">
        <f t="shared" ca="1" si="1"/>
        <v>95494.463999999993</v>
      </c>
      <c r="L7" s="23">
        <v>-19423.8</v>
      </c>
      <c r="M7" s="23">
        <v>4500</v>
      </c>
      <c r="N7" s="130">
        <f t="shared" ca="1" si="2"/>
        <v>76070.66399999999</v>
      </c>
      <c r="O7" s="20">
        <v>0</v>
      </c>
      <c r="P7" s="20" t="s">
        <v>210</v>
      </c>
      <c r="Q7" s="22">
        <v>46235</v>
      </c>
      <c r="R7" s="20" t="s">
        <v>202</v>
      </c>
      <c r="S7" s="23">
        <f>IFERROR(INDEX('Market Rents 26-27'!E:E,MATCH(C7,'Market Rents 26-27'!$A:$A,0)),0)</f>
        <v>960</v>
      </c>
      <c r="T7" s="130">
        <f t="shared" ca="1" si="3"/>
        <v>13.440000000000055</v>
      </c>
      <c r="U7" s="131">
        <f t="shared" ca="1" si="4"/>
        <v>1.4000000000000058E-2</v>
      </c>
      <c r="V7" s="132">
        <f t="shared" ca="1" si="5"/>
        <v>0.2299794661190965</v>
      </c>
      <c r="W7" s="133">
        <f t="shared" ca="1" si="6"/>
        <v>22.560985626283365</v>
      </c>
      <c r="X7" s="20"/>
      <c r="Y7" s="217" t="str">
        <f t="shared" ca="1" si="7"/>
        <v>ACTIVE</v>
      </c>
      <c r="Z7" s="298">
        <v>46234</v>
      </c>
      <c r="AA7" s="376">
        <v>973.44</v>
      </c>
      <c r="AB7" s="379" t="s">
        <v>217</v>
      </c>
    </row>
    <row r="8" spans="1:28" ht="15.75" customHeight="1" x14ac:dyDescent="0.35">
      <c r="A8" s="15" t="s">
        <v>218</v>
      </c>
      <c r="B8" s="15" t="s">
        <v>96</v>
      </c>
      <c r="C8" s="15" t="s">
        <v>219</v>
      </c>
      <c r="D8" s="331" t="str">
        <f ca="1">IF(Y8="EXPIRED","VACANT","PRINCETON FINANCIAL SERVICES")</f>
        <v>PRINCETON FINANCIAL SERVICES</v>
      </c>
      <c r="E8" s="332" t="str">
        <f ca="1">IF(Y8="EXPIRED","","PRINCETON FINANCIAL SERVICES")</f>
        <v>PRINCETON FINANCIAL SERVICES</v>
      </c>
      <c r="F8" s="16">
        <v>393.2</v>
      </c>
      <c r="G8" s="333">
        <f ca="1">IF(Y8="EXPIRED","",DATE(2024,1,1))</f>
        <v>45292</v>
      </c>
      <c r="H8" s="333">
        <f t="shared" ca="1" si="0"/>
        <v>47118</v>
      </c>
      <c r="I8" s="334">
        <f ca="1">IF(Y8="EXPIRED","",5)</f>
        <v>5</v>
      </c>
      <c r="J8" s="335">
        <f ca="1">IF(Y8="EXPIRED",0,1081.6)</f>
        <v>1081.5999999999999</v>
      </c>
      <c r="K8" s="335">
        <f t="shared" ca="1" si="1"/>
        <v>425285.11999999994</v>
      </c>
      <c r="L8" s="18">
        <v>-23581.8</v>
      </c>
      <c r="M8" s="18">
        <v>16200</v>
      </c>
      <c r="N8" s="126">
        <f t="shared" ca="1" si="2"/>
        <v>401703.31999999995</v>
      </c>
      <c r="O8" s="15">
        <v>0</v>
      </c>
      <c r="P8" s="15" t="s">
        <v>201</v>
      </c>
      <c r="Q8" s="17">
        <v>46388</v>
      </c>
      <c r="R8" s="15" t="s">
        <v>202</v>
      </c>
      <c r="S8" s="18">
        <f>IFERROR(INDEX('Market Rents 26-27'!E:E,MATCH(C8,'Market Rents 26-27'!$A:$A,0)),0)</f>
        <v>1095</v>
      </c>
      <c r="T8" s="126">
        <f t="shared" ca="1" si="3"/>
        <v>-13.400000000000091</v>
      </c>
      <c r="U8" s="127">
        <f t="shared" ca="1" si="4"/>
        <v>-1.2237442922374513E-2</v>
      </c>
      <c r="V8" s="128">
        <f t="shared" ca="1" si="5"/>
        <v>2.6502395619438741</v>
      </c>
      <c r="W8" s="129">
        <f t="shared" ca="1" si="6"/>
        <v>1042.0741957563312</v>
      </c>
      <c r="X8" s="15"/>
      <c r="Y8" s="217" t="str">
        <f t="shared" ca="1" si="7"/>
        <v>ACTIVE</v>
      </c>
      <c r="Z8" s="298">
        <v>47118</v>
      </c>
      <c r="AA8" s="376">
        <v>1081.5999999999999</v>
      </c>
      <c r="AB8" s="379" t="s">
        <v>220</v>
      </c>
    </row>
    <row r="9" spans="1:28" ht="15.75" customHeight="1" x14ac:dyDescent="0.35">
      <c r="A9" s="3" t="s">
        <v>221</v>
      </c>
      <c r="B9" s="3" t="s">
        <v>95</v>
      </c>
      <c r="C9" s="3" t="s">
        <v>222</v>
      </c>
      <c r="D9" s="326" t="str">
        <f ca="1">IF(Y9="EXPIRED","VACANT","IPM RESIDENTIAL PTY LTD")</f>
        <v>IPM RESIDENTIAL PTY LTD</v>
      </c>
      <c r="E9" s="327" t="str">
        <f ca="1">IF(Y9="EXPIRED","","IPM RESIDENTIAL PTY LTD")</f>
        <v>IPM RESIDENTIAL PTY LTD</v>
      </c>
      <c r="F9" s="11">
        <v>164.2</v>
      </c>
      <c r="G9" s="328">
        <f ca="1">IF(Y9="EXPIRED","",DATE(2022,6,1))</f>
        <v>44713</v>
      </c>
      <c r="H9" s="328">
        <f t="shared" ca="1" si="0"/>
        <v>46538</v>
      </c>
      <c r="I9" s="329">
        <f ca="1">IF(Y9="EXPIRED","",5)</f>
        <v>5</v>
      </c>
      <c r="J9" s="330">
        <f ca="1">IF(Y9="EXPIRED",0,1172.61)</f>
        <v>1172.6099999999999</v>
      </c>
      <c r="K9" s="330">
        <f t="shared" ca="1" si="1"/>
        <v>192542.56199999998</v>
      </c>
      <c r="L9" s="13">
        <v>-15516.96</v>
      </c>
      <c r="M9" s="13">
        <v>9900</v>
      </c>
      <c r="N9" s="122">
        <f t="shared" ca="1" si="2"/>
        <v>177025.60199999998</v>
      </c>
      <c r="O9" s="3">
        <v>2</v>
      </c>
      <c r="P9" s="3" t="s">
        <v>223</v>
      </c>
      <c r="Q9" s="12">
        <v>46174</v>
      </c>
      <c r="R9" s="3" t="s">
        <v>202</v>
      </c>
      <c r="S9" s="13">
        <f>IFERROR(INDEX('Market Rents 26-27'!E:E,MATCH(C9,'Market Rents 26-27'!$A:$A,0)),0)</f>
        <v>1135</v>
      </c>
      <c r="T9" s="122">
        <f t="shared" ca="1" si="3"/>
        <v>37.6099999999999</v>
      </c>
      <c r="U9" s="123">
        <f t="shared" ca="1" si="4"/>
        <v>3.3136563876651891E-2</v>
      </c>
      <c r="V9" s="124">
        <f t="shared" ca="1" si="5"/>
        <v>1.0622861054072552</v>
      </c>
      <c r="W9" s="125">
        <f t="shared" ca="1" si="6"/>
        <v>174.42737850787128</v>
      </c>
      <c r="X9" s="3"/>
      <c r="Y9" s="217" t="str">
        <f t="shared" ca="1" si="7"/>
        <v>ACTIVE</v>
      </c>
      <c r="Z9" s="298">
        <v>46538</v>
      </c>
      <c r="AA9" s="376">
        <v>1172.6099999999999</v>
      </c>
      <c r="AB9" s="379" t="s">
        <v>224</v>
      </c>
    </row>
    <row r="10" spans="1:28" ht="15.75" customHeight="1" x14ac:dyDescent="0.35">
      <c r="A10" s="15" t="s">
        <v>225</v>
      </c>
      <c r="B10" s="15" t="s">
        <v>95</v>
      </c>
      <c r="C10" s="15" t="s">
        <v>226</v>
      </c>
      <c r="D10" s="331" t="str">
        <f ca="1">IF(Y10="EXPIRED","VACANT","BROADRIDGE (AUSTRALIA) PTY LTD")</f>
        <v>BROADRIDGE (AUSTRALIA) PTY LTD</v>
      </c>
      <c r="E10" s="332" t="str">
        <f ca="1">IF(Y10="EXPIRED","","BROADRIDGE (AUSTRALI) PTY LTD")</f>
        <v>BROADRIDGE (AUSTRALI) PTY LTD</v>
      </c>
      <c r="F10" s="16">
        <v>193.4</v>
      </c>
      <c r="G10" s="333">
        <f ca="1">IF(Y10="EXPIRED","",DATE(2024,10,1))</f>
        <v>45566</v>
      </c>
      <c r="H10" s="333">
        <f t="shared" ca="1" si="0"/>
        <v>47026</v>
      </c>
      <c r="I10" s="334">
        <f ca="1">IF(Y10="EXPIRED","",4)</f>
        <v>4</v>
      </c>
      <c r="J10" s="335">
        <f ca="1">IF(Y10="EXPIRED",0,933.75)</f>
        <v>933.75</v>
      </c>
      <c r="K10" s="335">
        <f t="shared" ca="1" si="1"/>
        <v>180587.25</v>
      </c>
      <c r="L10" s="18">
        <v>-20962.2</v>
      </c>
      <c r="M10" s="18">
        <v>6300</v>
      </c>
      <c r="N10" s="126">
        <f t="shared" ca="1" si="2"/>
        <v>159625.04999999999</v>
      </c>
      <c r="O10" s="15">
        <v>0</v>
      </c>
      <c r="P10" s="15" t="s">
        <v>223</v>
      </c>
      <c r="Q10" s="17">
        <v>46296</v>
      </c>
      <c r="R10" s="15" t="s">
        <v>202</v>
      </c>
      <c r="S10" s="18">
        <f>IFERROR(INDEX('Market Rents 26-27'!E:E,MATCH(C10,'Market Rents 26-27'!$A:$A,0)),0)</f>
        <v>920</v>
      </c>
      <c r="T10" s="126">
        <f t="shared" ca="1" si="3"/>
        <v>13.75</v>
      </c>
      <c r="U10" s="127">
        <f t="shared" ca="1" si="4"/>
        <v>1.4945652173913044E-2</v>
      </c>
      <c r="V10" s="128">
        <f t="shared" ca="1" si="5"/>
        <v>2.3983572895277208</v>
      </c>
      <c r="W10" s="129">
        <f t="shared" ca="1" si="6"/>
        <v>463.84229979466119</v>
      </c>
      <c r="X10" s="15"/>
      <c r="Y10" s="217" t="str">
        <f t="shared" ca="1" si="7"/>
        <v>ACTIVE</v>
      </c>
      <c r="Z10" s="298">
        <v>47026</v>
      </c>
      <c r="AA10" s="376">
        <v>933.75</v>
      </c>
      <c r="AB10" s="379" t="s">
        <v>227</v>
      </c>
    </row>
    <row r="11" spans="1:28" ht="15.75" customHeight="1" x14ac:dyDescent="0.35">
      <c r="A11" s="3" t="s">
        <v>228</v>
      </c>
      <c r="B11" s="3" t="s">
        <v>94</v>
      </c>
      <c r="C11" s="3" t="s">
        <v>229</v>
      </c>
      <c r="D11" s="326" t="str">
        <f ca="1">IF(Y11="EXPIRED","VACANT","B-W INTERNATIONAL AUSTRALIA PTY LTD")</f>
        <v>B-W INTERNATIONAL AUSTRALIA PTY LTD</v>
      </c>
      <c r="E11" s="327" t="str">
        <f ca="1">IF(Y11="EXPIRED","","B-W INTERNATIONAL AUSTRALIA PTY LTD")</f>
        <v>B-W INTERNATIONAL AUSTRALIA PTY LTD</v>
      </c>
      <c r="F11" s="11">
        <v>214.1</v>
      </c>
      <c r="G11" s="328">
        <f ca="1">IF(Y11="EXPIRED","",DATE(2024,3,1))</f>
        <v>45352</v>
      </c>
      <c r="H11" s="328">
        <f t="shared" ca="1" si="0"/>
        <v>47177</v>
      </c>
      <c r="I11" s="329">
        <f ca="1">IF(Y11="EXPIRED","",5)</f>
        <v>5</v>
      </c>
      <c r="J11" s="330">
        <f ca="1">IF(Y11="EXPIRED",0,1135.61)</f>
        <v>1135.6099999999999</v>
      </c>
      <c r="K11" s="330">
        <f t="shared" ca="1" si="1"/>
        <v>243134.10099999997</v>
      </c>
      <c r="L11" s="13">
        <v>-54203.76</v>
      </c>
      <c r="M11" s="13">
        <v>8700</v>
      </c>
      <c r="N11" s="122">
        <f t="shared" ca="1" si="2"/>
        <v>188930.34099999996</v>
      </c>
      <c r="O11" s="3">
        <v>0</v>
      </c>
      <c r="P11" s="3" t="s">
        <v>223</v>
      </c>
      <c r="Q11" s="12">
        <v>46447</v>
      </c>
      <c r="R11" s="3" t="s">
        <v>202</v>
      </c>
      <c r="S11" s="13">
        <f>IFERROR(INDEX('Market Rents 26-27'!E:E,MATCH(C11,'Market Rents 26-27'!$A:$A,0)),0)</f>
        <v>1145</v>
      </c>
      <c r="T11" s="122">
        <f t="shared" ca="1" si="3"/>
        <v>-9.3900000000001</v>
      </c>
      <c r="U11" s="123">
        <f t="shared" ca="1" si="4"/>
        <v>-8.2008733624455016E-3</v>
      </c>
      <c r="V11" s="124">
        <f t="shared" ca="1" si="5"/>
        <v>2.8117727583846679</v>
      </c>
      <c r="W11" s="125">
        <f t="shared" ca="1" si="6"/>
        <v>602.00054757015732</v>
      </c>
      <c r="X11" s="3"/>
      <c r="Y11" s="217" t="str">
        <f t="shared" ca="1" si="7"/>
        <v>ACTIVE</v>
      </c>
      <c r="Z11" s="298">
        <v>47177</v>
      </c>
      <c r="AA11" s="376">
        <v>1135.6099999999999</v>
      </c>
      <c r="AB11" s="379" t="s">
        <v>230</v>
      </c>
    </row>
    <row r="12" spans="1:28" ht="15.75" customHeight="1" x14ac:dyDescent="0.35">
      <c r="A12" s="15" t="s">
        <v>231</v>
      </c>
      <c r="B12" s="15" t="s">
        <v>94</v>
      </c>
      <c r="C12" s="15" t="s">
        <v>232</v>
      </c>
      <c r="D12" s="331" t="str">
        <f ca="1">IF(Y12="EXPIRED","VACANT","MP TRAVEL PTY LTD")</f>
        <v>MP TRAVEL PTY LTD</v>
      </c>
      <c r="E12" s="332" t="str">
        <f ca="1">IF(Y12="EXPIRED","","GRAY DAWES TRAVEL")</f>
        <v>GRAY DAWES TRAVEL</v>
      </c>
      <c r="F12" s="16">
        <v>145.6</v>
      </c>
      <c r="G12" s="333">
        <f ca="1">IF(Y12="EXPIRED","",DATE(2025,1,1))</f>
        <v>45658</v>
      </c>
      <c r="H12" s="333">
        <f t="shared" ca="1" si="0"/>
        <v>47483</v>
      </c>
      <c r="I12" s="334">
        <f ca="1">IF(Y12="EXPIRED","",5)</f>
        <v>5</v>
      </c>
      <c r="J12" s="335">
        <f ca="1">IF(Y12="EXPIRED",0,1037.5)</f>
        <v>1037.5</v>
      </c>
      <c r="K12" s="335">
        <f t="shared" ca="1" si="1"/>
        <v>151060</v>
      </c>
      <c r="L12" s="18">
        <v>-17675.88</v>
      </c>
      <c r="M12" s="18">
        <v>6000</v>
      </c>
      <c r="N12" s="126">
        <f t="shared" ca="1" si="2"/>
        <v>133384.12</v>
      </c>
      <c r="O12" s="15">
        <v>0</v>
      </c>
      <c r="P12" s="15" t="s">
        <v>223</v>
      </c>
      <c r="Q12" s="17">
        <v>46388</v>
      </c>
      <c r="R12" s="15" t="s">
        <v>202</v>
      </c>
      <c r="S12" s="18">
        <f>IFERROR(INDEX('Market Rents 26-27'!E:E,MATCH(C12,'Market Rents 26-27'!$A:$A,0)),0)</f>
        <v>1000</v>
      </c>
      <c r="T12" s="126">
        <f t="shared" ca="1" si="3"/>
        <v>37.5</v>
      </c>
      <c r="U12" s="127">
        <f t="shared" ca="1" si="4"/>
        <v>3.7499999999999999E-2</v>
      </c>
      <c r="V12" s="128">
        <f t="shared" ca="1" si="5"/>
        <v>3.6495550992470909</v>
      </c>
      <c r="W12" s="129">
        <f t="shared" ca="1" si="6"/>
        <v>531.37522245037644</v>
      </c>
      <c r="X12" s="15"/>
      <c r="Y12" s="217" t="str">
        <f t="shared" ca="1" si="7"/>
        <v>ACTIVE</v>
      </c>
      <c r="Z12" s="298">
        <v>47483</v>
      </c>
      <c r="AA12" s="376">
        <v>1037.5</v>
      </c>
      <c r="AB12" s="379" t="s">
        <v>233</v>
      </c>
    </row>
    <row r="13" spans="1:28" ht="15.75" customHeight="1" x14ac:dyDescent="0.35">
      <c r="A13" s="3" t="s">
        <v>234</v>
      </c>
      <c r="B13" s="3" t="s">
        <v>93</v>
      </c>
      <c r="C13" s="3" t="s">
        <v>235</v>
      </c>
      <c r="D13" s="326" t="str">
        <f ca="1">IF(Y13="EXPIRED","VACANT","MONTGOMERY INVESTMENT")</f>
        <v>MONTGOMERY INVESTMENT</v>
      </c>
      <c r="E13" s="327" t="str">
        <f ca="1">IF(Y13="EXPIRED","","MONTGOMERY INVESTMENT")</f>
        <v>MONTGOMERY INVESTMENT</v>
      </c>
      <c r="F13" s="11">
        <v>212.3</v>
      </c>
      <c r="G13" s="328">
        <f ca="1">IF(Y13="EXPIRED","",DATE(2019,11,1))</f>
        <v>43770</v>
      </c>
      <c r="H13" s="328">
        <f t="shared" ca="1" si="0"/>
        <v>46691</v>
      </c>
      <c r="I13" s="329">
        <f ca="1">IF(Y13="EXPIRED","",8)</f>
        <v>8</v>
      </c>
      <c r="J13" s="330">
        <f ca="1">IF(Y13="EXPIRED",0,1341.24)</f>
        <v>1341.24</v>
      </c>
      <c r="K13" s="330">
        <f t="shared" ca="1" si="1"/>
        <v>284745.25200000004</v>
      </c>
      <c r="L13" s="13">
        <v>-49361.760000000002</v>
      </c>
      <c r="M13" s="13">
        <v>9900</v>
      </c>
      <c r="N13" s="122">
        <f t="shared" ca="1" si="2"/>
        <v>235383.49200000003</v>
      </c>
      <c r="O13" s="3">
        <v>36</v>
      </c>
      <c r="P13" s="3" t="s">
        <v>201</v>
      </c>
      <c r="Q13" s="12">
        <v>46327</v>
      </c>
      <c r="R13" s="3" t="s">
        <v>202</v>
      </c>
      <c r="S13" s="13">
        <f>IFERROR(INDEX('Market Rents 26-27'!E:E,MATCH(C13,'Market Rents 26-27'!$A:$A,0)),0)</f>
        <v>1155</v>
      </c>
      <c r="T13" s="122">
        <f t="shared" ca="1" si="3"/>
        <v>186.24</v>
      </c>
      <c r="U13" s="123">
        <f t="shared" ca="1" si="4"/>
        <v>0.16124675324675325</v>
      </c>
      <c r="V13" s="124">
        <f t="shared" ca="1" si="5"/>
        <v>1.4811772758384667</v>
      </c>
      <c r="W13" s="125">
        <f t="shared" ca="1" si="6"/>
        <v>314.45393566050649</v>
      </c>
      <c r="X13" s="3"/>
      <c r="Y13" s="217" t="str">
        <f t="shared" ca="1" si="7"/>
        <v>ACTIVE</v>
      </c>
      <c r="Z13" s="298">
        <v>46691</v>
      </c>
      <c r="AA13" s="376">
        <v>1341.24</v>
      </c>
      <c r="AB13" s="379" t="s">
        <v>236</v>
      </c>
    </row>
    <row r="14" spans="1:28" ht="15.75" customHeight="1" x14ac:dyDescent="0.35">
      <c r="A14" s="15" t="s">
        <v>237</v>
      </c>
      <c r="B14" s="15" t="s">
        <v>93</v>
      </c>
      <c r="C14" s="15" t="s">
        <v>238</v>
      </c>
      <c r="D14" s="331" t="str">
        <f ca="1">IF(Y14="EXPIRED","VACANT","THREAT DEFENCE")</f>
        <v>THREAT DEFENCE</v>
      </c>
      <c r="E14" s="332" t="str">
        <f ca="1">IF(Y14="EXPIRED","","THREAT DEFENCE PTY LTD")</f>
        <v>THREAT DEFENCE PTY LTD</v>
      </c>
      <c r="F14" s="16">
        <v>163.80000000000001</v>
      </c>
      <c r="G14" s="333">
        <f ca="1">IF(Y14="EXPIRED","",DATE(2024,7,1))</f>
        <v>45474</v>
      </c>
      <c r="H14" s="333">
        <f t="shared" ca="1" si="0"/>
        <v>46568</v>
      </c>
      <c r="I14" s="334">
        <f ca="1">IF(Y14="EXPIRED","",3)</f>
        <v>3</v>
      </c>
      <c r="J14" s="335">
        <f ca="1">IF(Y14="EXPIRED",0,1016.75)</f>
        <v>1016.75</v>
      </c>
      <c r="K14" s="335">
        <f t="shared" ca="1" si="1"/>
        <v>166543.65000000002</v>
      </c>
      <c r="L14" s="18">
        <v>-41736.239999999998</v>
      </c>
      <c r="M14" s="18">
        <v>7140</v>
      </c>
      <c r="N14" s="126">
        <f t="shared" ca="1" si="2"/>
        <v>124807.41000000003</v>
      </c>
      <c r="O14" s="15">
        <v>0</v>
      </c>
      <c r="P14" s="15" t="s">
        <v>223</v>
      </c>
      <c r="Q14" s="17">
        <v>46204</v>
      </c>
      <c r="R14" s="15" t="s">
        <v>202</v>
      </c>
      <c r="S14" s="18">
        <f>IFERROR(INDEX('Market Rents 26-27'!E:E,MATCH(C14,'Market Rents 26-27'!$A:$A,0)),0)</f>
        <v>1020</v>
      </c>
      <c r="T14" s="126">
        <f t="shared" ca="1" si="3"/>
        <v>-3.25</v>
      </c>
      <c r="U14" s="127">
        <f t="shared" ca="1" si="4"/>
        <v>-3.1862745098039215E-3</v>
      </c>
      <c r="V14" s="128">
        <f t="shared" ca="1" si="5"/>
        <v>1.1444216290212184</v>
      </c>
      <c r="W14" s="129">
        <f t="shared" ca="1" si="6"/>
        <v>187.45626283367557</v>
      </c>
      <c r="X14" s="15"/>
      <c r="Y14" s="217" t="str">
        <f t="shared" ca="1" si="7"/>
        <v>ACTIVE</v>
      </c>
      <c r="Z14" s="298">
        <v>46568</v>
      </c>
      <c r="AA14" s="376">
        <v>1016.75</v>
      </c>
      <c r="AB14" s="379" t="s">
        <v>239</v>
      </c>
    </row>
    <row r="15" spans="1:28" ht="15.75" customHeight="1" x14ac:dyDescent="0.35">
      <c r="A15" s="3" t="s">
        <v>240</v>
      </c>
      <c r="B15" s="3" t="s">
        <v>92</v>
      </c>
      <c r="C15" s="3" t="s">
        <v>241</v>
      </c>
      <c r="D15" s="326" t="str">
        <f ca="1">IF(Y15="EXPIRED","VACANT","FULLCRM PTY LTD")</f>
        <v>FULLCRM PTY LTD</v>
      </c>
      <c r="E15" s="327" t="str">
        <f ca="1">IF(Y15="EXPIRED","","FULLCRM PTY LTD")</f>
        <v>FULLCRM PTY LTD</v>
      </c>
      <c r="F15" s="11">
        <v>226.1</v>
      </c>
      <c r="G15" s="328">
        <f ca="1">IF(Y15="EXPIRED","",DATE(2021,12,1))</f>
        <v>44531</v>
      </c>
      <c r="H15" s="328">
        <f t="shared" ca="1" si="0"/>
        <v>46418</v>
      </c>
      <c r="I15" s="329">
        <f ca="1">IF(Y15="EXPIRED","",5.2)</f>
        <v>5.2</v>
      </c>
      <c r="J15" s="330">
        <f ca="1">IF(Y15="EXPIRED",0,1251.34)</f>
        <v>1251.3399999999999</v>
      </c>
      <c r="K15" s="330">
        <f t="shared" ca="1" si="1"/>
        <v>282927.97399999999</v>
      </c>
      <c r="L15" s="13">
        <v>-31744.44</v>
      </c>
      <c r="M15" s="13">
        <v>13800</v>
      </c>
      <c r="N15" s="122">
        <f t="shared" ca="1" si="2"/>
        <v>251183.53399999999</v>
      </c>
      <c r="O15" s="3">
        <v>0</v>
      </c>
      <c r="P15" s="3" t="s">
        <v>210</v>
      </c>
      <c r="Q15" s="12">
        <v>46419</v>
      </c>
      <c r="R15" s="3" t="s">
        <v>202</v>
      </c>
      <c r="S15" s="13">
        <f>IFERROR(INDEX('Market Rents 26-27'!E:E,MATCH(C15,'Market Rents 26-27'!$A:$A,0)),0)</f>
        <v>1165</v>
      </c>
      <c r="T15" s="122">
        <f t="shared" ca="1" si="3"/>
        <v>86.339999999999918</v>
      </c>
      <c r="U15" s="123">
        <f t="shared" ca="1" si="4"/>
        <v>7.4111587982832544E-2</v>
      </c>
      <c r="V15" s="124">
        <f t="shared" ca="1" si="5"/>
        <v>0.73374401095140318</v>
      </c>
      <c r="W15" s="125">
        <f t="shared" ca="1" si="6"/>
        <v>165.89952087611226</v>
      </c>
      <c r="X15" s="3"/>
      <c r="Y15" s="217" t="str">
        <f t="shared" ca="1" si="7"/>
        <v>ACTIVE</v>
      </c>
      <c r="Z15" s="298">
        <v>46418</v>
      </c>
      <c r="AA15" s="376">
        <v>1251.3399999999999</v>
      </c>
      <c r="AB15" s="379" t="s">
        <v>242</v>
      </c>
    </row>
    <row r="16" spans="1:28" ht="15.75" customHeight="1" x14ac:dyDescent="0.35">
      <c r="A16" s="20" t="s">
        <v>243</v>
      </c>
      <c r="B16" s="20" t="s">
        <v>92</v>
      </c>
      <c r="C16" s="20" t="s">
        <v>244</v>
      </c>
      <c r="D16" s="336" t="str">
        <f ca="1">IF(Y16="EXPIRED","VACANT","CAPITAL CREDIT SOLUTIONS PTY LTD")</f>
        <v>VACANT</v>
      </c>
      <c r="E16" s="337" t="str">
        <f ca="1">IF(Y16="EXPIRED","","CAPITAL CREDIT SOLUTIONS PTY LTD")</f>
        <v/>
      </c>
      <c r="F16" s="21">
        <v>152.1</v>
      </c>
      <c r="G16" s="338" t="str">
        <f ca="1">IF(Y16="EXPIRED","",DATE(2023,5,1))</f>
        <v/>
      </c>
      <c r="H16" s="338" t="str">
        <f t="shared" ca="1" si="0"/>
        <v/>
      </c>
      <c r="I16" s="339" t="str">
        <f ca="1">IF(Y16="EXPIRED","",3)</f>
        <v/>
      </c>
      <c r="J16" s="340">
        <f ca="1">IF(Y16="EXPIRED",0,756.36)</f>
        <v>0</v>
      </c>
      <c r="K16" s="340">
        <f t="shared" ca="1" si="1"/>
        <v>0</v>
      </c>
      <c r="L16" s="23">
        <v>0</v>
      </c>
      <c r="M16" s="23">
        <v>9900</v>
      </c>
      <c r="N16" s="130">
        <f t="shared" ca="1" si="2"/>
        <v>0</v>
      </c>
      <c r="O16" s="20">
        <v>0</v>
      </c>
      <c r="P16" s="20" t="s">
        <v>210</v>
      </c>
      <c r="Q16" s="22">
        <v>46143</v>
      </c>
      <c r="R16" s="20" t="s">
        <v>202</v>
      </c>
      <c r="S16" s="23">
        <f>IFERROR(INDEX('Market Rents 26-27'!E:E,MATCH(C16,'Market Rents 26-27'!$A:$A,0)),0)</f>
        <v>1030</v>
      </c>
      <c r="T16" s="130" t="str">
        <f t="shared" ca="1" si="3"/>
        <v/>
      </c>
      <c r="U16" s="131" t="str">
        <f t="shared" ca="1" si="4"/>
        <v/>
      </c>
      <c r="V16" s="132">
        <f t="shared" ca="1" si="5"/>
        <v>0</v>
      </c>
      <c r="W16" s="133">
        <f t="shared" ca="1" si="6"/>
        <v>0</v>
      </c>
      <c r="X16" s="20"/>
      <c r="Y16" s="217" t="str">
        <f t="shared" ca="1" si="7"/>
        <v>EXPIRED</v>
      </c>
      <c r="Z16" s="298">
        <v>46142</v>
      </c>
      <c r="AA16" s="376">
        <v>756.36</v>
      </c>
      <c r="AB16" s="379" t="s">
        <v>245</v>
      </c>
    </row>
    <row r="17" spans="1:28" ht="15.75" customHeight="1" x14ac:dyDescent="0.35">
      <c r="A17" s="3" t="s">
        <v>246</v>
      </c>
      <c r="B17" s="3" t="s">
        <v>91</v>
      </c>
      <c r="C17" s="3" t="s">
        <v>247</v>
      </c>
      <c r="D17" s="326" t="str">
        <f ca="1">IF(Y17="EXPIRED","VACANT","PINPOINT TALENT PTY LTD")</f>
        <v>PINPOINT TALENT PTY LTD</v>
      </c>
      <c r="E17" s="327" t="str">
        <f ca="1">IF(Y17="EXPIRED","","PINPOINT TALENT PTY LTD")</f>
        <v>PINPOINT TALENT PTY LTD</v>
      </c>
      <c r="F17" s="11">
        <v>210.5</v>
      </c>
      <c r="G17" s="328">
        <f ca="1">IF(Y17="EXPIRED","",DATE(2023,8,7))</f>
        <v>45145</v>
      </c>
      <c r="H17" s="328">
        <f t="shared" ca="1" si="0"/>
        <v>46605</v>
      </c>
      <c r="I17" s="329">
        <f ca="1">IF(Y17="EXPIRED","",4)</f>
        <v>4</v>
      </c>
      <c r="J17" s="330">
        <f ca="1">IF(Y17="EXPIRED",0,1173.54)</f>
        <v>1173.54</v>
      </c>
      <c r="K17" s="330">
        <f t="shared" ca="1" si="1"/>
        <v>247030.16999999998</v>
      </c>
      <c r="L17" s="13">
        <v>-68517.72</v>
      </c>
      <c r="M17" s="13">
        <v>13800</v>
      </c>
      <c r="N17" s="122">
        <f t="shared" ca="1" si="2"/>
        <v>178512.44999999998</v>
      </c>
      <c r="O17" s="3">
        <v>0</v>
      </c>
      <c r="P17" s="3" t="s">
        <v>201</v>
      </c>
      <c r="Q17" s="12">
        <v>46241</v>
      </c>
      <c r="R17" s="3" t="s">
        <v>202</v>
      </c>
      <c r="S17" s="13">
        <f>IFERROR(INDEX('Market Rents 26-27'!E:E,MATCH(C17,'Market Rents 26-27'!$A:$A,0)),0)</f>
        <v>1175</v>
      </c>
      <c r="T17" s="122">
        <f t="shared" ca="1" si="3"/>
        <v>-1.4600000000000364</v>
      </c>
      <c r="U17" s="123">
        <f t="shared" ca="1" si="4"/>
        <v>-1.2425531914893927E-3</v>
      </c>
      <c r="V17" s="124">
        <f t="shared" ca="1" si="5"/>
        <v>1.2457221081451062</v>
      </c>
      <c r="W17" s="125">
        <f t="shared" ca="1" si="6"/>
        <v>262.22450376454486</v>
      </c>
      <c r="X17" s="3"/>
      <c r="Y17" s="217" t="str">
        <f t="shared" ca="1" si="7"/>
        <v>ACTIVE</v>
      </c>
      <c r="Z17" s="298">
        <v>46605</v>
      </c>
      <c r="AA17" s="376">
        <v>1173.54</v>
      </c>
      <c r="AB17" s="379" t="s">
        <v>248</v>
      </c>
    </row>
    <row r="18" spans="1:28" ht="15.75" customHeight="1" x14ac:dyDescent="0.35">
      <c r="A18" s="15" t="s">
        <v>249</v>
      </c>
      <c r="B18" s="15" t="s">
        <v>91</v>
      </c>
      <c r="C18" s="15" t="s">
        <v>250</v>
      </c>
      <c r="D18" s="331" t="str">
        <f ca="1">IF(Y18="EXPIRED","VACANT","SATELLITE OFFICE PTY LTD")</f>
        <v>SATELLITE OFFICE PTY LTD</v>
      </c>
      <c r="E18" s="332" t="str">
        <f ca="1">IF(Y18="EXPIRED","","SATELLITE OFFICE PTY LTD")</f>
        <v>SATELLITE OFFICE PTY LTD</v>
      </c>
      <c r="F18" s="16">
        <v>163.9</v>
      </c>
      <c r="G18" s="333">
        <f ca="1">IF(Y18="EXPIRED","",DATE(2024,6,1))</f>
        <v>45444</v>
      </c>
      <c r="H18" s="333">
        <f t="shared" ca="1" si="0"/>
        <v>46904</v>
      </c>
      <c r="I18" s="334">
        <f ca="1">IF(Y18="EXPIRED","",4)</f>
        <v>4</v>
      </c>
      <c r="J18" s="335">
        <f ca="1">IF(Y18="EXPIRED",0,1016.75)</f>
        <v>1016.75</v>
      </c>
      <c r="K18" s="335">
        <f t="shared" ca="1" si="1"/>
        <v>166645.32500000001</v>
      </c>
      <c r="L18" s="18">
        <v>-40261.56</v>
      </c>
      <c r="M18" s="18">
        <v>7020</v>
      </c>
      <c r="N18" s="126">
        <f t="shared" ca="1" si="2"/>
        <v>126383.76500000001</v>
      </c>
      <c r="O18" s="15">
        <v>24</v>
      </c>
      <c r="P18" s="15" t="s">
        <v>223</v>
      </c>
      <c r="Q18" s="17">
        <v>46174</v>
      </c>
      <c r="R18" s="15" t="s">
        <v>202</v>
      </c>
      <c r="S18" s="18">
        <f>IFERROR(INDEX('Market Rents 26-27'!E:E,MATCH(C18,'Market Rents 26-27'!$A:$A,0)),0)</f>
        <v>1040</v>
      </c>
      <c r="T18" s="126">
        <f t="shared" ca="1" si="3"/>
        <v>-23.25</v>
      </c>
      <c r="U18" s="127">
        <f t="shared" ca="1" si="4"/>
        <v>-2.2355769230769231E-2</v>
      </c>
      <c r="V18" s="128">
        <f t="shared" ca="1" si="5"/>
        <v>2.0643394934976045</v>
      </c>
      <c r="W18" s="129">
        <f t="shared" ca="1" si="6"/>
        <v>338.34524298425737</v>
      </c>
      <c r="X18" s="15"/>
      <c r="Y18" s="217" t="str">
        <f t="shared" ca="1" si="7"/>
        <v>ACTIVE</v>
      </c>
      <c r="Z18" s="298">
        <v>46904</v>
      </c>
      <c r="AA18" s="376">
        <v>1016.75</v>
      </c>
      <c r="AB18" s="379" t="s">
        <v>251</v>
      </c>
    </row>
    <row r="19" spans="1:28" ht="15.75" customHeight="1" x14ac:dyDescent="0.35">
      <c r="A19" s="3" t="s">
        <v>252</v>
      </c>
      <c r="B19" s="3" t="s">
        <v>90</v>
      </c>
      <c r="C19" s="3" t="s">
        <v>253</v>
      </c>
      <c r="D19" s="326" t="str">
        <f ca="1">IF(Y19="EXPIRED","VACANT","ARKANCE AUSTRALIA PTY LTD")</f>
        <v>ARKANCE AUSTRALIA PTY LTD</v>
      </c>
      <c r="E19" s="327" t="str">
        <f ca="1">IF(Y19="EXPIRED","","ARKANCE AUSTRALIA PTY LTD")</f>
        <v>ARKANCE AUSTRALIA PTY LTD</v>
      </c>
      <c r="F19" s="11">
        <v>222</v>
      </c>
      <c r="G19" s="328">
        <f ca="1">IF(Y19="EXPIRED","",DATE(2025,10,1))</f>
        <v>45931</v>
      </c>
      <c r="H19" s="328">
        <f t="shared" ca="1" si="0"/>
        <v>47756</v>
      </c>
      <c r="I19" s="329">
        <f ca="1">IF(Y19="EXPIRED","",5)</f>
        <v>5</v>
      </c>
      <c r="J19" s="330">
        <f ca="1">IF(Y19="EXPIRED",0,1300)</f>
        <v>1300</v>
      </c>
      <c r="K19" s="330">
        <f t="shared" ca="1" si="1"/>
        <v>288600</v>
      </c>
      <c r="L19" s="13">
        <v>-46176</v>
      </c>
      <c r="M19" s="13">
        <v>1500</v>
      </c>
      <c r="N19" s="122">
        <f t="shared" ca="1" si="2"/>
        <v>242424</v>
      </c>
      <c r="O19" s="3">
        <v>0</v>
      </c>
      <c r="P19" s="3" t="s">
        <v>223</v>
      </c>
      <c r="Q19" s="12">
        <v>46296</v>
      </c>
      <c r="R19" s="3" t="s">
        <v>202</v>
      </c>
      <c r="S19" s="13">
        <f>IFERROR(INDEX('Market Rents 26-27'!E:E,MATCH(C19,'Market Rents 26-27'!$A:$A,0)),0)</f>
        <v>1300</v>
      </c>
      <c r="T19" s="122">
        <f t="shared" ca="1" si="3"/>
        <v>0</v>
      </c>
      <c r="U19" s="123">
        <f t="shared" ca="1" si="4"/>
        <v>0</v>
      </c>
      <c r="V19" s="124">
        <f t="shared" ca="1" si="5"/>
        <v>4.3969883641341543</v>
      </c>
      <c r="W19" s="125">
        <f t="shared" ca="1" si="6"/>
        <v>976.13141683778224</v>
      </c>
      <c r="X19" s="3"/>
      <c r="Y19" s="217" t="str">
        <f t="shared" ca="1" si="7"/>
        <v>ACTIVE</v>
      </c>
      <c r="Z19" s="298">
        <v>47756</v>
      </c>
      <c r="AA19" s="376">
        <v>1300</v>
      </c>
      <c r="AB19" s="379" t="s">
        <v>254</v>
      </c>
    </row>
    <row r="20" spans="1:28" ht="15.75" customHeight="1" x14ac:dyDescent="0.35">
      <c r="A20" s="15" t="s">
        <v>255</v>
      </c>
      <c r="B20" s="15" t="s">
        <v>90</v>
      </c>
      <c r="C20" s="15" t="s">
        <v>256</v>
      </c>
      <c r="D20" s="331" t="str">
        <f ca="1">IF(Y20="EXPIRED","VACANT","HILLIARD &amp; BERRY")</f>
        <v>HILLIARD &amp; BERRY</v>
      </c>
      <c r="E20" s="332" t="str">
        <f ca="1">IF(Y20="EXPIRED","","HILLIARD &amp; BERRY")</f>
        <v>HILLIARD &amp; BERRY</v>
      </c>
      <c r="F20" s="16">
        <v>138.5</v>
      </c>
      <c r="G20" s="333">
        <f ca="1">IF(Y20="EXPIRED","",DATE(2014,1,15))</f>
        <v>41654</v>
      </c>
      <c r="H20" s="333">
        <f t="shared" ca="1" si="0"/>
        <v>46965</v>
      </c>
      <c r="I20" s="334">
        <f ca="1">IF(Y20="EXPIRED","",14.6)</f>
        <v>14.6</v>
      </c>
      <c r="J20" s="335">
        <f ca="1">IF(Y20="EXPIRED",0,843.65)</f>
        <v>843.65</v>
      </c>
      <c r="K20" s="335">
        <f t="shared" ca="1" si="1"/>
        <v>116845.52499999999</v>
      </c>
      <c r="L20" s="18">
        <v>0</v>
      </c>
      <c r="M20" s="18">
        <v>12240</v>
      </c>
      <c r="N20" s="126">
        <f t="shared" ca="1" si="2"/>
        <v>116845.52499999999</v>
      </c>
      <c r="O20" s="15">
        <v>0</v>
      </c>
      <c r="P20" s="15" t="s">
        <v>201</v>
      </c>
      <c r="Q20" s="17">
        <v>46235</v>
      </c>
      <c r="R20" s="15" t="s">
        <v>202</v>
      </c>
      <c r="S20" s="18">
        <f>IFERROR(INDEX('Market Rents 26-27'!E:E,MATCH(C20,'Market Rents 26-27'!$A:$A,0)),0)</f>
        <v>1030</v>
      </c>
      <c r="T20" s="126">
        <f t="shared" ca="1" si="3"/>
        <v>-186.35000000000002</v>
      </c>
      <c r="U20" s="127">
        <f t="shared" ca="1" si="4"/>
        <v>-0.18092233009708741</v>
      </c>
      <c r="V20" s="128">
        <f t="shared" ca="1" si="5"/>
        <v>2.2313483915126624</v>
      </c>
      <c r="W20" s="129">
        <f t="shared" ca="1" si="6"/>
        <v>309.04175222450374</v>
      </c>
      <c r="X20" s="15"/>
      <c r="Y20" s="217" t="str">
        <f t="shared" ca="1" si="7"/>
        <v>ACTIVE</v>
      </c>
      <c r="Z20" s="298">
        <v>46965</v>
      </c>
      <c r="AA20" s="376">
        <v>843.65</v>
      </c>
      <c r="AB20" s="379" t="s">
        <v>257</v>
      </c>
    </row>
    <row r="21" spans="1:28" ht="15.75" customHeight="1" x14ac:dyDescent="0.35">
      <c r="A21" s="24" t="s">
        <v>258</v>
      </c>
      <c r="B21" s="24" t="s">
        <v>89</v>
      </c>
      <c r="C21" s="24" t="s">
        <v>259</v>
      </c>
      <c r="D21" s="341" t="str">
        <f ca="1">IF(Y21="EXPIRED","VACANT","AITKEN INVESTMENT MANAGEMENT PTY LTD")</f>
        <v>AITKEN INVESTMENT MANAGEMENT PTY LTD</v>
      </c>
      <c r="E21" s="342" t="str">
        <f ca="1">IF(Y21="EXPIRED","","AITKEN INVESTMENT MANAGEMENT")</f>
        <v>AITKEN INVESTMENT MANAGEMENT</v>
      </c>
      <c r="F21" s="25">
        <v>52.8</v>
      </c>
      <c r="G21" s="343">
        <f ca="1">IF(Y21="EXPIRED","",DATE(2022,6,15))</f>
        <v>44727</v>
      </c>
      <c r="H21" s="343">
        <f t="shared" ca="1" si="0"/>
        <v>47648</v>
      </c>
      <c r="I21" s="344">
        <f ca="1">IF(Y21="EXPIRED","",3)</f>
        <v>3</v>
      </c>
      <c r="J21" s="345">
        <f ca="1">IF(Y21="EXPIRED",0,1287.38)</f>
        <v>1287.3800000000001</v>
      </c>
      <c r="K21" s="345">
        <f t="shared" ca="1" si="1"/>
        <v>67973.664000000004</v>
      </c>
      <c r="L21" s="27">
        <v>-16394.400000000001</v>
      </c>
      <c r="M21" s="27">
        <v>3780</v>
      </c>
      <c r="N21" s="134">
        <f t="shared" ca="1" si="2"/>
        <v>51579.264000000003</v>
      </c>
      <c r="O21" s="24">
        <v>0</v>
      </c>
      <c r="P21" s="24" t="s">
        <v>201</v>
      </c>
      <c r="Q21" s="26">
        <v>46188</v>
      </c>
      <c r="R21" s="24" t="s">
        <v>202</v>
      </c>
      <c r="S21" s="28">
        <f>IFERROR(INDEX('Market Rents 26-27'!E:E,MATCH(C21,'Market Rents 26-27'!$A:$A,0)),0)</f>
        <v>1350</v>
      </c>
      <c r="T21" s="134">
        <f t="shared" ca="1" si="3"/>
        <v>-62.619999999999891</v>
      </c>
      <c r="U21" s="135">
        <f t="shared" ca="1" si="4"/>
        <v>-4.6385185185185106E-2</v>
      </c>
      <c r="V21" s="136">
        <f t="shared" ca="1" si="5"/>
        <v>4.1013004791238874</v>
      </c>
      <c r="W21" s="137">
        <f t="shared" ca="1" si="6"/>
        <v>216.54866529774125</v>
      </c>
      <c r="X21" s="24"/>
      <c r="Y21" s="217" t="str">
        <f t="shared" ca="1" si="7"/>
        <v>ACTIVE</v>
      </c>
      <c r="Z21" s="213">
        <v>47648</v>
      </c>
      <c r="AA21" s="376">
        <v>1287.3800000000001</v>
      </c>
      <c r="AB21" s="379" t="s">
        <v>260</v>
      </c>
    </row>
    <row r="22" spans="1:28" ht="15.75" customHeight="1" x14ac:dyDescent="0.35">
      <c r="A22" s="15" t="s">
        <v>261</v>
      </c>
      <c r="B22" s="15" t="s">
        <v>89</v>
      </c>
      <c r="C22" s="15" t="s">
        <v>262</v>
      </c>
      <c r="D22" s="331" t="str">
        <f ca="1">IF(Y22="EXPIRED","VACANT","CAPITAL E MARKETING AND EVENTS PTY LTD")</f>
        <v>CAPITAL E MARKETING AND EVENTS PTY LTD</v>
      </c>
      <c r="E22" s="332" t="str">
        <f ca="1">IF(Y22="EXPIRED","","CAPITAL E MARKETING AND EVENTS")</f>
        <v>CAPITAL E MARKETING AND EVENTS</v>
      </c>
      <c r="F22" s="16">
        <v>303</v>
      </c>
      <c r="G22" s="333">
        <f ca="1">IF(Y22="EXPIRED","",DATE(2022,1,1))</f>
        <v>44562</v>
      </c>
      <c r="H22" s="333">
        <f t="shared" ca="1" si="0"/>
        <v>47573</v>
      </c>
      <c r="I22" s="334">
        <f ca="1">IF(Y22="EXPIRED","",8.2)</f>
        <v>8.1999999999999993</v>
      </c>
      <c r="J22" s="335">
        <f ca="1">IF(Y22="EXPIRED",0,1141.25)</f>
        <v>1141.25</v>
      </c>
      <c r="K22" s="335">
        <f t="shared" ca="1" si="1"/>
        <v>345798.75</v>
      </c>
      <c r="L22" s="18">
        <v>-90475.68</v>
      </c>
      <c r="M22" s="18">
        <v>9300</v>
      </c>
      <c r="N22" s="126">
        <f t="shared" ca="1" si="2"/>
        <v>255323.07</v>
      </c>
      <c r="O22" s="15">
        <v>0</v>
      </c>
      <c r="P22" s="15" t="s">
        <v>223</v>
      </c>
      <c r="Q22" s="17">
        <v>46478</v>
      </c>
      <c r="R22" s="15" t="s">
        <v>202</v>
      </c>
      <c r="S22" s="18">
        <f>IFERROR(INDEX('Market Rents 26-27'!E:E,MATCH(C22,'Market Rents 26-27'!$A:$A,0)),0)</f>
        <v>1125</v>
      </c>
      <c r="T22" s="126">
        <f t="shared" ca="1" si="3"/>
        <v>16.25</v>
      </c>
      <c r="U22" s="127">
        <f t="shared" ca="1" si="4"/>
        <v>1.4444444444444444E-2</v>
      </c>
      <c r="V22" s="128">
        <f t="shared" ca="1" si="5"/>
        <v>3.8959616700889801</v>
      </c>
      <c r="W22" s="129">
        <f t="shared" ca="1" si="6"/>
        <v>1180.476386036961</v>
      </c>
      <c r="X22" s="15"/>
      <c r="Y22" s="217" t="str">
        <f t="shared" ca="1" si="7"/>
        <v>ACTIVE</v>
      </c>
      <c r="Z22" s="298">
        <v>47573</v>
      </c>
      <c r="AA22" s="376">
        <v>1141.25</v>
      </c>
      <c r="AB22" s="379" t="s">
        <v>263</v>
      </c>
    </row>
    <row r="23" spans="1:28" ht="15.75" customHeight="1" x14ac:dyDescent="0.35">
      <c r="A23" s="3" t="s">
        <v>264</v>
      </c>
      <c r="B23" s="3" t="s">
        <v>88</v>
      </c>
      <c r="C23" s="3" t="s">
        <v>265</v>
      </c>
      <c r="D23" s="326" t="str">
        <f ca="1">IF(Y23="EXPIRED","VACANT","CONNECTUS SERVICES PTY LTD")</f>
        <v>CONNECTUS SERVICES PTY LTD</v>
      </c>
      <c r="E23" s="327" t="str">
        <f ca="1">IF(Y23="EXPIRED","","CONNECTUS")</f>
        <v>CONNECTUS</v>
      </c>
      <c r="F23" s="11">
        <v>363.2</v>
      </c>
      <c r="G23" s="328">
        <f ca="1">IF(Y23="EXPIRED","",DATE(2023,12,1))</f>
        <v>45261</v>
      </c>
      <c r="H23" s="328">
        <f t="shared" ca="1" si="0"/>
        <v>47452</v>
      </c>
      <c r="I23" s="329">
        <f ca="1">IF(Y23="EXPIRED","",6)</f>
        <v>6</v>
      </c>
      <c r="J23" s="330">
        <f ca="1">IF(Y23="EXPIRED",0,1189.67)</f>
        <v>1189.67</v>
      </c>
      <c r="K23" s="330">
        <f t="shared" ca="1" si="1"/>
        <v>432088.14400000003</v>
      </c>
      <c r="L23" s="13">
        <v>-114537.96</v>
      </c>
      <c r="M23" s="13">
        <v>15000</v>
      </c>
      <c r="N23" s="122">
        <f t="shared" ca="1" si="2"/>
        <v>317550.18400000001</v>
      </c>
      <c r="O23" s="3">
        <v>48</v>
      </c>
      <c r="P23" s="3" t="s">
        <v>266</v>
      </c>
      <c r="Q23" s="12">
        <v>46357</v>
      </c>
      <c r="R23" s="3" t="s">
        <v>202</v>
      </c>
      <c r="S23" s="13">
        <f>IFERROR(INDEX('Market Rents 26-27'!E:E,MATCH(C23,'Market Rents 26-27'!$A:$A,0)),0)</f>
        <v>1200</v>
      </c>
      <c r="T23" s="122">
        <f t="shared" ca="1" si="3"/>
        <v>-10.329999999999927</v>
      </c>
      <c r="U23" s="123">
        <f t="shared" ca="1" si="4"/>
        <v>-8.6083333333332734E-3</v>
      </c>
      <c r="V23" s="124">
        <f t="shared" ca="1" si="5"/>
        <v>3.5646817248459959</v>
      </c>
      <c r="W23" s="125">
        <f t="shared" ca="1" si="6"/>
        <v>1294.6924024640657</v>
      </c>
      <c r="X23" s="3"/>
      <c r="Y23" s="217" t="str">
        <f t="shared" ca="1" si="7"/>
        <v>ACTIVE</v>
      </c>
      <c r="Z23" s="298">
        <v>47452</v>
      </c>
      <c r="AA23" s="376">
        <v>1189.67</v>
      </c>
      <c r="AB23" s="379" t="s">
        <v>267</v>
      </c>
    </row>
    <row r="24" spans="1:28" ht="15.75" customHeight="1" x14ac:dyDescent="0.35">
      <c r="A24" s="20" t="s">
        <v>268</v>
      </c>
      <c r="B24" s="20" t="s">
        <v>87</v>
      </c>
      <c r="C24" s="20" t="s">
        <v>269</v>
      </c>
      <c r="D24" s="336" t="str">
        <f ca="1">IF(Y24="EXPIRED","VACANT","MICHAEL FLEGG PTY LTD")</f>
        <v>MICHAEL FLEGG PTY LTD</v>
      </c>
      <c r="E24" s="337" t="str">
        <f ca="1">IF(Y24="EXPIRED","","MICHAEL FLEGG PTY LTD")</f>
        <v>MICHAEL FLEGG PTY LTD</v>
      </c>
      <c r="F24" s="21">
        <v>62.4</v>
      </c>
      <c r="G24" s="338">
        <f ca="1">IF(Y24="EXPIRED","",DATE(2021,12,1))</f>
        <v>44531</v>
      </c>
      <c r="H24" s="338">
        <f t="shared" ca="1" si="0"/>
        <v>46356</v>
      </c>
      <c r="I24" s="339">
        <f ca="1">IF(Y24="EXPIRED","",5)</f>
        <v>5</v>
      </c>
      <c r="J24" s="340">
        <f ca="1">IF(Y24="EXPIRED",0,1368.73)</f>
        <v>1368.73</v>
      </c>
      <c r="K24" s="340">
        <f t="shared" ca="1" si="1"/>
        <v>85408.751999999993</v>
      </c>
      <c r="L24" s="23">
        <v>0</v>
      </c>
      <c r="M24" s="23">
        <v>4200</v>
      </c>
      <c r="N24" s="130">
        <f t="shared" ca="1" si="2"/>
        <v>85408.751999999993</v>
      </c>
      <c r="O24" s="20">
        <v>0</v>
      </c>
      <c r="P24" s="20" t="s">
        <v>210</v>
      </c>
      <c r="Q24" s="22">
        <v>46357</v>
      </c>
      <c r="R24" s="20" t="s">
        <v>202</v>
      </c>
      <c r="S24" s="23">
        <f>IFERROR(INDEX('Market Rents 26-27'!E:E,MATCH(C24,'Market Rents 26-27'!$A:$A,0)),0)</f>
        <v>1405</v>
      </c>
      <c r="T24" s="130">
        <f t="shared" ca="1" si="3"/>
        <v>-36.269999999999982</v>
      </c>
      <c r="U24" s="131">
        <f t="shared" ca="1" si="4"/>
        <v>-2.5814946619217068E-2</v>
      </c>
      <c r="V24" s="132">
        <f t="shared" ca="1" si="5"/>
        <v>0.56399726214921286</v>
      </c>
      <c r="W24" s="133">
        <f t="shared" ca="1" si="6"/>
        <v>35.193429158110881</v>
      </c>
      <c r="X24" s="20"/>
      <c r="Y24" s="217" t="str">
        <f t="shared" ca="1" si="7"/>
        <v>ACTIVE</v>
      </c>
      <c r="Z24" s="298">
        <v>46356</v>
      </c>
      <c r="AA24" s="376">
        <v>1368.73</v>
      </c>
      <c r="AB24" s="379" t="s">
        <v>270</v>
      </c>
    </row>
    <row r="25" spans="1:28" ht="15.75" customHeight="1" x14ac:dyDescent="0.35">
      <c r="A25" s="20" t="s">
        <v>271</v>
      </c>
      <c r="B25" s="20" t="s">
        <v>87</v>
      </c>
      <c r="C25" s="20" t="s">
        <v>272</v>
      </c>
      <c r="D25" s="336" t="str">
        <f ca="1">IF(Y25="EXPIRED","VACANT","PHARMX TECHNOLOGIES LIMITED")</f>
        <v>PHARMX TECHNOLOGIES LIMITED</v>
      </c>
      <c r="E25" s="337" t="str">
        <f ca="1">IF(Y25="EXPIRED","","PHARMX TECHNOLOGIES LIMITED")</f>
        <v>PHARMX TECHNOLOGIES LIMITED</v>
      </c>
      <c r="F25" s="21">
        <v>133.1</v>
      </c>
      <c r="G25" s="338">
        <f ca="1">IF(Y25="EXPIRED","",DATE(2023,8,15))</f>
        <v>45153</v>
      </c>
      <c r="H25" s="338">
        <f t="shared" ca="1" si="0"/>
        <v>46248</v>
      </c>
      <c r="I25" s="339">
        <f ca="1">IF(Y25="EXPIRED","",3)</f>
        <v>3</v>
      </c>
      <c r="J25" s="340">
        <f ca="1">IF(Y25="EXPIRED",0,1222.21)</f>
        <v>1222.21</v>
      </c>
      <c r="K25" s="340">
        <f t="shared" ca="1" si="1"/>
        <v>162676.15099999998</v>
      </c>
      <c r="L25" s="23">
        <v>-39104.76</v>
      </c>
      <c r="M25" s="23">
        <v>5820</v>
      </c>
      <c r="N25" s="130">
        <f t="shared" ca="1" si="2"/>
        <v>123571.39099999997</v>
      </c>
      <c r="O25" s="20">
        <v>0</v>
      </c>
      <c r="P25" s="20" t="s">
        <v>210</v>
      </c>
      <c r="Q25" s="22">
        <v>46249</v>
      </c>
      <c r="R25" s="20" t="s">
        <v>202</v>
      </c>
      <c r="S25" s="23">
        <f>IFERROR(INDEX('Market Rents 26-27'!E:E,MATCH(C25,'Market Rents 26-27'!$A:$A,0)),0)</f>
        <v>1250</v>
      </c>
      <c r="T25" s="130">
        <f t="shared" ca="1" si="3"/>
        <v>-27.789999999999964</v>
      </c>
      <c r="U25" s="131">
        <f t="shared" ca="1" si="4"/>
        <v>-2.2231999999999971E-2</v>
      </c>
      <c r="V25" s="132">
        <f t="shared" ca="1" si="5"/>
        <v>0.26830937713894593</v>
      </c>
      <c r="W25" s="133">
        <f t="shared" ca="1" si="6"/>
        <v>35.7119780971937</v>
      </c>
      <c r="X25" s="20"/>
      <c r="Y25" s="217" t="str">
        <f t="shared" ca="1" si="7"/>
        <v>ACTIVE</v>
      </c>
      <c r="Z25" s="298">
        <v>46248</v>
      </c>
      <c r="AA25" s="376">
        <v>1222.21</v>
      </c>
      <c r="AB25" s="379" t="s">
        <v>273</v>
      </c>
    </row>
    <row r="26" spans="1:28" ht="15.75" customHeight="1" x14ac:dyDescent="0.35">
      <c r="A26" s="24" t="s">
        <v>274</v>
      </c>
      <c r="B26" s="24" t="s">
        <v>86</v>
      </c>
      <c r="C26" s="24" t="s">
        <v>86</v>
      </c>
      <c r="D26" s="341" t="str">
        <f ca="1">IF(Y26="EXPIRED","VACANT","DAKOTA CORPORATION")</f>
        <v>DAKOTA CORPORATION</v>
      </c>
      <c r="E26" s="342" t="str">
        <f ca="1">IF(Y26="EXPIRED","","OWNER OCCUPIED")</f>
        <v>OWNER OCCUPIED</v>
      </c>
      <c r="F26" s="25">
        <v>223.7</v>
      </c>
      <c r="G26" s="343">
        <f ca="1">IF(Y26="EXPIRED","",DATE(2017,1,1))</f>
        <v>42736</v>
      </c>
      <c r="H26" s="343">
        <f t="shared" ca="1" si="0"/>
        <v>47118</v>
      </c>
      <c r="I26" s="344">
        <f ca="1">IF(Y26="EXPIRED","",7)</f>
        <v>7</v>
      </c>
      <c r="J26" s="345">
        <v>0</v>
      </c>
      <c r="K26" s="345">
        <f t="shared" ca="1" si="1"/>
        <v>0</v>
      </c>
      <c r="L26" s="27">
        <v>0</v>
      </c>
      <c r="M26" s="27">
        <v>0</v>
      </c>
      <c r="N26" s="134">
        <f t="shared" ca="1" si="2"/>
        <v>0</v>
      </c>
      <c r="O26" s="24">
        <v>0</v>
      </c>
      <c r="P26" s="24" t="s">
        <v>275</v>
      </c>
      <c r="Q26" s="26">
        <v>45291</v>
      </c>
      <c r="R26" s="24" t="s">
        <v>276</v>
      </c>
      <c r="S26" s="28">
        <f>IFERROR(INDEX('Market Rents 26-27'!E:E,MATCH(C26,'Market Rents 26-27'!$A:$A,0)),0)</f>
        <v>384</v>
      </c>
      <c r="T26" s="134" t="str">
        <f t="shared" si="3"/>
        <v/>
      </c>
      <c r="U26" s="135" t="str">
        <f t="shared" si="4"/>
        <v/>
      </c>
      <c r="V26" s="136">
        <f t="shared" ca="1" si="5"/>
        <v>2.6502395619438741</v>
      </c>
      <c r="W26" s="137">
        <f t="shared" ca="1" si="6"/>
        <v>592.85859000684457</v>
      </c>
      <c r="X26" s="24"/>
      <c r="Y26" s="217" t="str">
        <f t="shared" ca="1" si="7"/>
        <v>ACTIVE</v>
      </c>
      <c r="Z26" s="213">
        <v>47118</v>
      </c>
      <c r="AA26" s="376">
        <v>0</v>
      </c>
      <c r="AB26" s="379" t="s">
        <v>277</v>
      </c>
    </row>
    <row r="27" spans="1:28" ht="15.75" customHeight="1" x14ac:dyDescent="0.35">
      <c r="A27" s="29" t="s">
        <v>278</v>
      </c>
      <c r="B27" s="29" t="s">
        <v>87</v>
      </c>
      <c r="C27" s="29" t="s">
        <v>279</v>
      </c>
      <c r="D27" s="341" t="str">
        <f ca="1">IF(Y27="EXPIRED","VACANT","VACANT")</f>
        <v>VACANT</v>
      </c>
      <c r="E27" s="342" t="str">
        <f ca="1">IF(Y27="EXPIRED","","")</f>
        <v/>
      </c>
      <c r="F27" s="30">
        <v>160.30000000000001</v>
      </c>
      <c r="G27" s="346" t="str">
        <f ca="1">IF(Y27="EXPIRED","","")</f>
        <v/>
      </c>
      <c r="H27" s="343" t="str">
        <f t="shared" ca="1" si="0"/>
        <v/>
      </c>
      <c r="I27" s="346" t="str">
        <f ca="1">IF(Y27="EXPIRED","","")</f>
        <v/>
      </c>
      <c r="J27" s="345">
        <v>0</v>
      </c>
      <c r="K27" s="345">
        <f t="shared" ca="1" si="1"/>
        <v>0</v>
      </c>
      <c r="L27" s="29"/>
      <c r="M27" s="29"/>
      <c r="N27" s="134">
        <f t="shared" ca="1" si="2"/>
        <v>0</v>
      </c>
      <c r="O27" s="29"/>
      <c r="P27" s="29"/>
      <c r="Q27" s="29"/>
      <c r="R27" s="29"/>
      <c r="S27" s="28">
        <f>IFERROR(INDEX('Market Rents 26-27'!E:E,MATCH(C27,'Market Rents 26-27'!$A:$A,0)),0)</f>
        <v>1060</v>
      </c>
      <c r="T27" s="134" t="str">
        <f t="shared" si="3"/>
        <v/>
      </c>
      <c r="U27" s="135" t="str">
        <f t="shared" si="4"/>
        <v/>
      </c>
      <c r="V27" s="136">
        <f t="shared" ca="1" si="5"/>
        <v>0</v>
      </c>
      <c r="W27" s="137">
        <f t="shared" ca="1" si="6"/>
        <v>0</v>
      </c>
      <c r="X27" s="29"/>
      <c r="Y27" s="296" t="str">
        <f t="shared" ca="1" si="7"/>
        <v>VACANT</v>
      </c>
      <c r="Z27" s="298"/>
      <c r="AA27" s="376">
        <v>0</v>
      </c>
      <c r="AB27" s="379" t="s">
        <v>280</v>
      </c>
    </row>
    <row r="28" spans="1:28" ht="19.5" customHeight="1" x14ac:dyDescent="0.35">
      <c r="A28" s="637" t="s">
        <v>281</v>
      </c>
      <c r="B28" s="530"/>
      <c r="C28" s="530"/>
      <c r="D28" s="530"/>
      <c r="E28" s="526"/>
      <c r="F28" s="32">
        <f>SUM(F3:F27)</f>
        <v>4704.5</v>
      </c>
      <c r="G28" s="31"/>
      <c r="H28" s="31"/>
      <c r="I28" s="31"/>
      <c r="J28" s="31"/>
      <c r="K28" s="33">
        <f ca="1">SUM(K3:K27)</f>
        <v>4688787.5659999996</v>
      </c>
      <c r="L28" s="33">
        <f>SUM(L3:L27)</f>
        <v>-793863.12000000011</v>
      </c>
      <c r="M28" s="33">
        <f>SUM(M3:M27)</f>
        <v>207124.32</v>
      </c>
      <c r="N28" s="33">
        <f ca="1">SUM(N3:N27)</f>
        <v>3894924.4459999995</v>
      </c>
      <c r="O28" s="31"/>
      <c r="P28" s="31"/>
      <c r="Q28" s="31"/>
      <c r="R28" s="31"/>
      <c r="S28" s="31"/>
      <c r="T28" s="31"/>
      <c r="U28" s="31"/>
      <c r="V28" s="34">
        <f ca="1">IFERROR(SUMPRODUCT(('Input Data'!K3:K25&gt;0)*'Input Data'!F3:F25*MAX(('Input Data'!H3:H25-TODAY())/365.25,0))/SUMPRODUCT(('Input Data'!K3:K25&gt;0)*'Input Data'!F3:F25),0)</f>
        <v>0</v>
      </c>
      <c r="W28" s="32">
        <f ca="1">SUM(W3:W27)</f>
        <v>11086.10403832991</v>
      </c>
      <c r="X28" s="31"/>
    </row>
    <row r="30" spans="1:28" ht="15" customHeight="1" x14ac:dyDescent="0.35">
      <c r="A30" s="35" t="s">
        <v>282</v>
      </c>
      <c r="B30" s="36"/>
      <c r="C30" s="37" t="s">
        <v>283</v>
      </c>
      <c r="D30" s="38"/>
      <c r="E30" s="37" t="s">
        <v>284</v>
      </c>
      <c r="F30" s="39"/>
      <c r="G30" s="37" t="s">
        <v>285</v>
      </c>
    </row>
    <row r="31" spans="1:28" ht="15" customHeight="1" x14ac:dyDescent="0.35">
      <c r="A31" s="638" t="s">
        <v>286</v>
      </c>
      <c r="B31" s="524"/>
      <c r="C31" s="524"/>
      <c r="D31" s="524"/>
      <c r="E31" s="524"/>
      <c r="F31" s="524"/>
      <c r="G31" s="524"/>
      <c r="H31" s="524"/>
      <c r="I31" s="524"/>
      <c r="J31" s="524"/>
    </row>
  </sheetData>
  <mergeCells count="3">
    <mergeCell ref="A28:E28"/>
    <mergeCell ref="A1:X1"/>
    <mergeCell ref="A31:J3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7"/>
  <sheetViews>
    <sheetView showGridLines="0" tabSelected="1" zoomScaleNormal="100" workbookViewId="0">
      <selection activeCell="H14" sqref="H14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bestFit="1" customWidth="1"/>
    <col min="6" max="13" width="14" customWidth="1"/>
    <col min="14" max="14" width="1.54296875" customWidth="1"/>
  </cols>
  <sheetData>
    <row r="1" spans="1:14" ht="36" customHeight="1" x14ac:dyDescent="0.35">
      <c r="A1" s="586" t="s">
        <v>0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</row>
    <row r="2" spans="1:14" ht="18" customHeight="1" x14ac:dyDescent="0.35">
      <c r="A2" s="595" t="s">
        <v>1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  <c r="N2" s="524"/>
    </row>
    <row r="3" spans="1:14" ht="7.5" customHeight="1" x14ac:dyDescent="0.35"/>
    <row r="4" spans="1:14" ht="19.5" customHeight="1" x14ac:dyDescent="0.35">
      <c r="B4" s="599" t="s">
        <v>2</v>
      </c>
      <c r="C4" s="524"/>
      <c r="D4" s="604" t="s">
        <v>3</v>
      </c>
      <c r="E4" s="524"/>
      <c r="F4" s="593" t="s">
        <v>4</v>
      </c>
      <c r="G4" s="524"/>
      <c r="H4" s="604" t="s">
        <v>5</v>
      </c>
      <c r="I4" s="524"/>
      <c r="J4" s="603" t="s">
        <v>6</v>
      </c>
      <c r="K4" s="524"/>
      <c r="L4" s="585" t="s">
        <v>7</v>
      </c>
      <c r="M4" s="524"/>
    </row>
    <row r="5" spans="1:14" ht="27.75" customHeight="1" x14ac:dyDescent="0.35">
      <c r="B5" s="597">
        <f>SUM('Input Data'!F3:F27)</f>
        <v>4704.5</v>
      </c>
      <c r="C5" s="524"/>
      <c r="D5" s="598">
        <f>SUM('Input Data'!F3:F27)-'Input Data'!F27</f>
        <v>4544.2</v>
      </c>
      <c r="E5" s="524"/>
      <c r="F5" s="587">
        <f>'Input Data'!F27</f>
        <v>160.30000000000001</v>
      </c>
      <c r="G5" s="524"/>
      <c r="H5" s="592">
        <f>(SUM('Input Data'!F3:F27)-'Input Data'!F27)/SUM('Input Data'!F3:F27)</f>
        <v>0.96592624083324474</v>
      </c>
      <c r="I5" s="524"/>
      <c r="J5" s="558">
        <f>'Input Data'!F27/SUM('Input Data'!F3:F27)</f>
        <v>3.4073759166755237E-2</v>
      </c>
      <c r="K5" s="524"/>
      <c r="L5" s="602" t="s">
        <v>8</v>
      </c>
      <c r="M5" s="524"/>
    </row>
    <row r="6" spans="1:14" ht="18" customHeight="1" x14ac:dyDescent="0.35">
      <c r="B6" s="575"/>
      <c r="C6" s="567"/>
      <c r="D6" s="566"/>
      <c r="E6" s="567"/>
      <c r="F6" s="609"/>
      <c r="G6" s="567"/>
      <c r="H6" s="566"/>
      <c r="I6" s="567"/>
      <c r="J6" s="568"/>
      <c r="K6" s="567"/>
      <c r="L6" s="578"/>
      <c r="M6" s="567"/>
    </row>
    <row r="7" spans="1:14" ht="7.5" customHeight="1" x14ac:dyDescent="0.35"/>
    <row r="8" spans="1:14" ht="19.5" customHeight="1" x14ac:dyDescent="0.35">
      <c r="B8" s="599" t="s">
        <v>9</v>
      </c>
      <c r="C8" s="524"/>
      <c r="D8" s="585" t="s">
        <v>10</v>
      </c>
      <c r="E8" s="524"/>
      <c r="F8" s="593" t="s">
        <v>11</v>
      </c>
      <c r="G8" s="524"/>
      <c r="H8" s="523" t="s">
        <v>12</v>
      </c>
      <c r="I8" s="524"/>
      <c r="J8" s="528" t="s">
        <v>13</v>
      </c>
      <c r="K8" s="524"/>
      <c r="L8" s="594" t="s">
        <v>14</v>
      </c>
      <c r="M8" s="524"/>
    </row>
    <row r="9" spans="1:14" ht="27.75" customHeight="1" x14ac:dyDescent="0.35">
      <c r="B9" s="532">
        <f>SUMPRODUCT(('Input Data'!AA3:AA27&gt;0)*'Input Data'!AA3:AA27*'Input Data'!F3:F27)</f>
        <v>4803829.9219999993</v>
      </c>
      <c r="C9" s="526"/>
      <c r="D9" s="590">
        <f ca="1">SUM('Input Data'!N3:N27)</f>
        <v>3894924.4459999995</v>
      </c>
      <c r="E9" s="524"/>
      <c r="F9" s="591">
        <f>SUM('Input Data'!L3:L27)</f>
        <v>-793863.12000000011</v>
      </c>
      <c r="G9" s="524"/>
      <c r="H9" s="615">
        <f ca="1">IFERROR(SUMPRODUCT(('Input Data'!Z3:Z27&gt;TODAY())*('Input Data'!AA3:AA27&gt;0)*'Input Data'!F3:F27*('Input Data'!Z3:Z27-TODAY())/365.25)/SUMPRODUCT(('Input Data'!Z3:Z27&gt;TODAY())*('Input Data'!AA3:AA27&gt;0)*'Input Data'!F3:F27),0)</f>
        <v>2.5173316976113291</v>
      </c>
      <c r="I9" s="526"/>
      <c r="J9" s="616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2.5327521548702641</v>
      </c>
      <c r="K9" s="526"/>
      <c r="L9" s="533" t="s">
        <v>15</v>
      </c>
      <c r="M9" s="524"/>
    </row>
    <row r="10" spans="1:14" ht="18" customHeight="1" x14ac:dyDescent="0.35">
      <c r="B10" s="540"/>
      <c r="C10" s="524"/>
      <c r="D10" s="607"/>
      <c r="E10" s="524"/>
      <c r="F10" s="614"/>
      <c r="G10" s="524"/>
      <c r="H10" s="611"/>
      <c r="I10" s="524"/>
      <c r="J10" s="612"/>
      <c r="K10" s="524"/>
      <c r="L10" s="596"/>
      <c r="M10" s="524"/>
    </row>
    <row r="11" spans="1:14" ht="7.5" customHeight="1" x14ac:dyDescent="0.35"/>
    <row r="12" spans="1:14" ht="19.5" customHeight="1" x14ac:dyDescent="0.35">
      <c r="B12" s="588" t="s">
        <v>16</v>
      </c>
      <c r="C12" s="530"/>
      <c r="D12" s="530"/>
      <c r="E12" s="530"/>
      <c r="F12" s="530"/>
      <c r="G12" s="530"/>
    </row>
    <row r="13" spans="1:14" ht="15" customHeight="1" x14ac:dyDescent="0.35">
      <c r="B13" s="40" t="s">
        <v>17</v>
      </c>
      <c r="D13" s="40" t="s">
        <v>18</v>
      </c>
      <c r="E13" s="618" t="s">
        <v>19</v>
      </c>
      <c r="F13" s="530"/>
      <c r="G13" s="526"/>
    </row>
    <row r="14" spans="1:14" ht="18" customHeight="1" x14ac:dyDescent="0.35">
      <c r="B14" s="608" t="s">
        <v>20</v>
      </c>
      <c r="C14" s="530"/>
      <c r="D14" s="377">
        <f ca="1">IFERROR(SUMPRODUCT(('Input Data'!Z3:Z27&gt;TODAY())*('Input Data'!AA3:AA27&gt;0)*'Input Data'!F3:F27*('Input Data'!Z3:Z27-TODAY())/365.25)/SUMPRODUCT(('Input Data'!Z3:Z27&gt;TODAY())*('Input Data'!AA3:AA27&gt;0)*'Input Data'!F3:F27),0)</f>
        <v>2.5173316976113291</v>
      </c>
      <c r="E14" s="556" t="s">
        <v>21</v>
      </c>
      <c r="F14" s="530"/>
      <c r="G14" s="530"/>
    </row>
    <row r="15" spans="1:14" ht="18" customHeight="1" x14ac:dyDescent="0.35">
      <c r="B15" s="576" t="s">
        <v>22</v>
      </c>
      <c r="C15" s="530"/>
      <c r="D15" s="378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2.5327521548702641</v>
      </c>
      <c r="E15" s="617" t="s">
        <v>23</v>
      </c>
      <c r="F15" s="530"/>
      <c r="G15" s="530"/>
    </row>
    <row r="17" spans="2:14" ht="19.5" customHeight="1" x14ac:dyDescent="0.35">
      <c r="B17" s="588" t="s">
        <v>24</v>
      </c>
      <c r="C17" s="530"/>
      <c r="D17" s="530"/>
      <c r="E17" s="530"/>
      <c r="F17" s="530"/>
      <c r="G17" s="530"/>
      <c r="H17" s="530"/>
      <c r="I17" s="530"/>
      <c r="J17" s="530"/>
      <c r="K17" s="530"/>
      <c r="L17" s="530"/>
      <c r="M17" s="530"/>
      <c r="N17" s="530"/>
    </row>
    <row r="18" spans="2:14" ht="19.5" customHeight="1" x14ac:dyDescent="0.35">
      <c r="B18" s="41" t="s">
        <v>25</v>
      </c>
      <c r="C18" s="41" t="s">
        <v>26</v>
      </c>
      <c r="D18" s="41" t="s">
        <v>27</v>
      </c>
      <c r="E18" s="41" t="s">
        <v>28</v>
      </c>
      <c r="F18" s="41" t="s">
        <v>29</v>
      </c>
      <c r="G18" s="41" t="s">
        <v>30</v>
      </c>
      <c r="H18" s="563" t="s">
        <v>31</v>
      </c>
      <c r="I18" s="530"/>
      <c r="J18" s="530"/>
      <c r="K18" s="530"/>
      <c r="L18" s="530"/>
      <c r="M18" s="530"/>
      <c r="N18" s="530"/>
    </row>
    <row r="19" spans="2:14" ht="18" customHeight="1" x14ac:dyDescent="0.35">
      <c r="B19" s="42" t="s">
        <v>32</v>
      </c>
      <c r="C19" s="347">
        <f>SUMPRODUCT(('Input Data'!Z3:Z27&lt;&gt;"")*('Input Data'!Z3:Z27&lt;=DATE(2026,12,31))*('Input Data'!AA3:AA27&gt;0)*'Input Data'!AA3:AA27*'Input Data'!F3:F27)</f>
        <v>622686.32299999997</v>
      </c>
      <c r="D19" s="348">
        <f ca="1">IFERROR(C19/(SUMPRODUCT(('Input Data'!Z3:Z27&gt;TODAY())*('Input Data'!AA3:AA27&gt;0)*'Input Data'!AA3:AA27*'Input Data'!F3:F27)),0)</f>
        <v>0.13280327040519199</v>
      </c>
      <c r="E19" s="349">
        <f>SUMPRODUCT(('Input Data'!Z3:Z27&lt;&gt;"")*('Input Data'!Z3:Z27&lt;=DATE(2026,12,31))*('Input Data'!AA3:AA27&gt;0)*'Input Data'!F3:F27)</f>
        <v>608.1</v>
      </c>
      <c r="F19" s="348">
        <f ca="1">IFERROR(E19/(SUMPRODUCT(('Input Data'!Z3:Z27&gt;TODAY())*('Input Data'!AA3:AA27&gt;0)*'Input Data'!F3:F27)),0)</f>
        <v>0.14588331254198253</v>
      </c>
      <c r="G19" s="350">
        <f>SUMPRODUCT(('Input Data'!Z3:Z27&lt;&gt;"")*('Input Data'!Z3:Z27&lt;=DATE(2026,12,31))*('Input Data'!AA3:AA27&gt;0)*1)</f>
        <v>5</v>
      </c>
      <c r="H19" s="589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Blitzem (101&amp;2), TJC#1 (104), Capital Credit Solutions (602), Michael Flegg (1101), Pharmx Technologies (1102)</v>
      </c>
      <c r="I19" s="530"/>
      <c r="J19" s="530"/>
      <c r="K19" s="530"/>
      <c r="L19" s="530"/>
      <c r="M19" s="530"/>
      <c r="N19" s="526"/>
    </row>
    <row r="20" spans="2:14" ht="18" customHeight="1" x14ac:dyDescent="0.35">
      <c r="B20" s="43" t="s">
        <v>33</v>
      </c>
      <c r="C20" s="351">
        <f ca="1">SUMPRODUCT(('Input Data'!Z3:Z27&gt;TODAY())*(YEAR('Input Data'!Z3:Z27)=2027)*('Input Data'!AA3:AA27&gt;0)*'Input Data'!AA3:AA27*'Input Data'!F3:F27)</f>
        <v>1173789.608</v>
      </c>
      <c r="D20" s="352">
        <f ca="1">IFERROR(C20/(SUMPRODUCT(('Input Data'!Z3:Z27&gt;TODAY())*('Input Data'!AA3:AA27&gt;0)*'Input Data'!AA3:AA27*'Input Data'!F3:F27)),0)</f>
        <v>0.2503396862147369</v>
      </c>
      <c r="E20" s="353">
        <f ca="1">SUMPRODUCT(('Input Data'!Z3:Z27&gt;TODAY())*(YEAR('Input Data'!Z3:Z27)=2027)*('Input Data'!AA3:AA27&gt;0)*'Input Data'!F3:F27)</f>
        <v>976.9</v>
      </c>
      <c r="F20" s="352">
        <f ca="1">IFERROR(E20/(SUMPRODUCT(('Input Data'!Z3:Z27&gt;TODAY())*('Input Data'!AA3:AA27&gt;0)*'Input Data'!F3:F27)),0)</f>
        <v>0.23435850686114573</v>
      </c>
      <c r="G20" s="354">
        <f ca="1">SUMPRODUCT(('Input Data'!Z3:Z27&gt;TODAY())*(YEAR('Input Data'!Z3:Z27)=2027)*('Input Data'!AA3:AA27&gt;0)*1)</f>
        <v>5</v>
      </c>
      <c r="H20" s="562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530"/>
      <c r="J20" s="530"/>
      <c r="K20" s="530"/>
      <c r="L20" s="530"/>
      <c r="M20" s="530"/>
      <c r="N20" s="526"/>
    </row>
    <row r="21" spans="2:14" ht="29.5" customHeight="1" x14ac:dyDescent="0.35">
      <c r="B21" s="41" t="s">
        <v>34</v>
      </c>
      <c r="C21" s="347">
        <f ca="1">SUMPRODUCT(('Input Data'!Z3:Z27&gt;TODAY())*(YEAR('Input Data'!Z3:Z27)=2028)*('Input Data'!AA3:AA27&gt;0)*'Input Data'!AA3:AA27*'Input Data'!F3:F27)</f>
        <v>983995.30399999989</v>
      </c>
      <c r="D21" s="348">
        <f ca="1">IFERROR(C21/(SUMPRODUCT(('Input Data'!Z3:Z27&gt;TODAY())*('Input Data'!AA3:AA27&gt;0)*'Input Data'!AA3:AA27*'Input Data'!F3:F27)),0)</f>
        <v>0.20986135331344205</v>
      </c>
      <c r="E21" s="349">
        <f ca="1">SUMPRODUCT(('Input Data'!Z3:Z27&gt;TODAY())*(YEAR('Input Data'!Z3:Z27)=2028)*('Input Data'!AA3:AA27&gt;0)*'Input Data'!F3:F27)</f>
        <v>985.3</v>
      </c>
      <c r="F21" s="348">
        <f ca="1">IFERROR(E21/(SUMPRODUCT(('Input Data'!Z3:Z27&gt;TODAY())*('Input Data'!AA3:AA27&gt;0)*'Input Data'!F3:F27)),0)</f>
        <v>0.23637366855388153</v>
      </c>
      <c r="G21" s="350">
        <f ca="1">SUMPRODUCT(('Input Data'!Z3:Z27&gt;TODAY())*(YEAR('Input Data'!Z3:Z27)=2028)*('Input Data'!AA3:AA27&gt;0)*1)</f>
        <v>5</v>
      </c>
      <c r="H21" s="589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</v>
      </c>
      <c r="I21" s="530"/>
      <c r="J21" s="530"/>
      <c r="K21" s="530"/>
      <c r="L21" s="530"/>
      <c r="M21" s="530"/>
      <c r="N21" s="526"/>
    </row>
    <row r="22" spans="2:14" ht="24" customHeight="1" x14ac:dyDescent="0.35">
      <c r="B22" s="44" t="s">
        <v>35</v>
      </c>
      <c r="C22" s="351">
        <f ca="1">SUMPRODUCT(('Input Data'!Z3:Z27&gt;TODAY())*(YEAR('Input Data'!Z3:Z27)=2029)*('Input Data'!AA3:AA27&gt;0)*'Input Data'!AA3:AA27*'Input Data'!F3:F27)</f>
        <v>977786.15699999989</v>
      </c>
      <c r="D22" s="352">
        <f ca="1">IFERROR(C22/(SUMPRODUCT(('Input Data'!Z3:Z27&gt;TODAY())*('Input Data'!AA3:AA27&gt;0)*'Input Data'!AA3:AA27*'Input Data'!F3:F27)),0)</f>
        <v>0.20853709903392964</v>
      </c>
      <c r="E22" s="353">
        <f ca="1">SUMPRODUCT(('Input Data'!Z3:Z27&gt;TODAY())*(YEAR('Input Data'!Z3:Z27)=2029)*('Input Data'!AA3:AA27&gt;0)*'Input Data'!F3:F27)</f>
        <v>874.09999999999991</v>
      </c>
      <c r="F22" s="352">
        <f ca="1">IFERROR(E22/(SUMPRODUCT(('Input Data'!Z3:Z27&gt;TODAY())*('Input Data'!AA3:AA27&gt;0)*'Input Data'!F3:F27)),0)</f>
        <v>0.20969676614528351</v>
      </c>
      <c r="G22" s="354">
        <f ca="1">SUMPRODUCT(('Input Data'!Z3:Z27&gt;TODAY())*(YEAR('Input Data'!Z3:Z27)=2029)*('Input Data'!AA3:AA27&gt;0)*1)</f>
        <v>4</v>
      </c>
      <c r="H22" s="562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B-W International (401), Gray Dawes Travel (402), Connectus Services (1001&amp;2)</v>
      </c>
      <c r="I22" s="530"/>
      <c r="J22" s="530"/>
      <c r="K22" s="530"/>
      <c r="L22" s="530"/>
      <c r="M22" s="530"/>
      <c r="N22" s="526"/>
    </row>
    <row r="23" spans="2:14" ht="18" customHeight="1" x14ac:dyDescent="0.35">
      <c r="B23" s="45" t="s">
        <v>36</v>
      </c>
      <c r="C23" s="347">
        <f ca="1">SUMPRODUCT(('Input Data'!Z3:Z27&gt;TODAY())*(YEAR('Input Data'!Z3:Z27)=2030)*('Input Data'!AA3:AA27&gt;0)*'Input Data'!AA3:AA27*'Input Data'!F3:F27)</f>
        <v>702372.41399999999</v>
      </c>
      <c r="D23" s="348">
        <f ca="1">IFERROR(C23/(SUMPRODUCT(('Input Data'!Z3:Z27&gt;TODAY())*('Input Data'!AA3:AA27&gt;0)*'Input Data'!AA3:AA27*'Input Data'!F3:F27)),0)</f>
        <v>0.14979830161066418</v>
      </c>
      <c r="E23" s="349">
        <f ca="1">SUMPRODUCT(('Input Data'!Z3:Z27&gt;TODAY())*(YEAR('Input Data'!Z3:Z27)=2030)*('Input Data'!AA3:AA27&gt;0)*'Input Data'!F3:F27)</f>
        <v>577.79999999999995</v>
      </c>
      <c r="F23" s="348">
        <f ca="1">IFERROR(E23/(SUMPRODUCT(('Input Data'!Z3:Z27&gt;TODAY())*('Input Data'!AA3:AA27&gt;0)*'Input Data'!F3:F27)),0)</f>
        <v>0.13861433643604257</v>
      </c>
      <c r="G23" s="350">
        <f ca="1">SUMPRODUCT(('Input Data'!Z3:Z27&gt;TODAY())*(YEAR('Input Data'!Z3:Z27)=2030)*('Input Data'!AA3:AA27&gt;0)*1)</f>
        <v>3</v>
      </c>
      <c r="H23" s="589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Aitken Investment Mgmt (901), Capital E Marketing (902&amp;3)</v>
      </c>
      <c r="I23" s="530"/>
      <c r="J23" s="530"/>
      <c r="K23" s="530"/>
      <c r="L23" s="530"/>
      <c r="M23" s="530"/>
      <c r="N23" s="526"/>
    </row>
    <row r="24" spans="2:14" ht="18" customHeight="1" x14ac:dyDescent="0.35">
      <c r="B24" s="46" t="s">
        <v>37</v>
      </c>
      <c r="C24" s="351">
        <f ca="1">SUMPRODUCT(('Input Data'!Z3:Z27&gt;TODAY())*(YEAR('Input Data'!Z3:Z27)&gt;=2031)*('Input Data'!AA3:AA27&gt;0)*'Input Data'!AA3:AA27*'Input Data'!F3:F27)</f>
        <v>343200.11599999998</v>
      </c>
      <c r="D24" s="352">
        <f ca="1">IFERROR(C24/(SUMPRODUCT(('Input Data'!Z3:Z27&gt;TODAY())*('Input Data'!AA3:AA27&gt;0)*'Input Data'!AA3:AA27*'Input Data'!F3:F27)),0)</f>
        <v>7.319591923691772E-2</v>
      </c>
      <c r="E24" s="353">
        <f ca="1">SUMPRODUCT(('Input Data'!Z3:Z27&gt;TODAY())*(YEAR('Input Data'!Z3:Z27)&gt;=2031)*('Input Data'!AA3:AA27&gt;0)*'Input Data'!F3:F27)</f>
        <v>298.3</v>
      </c>
      <c r="F24" s="352">
        <f ca="1">IFERROR(E24/(SUMPRODUCT(('Input Data'!Z3:Z27&gt;TODAY())*('Input Data'!AA3:AA27&gt;0)*'Input Data'!F3:F27)),0)</f>
        <v>7.1562230112273292E-2</v>
      </c>
      <c r="G24" s="354">
        <f ca="1">SUMPRODUCT(('Input Data'!Z3:Z27&gt;TODAY())*(YEAR('Input Data'!Z3:Z27)&gt;=2031)*('Input Data'!AA3:AA27&gt;0)*1)</f>
        <v>1</v>
      </c>
      <c r="H24" s="562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530"/>
      <c r="J24" s="530"/>
      <c r="K24" s="530"/>
      <c r="L24" s="530"/>
      <c r="M24" s="530"/>
      <c r="N24" s="526"/>
    </row>
    <row r="25" spans="2:14" ht="19.5" customHeight="1" x14ac:dyDescent="0.35">
      <c r="B25" s="47" t="s">
        <v>38</v>
      </c>
      <c r="C25" s="231">
        <f ca="1">SUMPRODUCT(('Input Data'!Z3:Z27&gt;TODAY())*('Input Data'!AA3:AA27&gt;0)*'Input Data'!AA3:AA27*'Input Data'!F3:F27)</f>
        <v>4688787.5659999996</v>
      </c>
      <c r="D25" s="33">
        <f ca="1">SUM(C19:C24)</f>
        <v>4803829.9220000003</v>
      </c>
      <c r="E25" s="302">
        <f ca="1">SUMPRODUCT(('Input Data'!Z3:Z27&gt;TODAY())*('Input Data'!AA3:AA27&gt;0)*'Input Data'!F3:F27)</f>
        <v>4168.4000000000005</v>
      </c>
      <c r="F25" s="32">
        <f ca="1">SUM(E19:E24)</f>
        <v>4320.5</v>
      </c>
      <c r="G25" s="48">
        <f>100%</f>
        <v>1</v>
      </c>
      <c r="H25" s="31">
        <v>23</v>
      </c>
      <c r="I25" s="601">
        <f ca="1">SUM(G19:G24)</f>
        <v>23</v>
      </c>
      <c r="J25" s="524"/>
      <c r="K25" s="524"/>
      <c r="L25" s="524"/>
      <c r="M25" s="524"/>
      <c r="N25" s="524"/>
    </row>
    <row r="27" spans="2:14" ht="19.5" customHeight="1" x14ac:dyDescent="0.35">
      <c r="B27" s="588" t="s">
        <v>39</v>
      </c>
      <c r="C27" s="530"/>
      <c r="D27" s="530"/>
      <c r="E27" s="530"/>
      <c r="F27" s="530"/>
      <c r="G27" s="530"/>
      <c r="H27" s="530"/>
      <c r="I27" s="530"/>
      <c r="J27" s="530"/>
      <c r="K27" s="530"/>
      <c r="L27" s="530"/>
      <c r="M27" s="530"/>
      <c r="N27" s="530"/>
    </row>
    <row r="28" spans="2:14" ht="19.5" customHeight="1" x14ac:dyDescent="0.35">
      <c r="B28" s="40" t="s">
        <v>40</v>
      </c>
      <c r="C28" s="582" t="s">
        <v>41</v>
      </c>
      <c r="D28" s="530"/>
      <c r="E28" s="40" t="s">
        <v>42</v>
      </c>
      <c r="F28" s="40" t="s">
        <v>43</v>
      </c>
      <c r="G28" s="40" t="s">
        <v>44</v>
      </c>
      <c r="H28" s="40" t="s">
        <v>45</v>
      </c>
      <c r="I28" s="40" t="s">
        <v>46</v>
      </c>
      <c r="J28" s="582" t="s">
        <v>47</v>
      </c>
      <c r="K28" s="530"/>
      <c r="L28" s="530"/>
      <c r="M28" s="530"/>
      <c r="N28" s="530"/>
    </row>
    <row r="29" spans="2:14" ht="15" customHeight="1" x14ac:dyDescent="0.35">
      <c r="B29" s="138" t="str">
        <f>'Input Data'!C3</f>
        <v>LWR GROUND</v>
      </c>
      <c r="C29" s="555" t="str">
        <f ca="1">'Input Data'!D3</f>
        <v>OPULENT TWO ENTERPRISES</v>
      </c>
      <c r="D29" s="526"/>
      <c r="E29" s="139">
        <f>'Input Data'!F3</f>
        <v>151.19999999999999</v>
      </c>
      <c r="F29" s="140">
        <f ca="1">'Input Data'!J3</f>
        <v>1002.01</v>
      </c>
      <c r="G29" s="140">
        <f>'Input Data'!S3</f>
        <v>930</v>
      </c>
      <c r="H29" s="140">
        <f t="shared" ref="H29:H52" ca="1" si="0">F29-G29</f>
        <v>72.009999999999991</v>
      </c>
      <c r="I29" s="141">
        <f t="shared" ref="I29:I51" ca="1" si="1">IFERROR((F29-G29)/G29,0)</f>
        <v>7.7430107526881717E-2</v>
      </c>
      <c r="J29" s="555" t="str">
        <f t="shared" ref="J29:J51" ca="1" si="2">IF(I29&gt;0.05,"▲ Above Market",IF(I29&lt;-0.05,"▼ Below Market","≈ At Market"))</f>
        <v>▲ Above Market</v>
      </c>
      <c r="K29" s="530"/>
      <c r="L29" s="530"/>
      <c r="M29" s="530"/>
      <c r="N29" s="526"/>
    </row>
    <row r="30" spans="2:14" ht="15" customHeight="1" x14ac:dyDescent="0.35">
      <c r="B30" s="142" t="str">
        <f>'Input Data'!C4</f>
        <v>GROUND</v>
      </c>
      <c r="C30" s="572" t="str">
        <f ca="1">'Input Data'!D4</f>
        <v>RCVRI MARTIN PLACE PTY LTD</v>
      </c>
      <c r="D30" s="526"/>
      <c r="E30" s="143">
        <f>'Input Data'!F4</f>
        <v>298.3</v>
      </c>
      <c r="F30" s="144">
        <f ca="1">'Input Data'!J4</f>
        <v>1150.52</v>
      </c>
      <c r="G30" s="144">
        <f>'Input Data'!S4</f>
        <v>1100</v>
      </c>
      <c r="H30" s="144">
        <f t="shared" ca="1" si="0"/>
        <v>50.519999999999982</v>
      </c>
      <c r="I30" s="145">
        <f t="shared" ca="1" si="1"/>
        <v>4.5927272727272712E-2</v>
      </c>
      <c r="J30" s="572" t="str">
        <f t="shared" ca="1" si="2"/>
        <v>≈ At Market</v>
      </c>
      <c r="K30" s="530"/>
      <c r="L30" s="530"/>
      <c r="M30" s="530"/>
      <c r="N30" s="526"/>
    </row>
    <row r="31" spans="2:14" ht="15" customHeight="1" x14ac:dyDescent="0.35">
      <c r="B31" s="146" t="str">
        <f>'Input Data'!C5</f>
        <v>101&amp;2</v>
      </c>
      <c r="C31" s="537" t="str">
        <f ca="1">'Input Data'!D5</f>
        <v>BLITZEM PTY LTD</v>
      </c>
      <c r="D31" s="526"/>
      <c r="E31" s="147">
        <f>'Input Data'!F5</f>
        <v>162.4</v>
      </c>
      <c r="F31" s="148">
        <f ca="1">'Input Data'!J5</f>
        <v>1010.25</v>
      </c>
      <c r="G31" s="148">
        <f>'Input Data'!S5</f>
        <v>1115</v>
      </c>
      <c r="H31" s="148">
        <f t="shared" ca="1" si="0"/>
        <v>-104.75</v>
      </c>
      <c r="I31" s="149">
        <f t="shared" ca="1" si="1"/>
        <v>-9.3946188340807174E-2</v>
      </c>
      <c r="J31" s="537" t="str">
        <f t="shared" ca="1" si="2"/>
        <v>▼ Below Market</v>
      </c>
      <c r="K31" s="530"/>
      <c r="L31" s="530"/>
      <c r="M31" s="530"/>
      <c r="N31" s="526"/>
    </row>
    <row r="32" spans="2:14" ht="15" customHeight="1" x14ac:dyDescent="0.35">
      <c r="B32" s="150" t="str">
        <f>'Input Data'!C6</f>
        <v>103</v>
      </c>
      <c r="C32" s="554" t="str">
        <f ca="1">'Input Data'!D6</f>
        <v>PU PRIME TRADING PTY LTD</v>
      </c>
      <c r="D32" s="526"/>
      <c r="E32" s="151">
        <f>'Input Data'!F6</f>
        <v>96.3</v>
      </c>
      <c r="F32" s="152">
        <f ca="1">'Input Data'!J6</f>
        <v>982.68</v>
      </c>
      <c r="G32" s="152">
        <f>'Input Data'!S6</f>
        <v>960</v>
      </c>
      <c r="H32" s="152">
        <f t="shared" ca="1" si="0"/>
        <v>22.67999999999995</v>
      </c>
      <c r="I32" s="153">
        <f t="shared" ca="1" si="1"/>
        <v>2.3624999999999948E-2</v>
      </c>
      <c r="J32" s="554" t="str">
        <f t="shared" ca="1" si="2"/>
        <v>≈ At Market</v>
      </c>
      <c r="K32" s="530"/>
      <c r="L32" s="530"/>
      <c r="M32" s="530"/>
      <c r="N32" s="526"/>
    </row>
    <row r="33" spans="2:14" ht="15" customHeight="1" x14ac:dyDescent="0.35">
      <c r="B33" s="146" t="str">
        <f>'Input Data'!C7</f>
        <v>104</v>
      </c>
      <c r="C33" s="537" t="str">
        <f ca="1">'Input Data'!D7</f>
        <v>TJC#1 PTY LTD</v>
      </c>
      <c r="D33" s="526"/>
      <c r="E33" s="147">
        <f>'Input Data'!F7</f>
        <v>98.1</v>
      </c>
      <c r="F33" s="148">
        <f ca="1">'Input Data'!J7</f>
        <v>973.44</v>
      </c>
      <c r="G33" s="148">
        <f>'Input Data'!S7</f>
        <v>960</v>
      </c>
      <c r="H33" s="148">
        <f t="shared" ca="1" si="0"/>
        <v>13.440000000000055</v>
      </c>
      <c r="I33" s="149">
        <f t="shared" ca="1" si="1"/>
        <v>1.4000000000000058E-2</v>
      </c>
      <c r="J33" s="537" t="str">
        <f t="shared" ca="1" si="2"/>
        <v>≈ At Market</v>
      </c>
      <c r="K33" s="530"/>
      <c r="L33" s="530"/>
      <c r="M33" s="530"/>
      <c r="N33" s="526"/>
    </row>
    <row r="34" spans="2:14" ht="15" customHeight="1" x14ac:dyDescent="0.35">
      <c r="B34" s="150" t="str">
        <f>'Input Data'!C8</f>
        <v>WHOLE</v>
      </c>
      <c r="C34" s="554" t="str">
        <f ca="1">'Input Data'!D8</f>
        <v>PRINCETON FINANCIAL SERVICES</v>
      </c>
      <c r="D34" s="526"/>
      <c r="E34" s="151">
        <f>'Input Data'!F8</f>
        <v>393.2</v>
      </c>
      <c r="F34" s="152">
        <f ca="1">'Input Data'!J8</f>
        <v>1081.5999999999999</v>
      </c>
      <c r="G34" s="152">
        <f>'Input Data'!S8</f>
        <v>1095</v>
      </c>
      <c r="H34" s="152">
        <f t="shared" ca="1" si="0"/>
        <v>-13.400000000000091</v>
      </c>
      <c r="I34" s="153">
        <f t="shared" ca="1" si="1"/>
        <v>-1.2237442922374513E-2</v>
      </c>
      <c r="J34" s="554" t="str">
        <f t="shared" ca="1" si="2"/>
        <v>≈ At Market</v>
      </c>
      <c r="K34" s="530"/>
      <c r="L34" s="530"/>
      <c r="M34" s="530"/>
      <c r="N34" s="526"/>
    </row>
    <row r="35" spans="2:14" ht="15" customHeight="1" x14ac:dyDescent="0.35">
      <c r="B35" s="154" t="str">
        <f>'Input Data'!C9</f>
        <v>301&amp;2</v>
      </c>
      <c r="C35" s="535" t="str">
        <f ca="1">'Input Data'!D9</f>
        <v>IPM RESIDENTIAL PTY LTD</v>
      </c>
      <c r="D35" s="526"/>
      <c r="E35" s="155">
        <f>'Input Data'!F9</f>
        <v>164.2</v>
      </c>
      <c r="F35" s="156">
        <f ca="1">'Input Data'!J9</f>
        <v>1172.6099999999999</v>
      </c>
      <c r="G35" s="156">
        <f>'Input Data'!S9</f>
        <v>1135</v>
      </c>
      <c r="H35" s="156">
        <f t="shared" ca="1" si="0"/>
        <v>37.6099999999999</v>
      </c>
      <c r="I35" s="157">
        <f t="shared" ca="1" si="1"/>
        <v>3.3136563876651891E-2</v>
      </c>
      <c r="J35" s="535" t="str">
        <f t="shared" ca="1" si="2"/>
        <v>≈ At Market</v>
      </c>
      <c r="K35" s="530"/>
      <c r="L35" s="530"/>
      <c r="M35" s="530"/>
      <c r="N35" s="526"/>
    </row>
    <row r="36" spans="2:14" ht="15" customHeight="1" x14ac:dyDescent="0.35">
      <c r="B36" s="150" t="str">
        <f>'Input Data'!C10</f>
        <v>303&amp;4</v>
      </c>
      <c r="C36" s="554" t="str">
        <f ca="1">'Input Data'!D10</f>
        <v>BROADRIDGE (AUSTRALIA) PTY LTD</v>
      </c>
      <c r="D36" s="526"/>
      <c r="E36" s="151">
        <f>'Input Data'!F10</f>
        <v>193.4</v>
      </c>
      <c r="F36" s="152">
        <f ca="1">'Input Data'!J10</f>
        <v>933.75</v>
      </c>
      <c r="G36" s="152">
        <f>'Input Data'!S10</f>
        <v>920</v>
      </c>
      <c r="H36" s="152">
        <f t="shared" ca="1" si="0"/>
        <v>13.75</v>
      </c>
      <c r="I36" s="153">
        <f t="shared" ca="1" si="1"/>
        <v>1.4945652173913044E-2</v>
      </c>
      <c r="J36" s="554" t="str">
        <f t="shared" ca="1" si="2"/>
        <v>≈ At Market</v>
      </c>
      <c r="K36" s="530"/>
      <c r="L36" s="530"/>
      <c r="M36" s="530"/>
      <c r="N36" s="526"/>
    </row>
    <row r="37" spans="2:14" ht="15" customHeight="1" x14ac:dyDescent="0.35">
      <c r="B37" s="138" t="str">
        <f>'Input Data'!C11</f>
        <v>401</v>
      </c>
      <c r="C37" s="555" t="str">
        <f ca="1">'Input Data'!D11</f>
        <v>B-W INTERNATIONAL AUSTRALIA PTY LTD</v>
      </c>
      <c r="D37" s="526"/>
      <c r="E37" s="139">
        <f>'Input Data'!F11</f>
        <v>214.1</v>
      </c>
      <c r="F37" s="140">
        <f ca="1">'Input Data'!J11</f>
        <v>1135.6099999999999</v>
      </c>
      <c r="G37" s="140">
        <f>'Input Data'!S11</f>
        <v>1145</v>
      </c>
      <c r="H37" s="140">
        <f t="shared" ca="1" si="0"/>
        <v>-9.3900000000001</v>
      </c>
      <c r="I37" s="141">
        <f t="shared" ca="1" si="1"/>
        <v>-8.2008733624455016E-3</v>
      </c>
      <c r="J37" s="555" t="str">
        <f t="shared" ca="1" si="2"/>
        <v>≈ At Market</v>
      </c>
      <c r="K37" s="530"/>
      <c r="L37" s="530"/>
      <c r="M37" s="530"/>
      <c r="N37" s="526"/>
    </row>
    <row r="38" spans="2:14" ht="15" customHeight="1" x14ac:dyDescent="0.35">
      <c r="B38" s="138" t="str">
        <f>'Input Data'!C12</f>
        <v>402</v>
      </c>
      <c r="C38" s="555" t="str">
        <f ca="1">'Input Data'!D12</f>
        <v>MP TRAVEL PTY LTD</v>
      </c>
      <c r="D38" s="526"/>
      <c r="E38" s="139">
        <f>'Input Data'!F12</f>
        <v>145.6</v>
      </c>
      <c r="F38" s="140">
        <f ca="1">'Input Data'!J12</f>
        <v>1037.5</v>
      </c>
      <c r="G38" s="140">
        <f>'Input Data'!S12</f>
        <v>1000</v>
      </c>
      <c r="H38" s="140">
        <f t="shared" ca="1" si="0"/>
        <v>37.5</v>
      </c>
      <c r="I38" s="141">
        <f t="shared" ca="1" si="1"/>
        <v>3.7499999999999999E-2</v>
      </c>
      <c r="J38" s="555" t="str">
        <f t="shared" ca="1" si="2"/>
        <v>≈ At Market</v>
      </c>
      <c r="K38" s="530"/>
      <c r="L38" s="530"/>
      <c r="M38" s="530"/>
      <c r="N38" s="526"/>
    </row>
    <row r="39" spans="2:14" ht="15" customHeight="1" x14ac:dyDescent="0.35">
      <c r="B39" s="154" t="str">
        <f>'Input Data'!C13</f>
        <v>501</v>
      </c>
      <c r="C39" s="535" t="str">
        <f ca="1">'Input Data'!D13</f>
        <v>MONTGOMERY INVESTMENT</v>
      </c>
      <c r="D39" s="526"/>
      <c r="E39" s="155">
        <f>'Input Data'!F13</f>
        <v>212.3</v>
      </c>
      <c r="F39" s="156">
        <f ca="1">'Input Data'!J13</f>
        <v>1341.24</v>
      </c>
      <c r="G39" s="156">
        <f>'Input Data'!S13</f>
        <v>1155</v>
      </c>
      <c r="H39" s="156">
        <f t="shared" ca="1" si="0"/>
        <v>186.24</v>
      </c>
      <c r="I39" s="157">
        <f t="shared" ca="1" si="1"/>
        <v>0.16124675324675325</v>
      </c>
      <c r="J39" s="535" t="str">
        <f t="shared" ca="1" si="2"/>
        <v>▲ Above Market</v>
      </c>
      <c r="K39" s="530"/>
      <c r="L39" s="530"/>
      <c r="M39" s="530"/>
      <c r="N39" s="526"/>
    </row>
    <row r="40" spans="2:14" ht="15" customHeight="1" x14ac:dyDescent="0.35">
      <c r="B40" s="154" t="str">
        <f>'Input Data'!C14</f>
        <v>502</v>
      </c>
      <c r="C40" s="535" t="str">
        <f ca="1">'Input Data'!D14</f>
        <v>THREAT DEFENCE</v>
      </c>
      <c r="D40" s="526"/>
      <c r="E40" s="155">
        <f>'Input Data'!F14</f>
        <v>163.80000000000001</v>
      </c>
      <c r="F40" s="156">
        <f ca="1">'Input Data'!J14</f>
        <v>1016.75</v>
      </c>
      <c r="G40" s="156">
        <f>'Input Data'!S14</f>
        <v>1020</v>
      </c>
      <c r="H40" s="156">
        <f t="shared" ca="1" si="0"/>
        <v>-3.25</v>
      </c>
      <c r="I40" s="157">
        <f t="shared" ca="1" si="1"/>
        <v>-3.1862745098039215E-3</v>
      </c>
      <c r="J40" s="535" t="str">
        <f t="shared" ca="1" si="2"/>
        <v>≈ At Market</v>
      </c>
      <c r="K40" s="530"/>
      <c r="L40" s="530"/>
      <c r="M40" s="530"/>
      <c r="N40" s="526"/>
    </row>
    <row r="41" spans="2:14" ht="15" customHeight="1" x14ac:dyDescent="0.35">
      <c r="B41" s="154" t="str">
        <f>'Input Data'!C15</f>
        <v>601</v>
      </c>
      <c r="C41" s="535" t="str">
        <f ca="1">'Input Data'!D15</f>
        <v>FULLCRM PTY LTD</v>
      </c>
      <c r="D41" s="526"/>
      <c r="E41" s="155">
        <f>'Input Data'!F15</f>
        <v>226.1</v>
      </c>
      <c r="F41" s="156">
        <f ca="1">'Input Data'!J15</f>
        <v>1251.3399999999999</v>
      </c>
      <c r="G41" s="156">
        <f>'Input Data'!S15</f>
        <v>1165</v>
      </c>
      <c r="H41" s="156">
        <f t="shared" ca="1" si="0"/>
        <v>86.339999999999918</v>
      </c>
      <c r="I41" s="157">
        <f t="shared" ca="1" si="1"/>
        <v>7.4111587982832544E-2</v>
      </c>
      <c r="J41" s="535" t="str">
        <f t="shared" ca="1" si="2"/>
        <v>▲ Above Market</v>
      </c>
      <c r="K41" s="530"/>
      <c r="L41" s="530"/>
      <c r="M41" s="530"/>
      <c r="N41" s="526"/>
    </row>
    <row r="42" spans="2:14" ht="15" customHeight="1" x14ac:dyDescent="0.35">
      <c r="B42" s="146" t="str">
        <f>'Input Data'!C16</f>
        <v>602</v>
      </c>
      <c r="C42" s="537" t="str">
        <f ca="1">'Input Data'!D16</f>
        <v>VACANT</v>
      </c>
      <c r="D42" s="526"/>
      <c r="E42" s="147">
        <f>'Input Data'!F16</f>
        <v>152.1</v>
      </c>
      <c r="F42" s="148">
        <f ca="1">'Input Data'!J16</f>
        <v>0</v>
      </c>
      <c r="G42" s="148">
        <f>'Input Data'!S16</f>
        <v>1030</v>
      </c>
      <c r="H42" s="148">
        <f t="shared" ca="1" si="0"/>
        <v>-1030</v>
      </c>
      <c r="I42" s="149">
        <f t="shared" ca="1" si="1"/>
        <v>-1</v>
      </c>
      <c r="J42" s="537" t="str">
        <f t="shared" ca="1" si="2"/>
        <v>▼ Below Market</v>
      </c>
      <c r="K42" s="530"/>
      <c r="L42" s="530"/>
      <c r="M42" s="530"/>
      <c r="N42" s="526"/>
    </row>
    <row r="43" spans="2:14" ht="15" customHeight="1" x14ac:dyDescent="0.35">
      <c r="B43" s="154" t="str">
        <f>'Input Data'!C17</f>
        <v>701</v>
      </c>
      <c r="C43" s="535" t="str">
        <f ca="1">'Input Data'!D17</f>
        <v>PINPOINT TALENT PTY LTD</v>
      </c>
      <c r="D43" s="526"/>
      <c r="E43" s="155">
        <f>'Input Data'!F17</f>
        <v>210.5</v>
      </c>
      <c r="F43" s="156">
        <f ca="1">'Input Data'!J17</f>
        <v>1173.54</v>
      </c>
      <c r="G43" s="156">
        <f>'Input Data'!S17</f>
        <v>1175</v>
      </c>
      <c r="H43" s="156">
        <f t="shared" ca="1" si="0"/>
        <v>-1.4600000000000364</v>
      </c>
      <c r="I43" s="157">
        <f t="shared" ca="1" si="1"/>
        <v>-1.2425531914893927E-3</v>
      </c>
      <c r="J43" s="535" t="str">
        <f t="shared" ca="1" si="2"/>
        <v>≈ At Market</v>
      </c>
      <c r="K43" s="530"/>
      <c r="L43" s="530"/>
      <c r="M43" s="530"/>
      <c r="N43" s="526"/>
    </row>
    <row r="44" spans="2:14" ht="15" customHeight="1" x14ac:dyDescent="0.35">
      <c r="B44" s="150" t="str">
        <f>'Input Data'!C18</f>
        <v>702</v>
      </c>
      <c r="C44" s="554" t="str">
        <f ca="1">'Input Data'!D18</f>
        <v>SATELLITE OFFICE PTY LTD</v>
      </c>
      <c r="D44" s="526"/>
      <c r="E44" s="151">
        <f>'Input Data'!F18</f>
        <v>163.9</v>
      </c>
      <c r="F44" s="152">
        <f ca="1">'Input Data'!J18</f>
        <v>1016.75</v>
      </c>
      <c r="G44" s="152">
        <f>'Input Data'!S18</f>
        <v>1040</v>
      </c>
      <c r="H44" s="152">
        <f t="shared" ca="1" si="0"/>
        <v>-23.25</v>
      </c>
      <c r="I44" s="153">
        <f t="shared" ca="1" si="1"/>
        <v>-2.2355769230769231E-2</v>
      </c>
      <c r="J44" s="554" t="str">
        <f t="shared" ca="1" si="2"/>
        <v>≈ At Market</v>
      </c>
      <c r="K44" s="530"/>
      <c r="L44" s="530"/>
      <c r="M44" s="530"/>
      <c r="N44" s="526"/>
    </row>
    <row r="45" spans="2:14" ht="15" customHeight="1" x14ac:dyDescent="0.35">
      <c r="B45" s="158" t="str">
        <f>'Input Data'!C19</f>
        <v>801</v>
      </c>
      <c r="C45" s="547" t="str">
        <f ca="1">'Input Data'!D19</f>
        <v>ARKANCE AUSTRALIA PTY LTD</v>
      </c>
      <c r="D45" s="526"/>
      <c r="E45" s="159">
        <f>'Input Data'!F19</f>
        <v>222</v>
      </c>
      <c r="F45" s="160">
        <f ca="1">'Input Data'!J19</f>
        <v>1300</v>
      </c>
      <c r="G45" s="160">
        <f>'Input Data'!S19</f>
        <v>1300</v>
      </c>
      <c r="H45" s="160">
        <f t="shared" ca="1" si="0"/>
        <v>0</v>
      </c>
      <c r="I45" s="161">
        <f t="shared" ca="1" si="1"/>
        <v>0</v>
      </c>
      <c r="J45" s="547" t="str">
        <f t="shared" ca="1" si="2"/>
        <v>≈ At Market</v>
      </c>
      <c r="K45" s="530"/>
      <c r="L45" s="530"/>
      <c r="M45" s="530"/>
      <c r="N45" s="526"/>
    </row>
    <row r="46" spans="2:14" ht="15" customHeight="1" x14ac:dyDescent="0.35">
      <c r="B46" s="150" t="str">
        <f>'Input Data'!C20</f>
        <v>802</v>
      </c>
      <c r="C46" s="554" t="str">
        <f ca="1">'Input Data'!D20</f>
        <v>HILLIARD &amp; BERRY</v>
      </c>
      <c r="D46" s="526"/>
      <c r="E46" s="151">
        <f>'Input Data'!F20</f>
        <v>138.5</v>
      </c>
      <c r="F46" s="152">
        <f ca="1">'Input Data'!J20</f>
        <v>843.65</v>
      </c>
      <c r="G46" s="152">
        <f>'Input Data'!S20</f>
        <v>1030</v>
      </c>
      <c r="H46" s="152">
        <f t="shared" ca="1" si="0"/>
        <v>-186.35000000000002</v>
      </c>
      <c r="I46" s="153">
        <f t="shared" ca="1" si="1"/>
        <v>-0.18092233009708741</v>
      </c>
      <c r="J46" s="554" t="str">
        <f t="shared" ca="1" si="2"/>
        <v>▼ Below Market</v>
      </c>
      <c r="K46" s="530"/>
      <c r="L46" s="530"/>
      <c r="M46" s="530"/>
      <c r="N46" s="526"/>
    </row>
    <row r="47" spans="2:14" ht="15" customHeight="1" x14ac:dyDescent="0.35">
      <c r="B47" s="146" t="str">
        <f>'Input Data'!C21</f>
        <v>901</v>
      </c>
      <c r="C47" s="537" t="str">
        <f ca="1">'Input Data'!D21</f>
        <v>AITKEN INVESTMENT MANAGEMENT PTY LTD</v>
      </c>
      <c r="D47" s="526"/>
      <c r="E47" s="147">
        <f>'Input Data'!F21</f>
        <v>52.8</v>
      </c>
      <c r="F47" s="148">
        <f ca="1">'Input Data'!J21</f>
        <v>1287.3800000000001</v>
      </c>
      <c r="G47" s="148">
        <f>'Input Data'!S21</f>
        <v>1350</v>
      </c>
      <c r="H47" s="148">
        <f t="shared" ca="1" si="0"/>
        <v>-62.619999999999891</v>
      </c>
      <c r="I47" s="149">
        <f t="shared" ca="1" si="1"/>
        <v>-4.6385185185185106E-2</v>
      </c>
      <c r="J47" s="537" t="str">
        <f t="shared" ca="1" si="2"/>
        <v>≈ At Market</v>
      </c>
      <c r="K47" s="530"/>
      <c r="L47" s="530"/>
      <c r="M47" s="530"/>
      <c r="N47" s="526"/>
    </row>
    <row r="48" spans="2:14" ht="15" customHeight="1" x14ac:dyDescent="0.35">
      <c r="B48" s="158" t="str">
        <f>'Input Data'!C22</f>
        <v>902&amp;3</v>
      </c>
      <c r="C48" s="547" t="str">
        <f ca="1">'Input Data'!D22</f>
        <v>CAPITAL E MARKETING AND EVENTS PTY LTD</v>
      </c>
      <c r="D48" s="526"/>
      <c r="E48" s="159">
        <f>'Input Data'!F22</f>
        <v>303</v>
      </c>
      <c r="F48" s="160">
        <f ca="1">'Input Data'!J22</f>
        <v>1141.25</v>
      </c>
      <c r="G48" s="160">
        <f>'Input Data'!S22</f>
        <v>1125</v>
      </c>
      <c r="H48" s="160">
        <f t="shared" ca="1" si="0"/>
        <v>16.25</v>
      </c>
      <c r="I48" s="161">
        <f t="shared" ca="1" si="1"/>
        <v>1.4444444444444444E-2</v>
      </c>
      <c r="J48" s="547" t="str">
        <f t="shared" ca="1" si="2"/>
        <v>≈ At Market</v>
      </c>
      <c r="K48" s="530"/>
      <c r="L48" s="530"/>
      <c r="M48" s="530"/>
      <c r="N48" s="526"/>
    </row>
    <row r="49" spans="1:14" ht="15" customHeight="1" x14ac:dyDescent="0.35">
      <c r="B49" s="138" t="str">
        <f>'Input Data'!C23</f>
        <v>1001&amp;2</v>
      </c>
      <c r="C49" s="555" t="str">
        <f ca="1">'Input Data'!D23</f>
        <v>CONNECTUS SERVICES PTY LTD</v>
      </c>
      <c r="D49" s="526"/>
      <c r="E49" s="139">
        <f>'Input Data'!F23</f>
        <v>363.2</v>
      </c>
      <c r="F49" s="140">
        <f ca="1">'Input Data'!J23</f>
        <v>1189.67</v>
      </c>
      <c r="G49" s="140">
        <f>'Input Data'!S23</f>
        <v>1200</v>
      </c>
      <c r="H49" s="140">
        <f t="shared" ca="1" si="0"/>
        <v>-10.329999999999927</v>
      </c>
      <c r="I49" s="141">
        <f t="shared" ca="1" si="1"/>
        <v>-8.6083333333332734E-3</v>
      </c>
      <c r="J49" s="555" t="str">
        <f t="shared" ca="1" si="2"/>
        <v>≈ At Market</v>
      </c>
      <c r="K49" s="530"/>
      <c r="L49" s="530"/>
      <c r="M49" s="530"/>
      <c r="N49" s="526"/>
    </row>
    <row r="50" spans="1:14" ht="15" customHeight="1" x14ac:dyDescent="0.35">
      <c r="B50" s="146" t="str">
        <f>'Input Data'!C24</f>
        <v>1101</v>
      </c>
      <c r="C50" s="537" t="str">
        <f ca="1">'Input Data'!D24</f>
        <v>MICHAEL FLEGG PTY LTD</v>
      </c>
      <c r="D50" s="526"/>
      <c r="E50" s="147">
        <f>'Input Data'!F24</f>
        <v>62.4</v>
      </c>
      <c r="F50" s="148">
        <f ca="1">'Input Data'!J24</f>
        <v>1368.73</v>
      </c>
      <c r="G50" s="148">
        <f>'Input Data'!S24</f>
        <v>1405</v>
      </c>
      <c r="H50" s="148">
        <f t="shared" ca="1" si="0"/>
        <v>-36.269999999999982</v>
      </c>
      <c r="I50" s="149">
        <f t="shared" ca="1" si="1"/>
        <v>-2.5814946619217068E-2</v>
      </c>
      <c r="J50" s="537" t="str">
        <f t="shared" ca="1" si="2"/>
        <v>≈ At Market</v>
      </c>
      <c r="K50" s="530"/>
      <c r="L50" s="530"/>
      <c r="M50" s="530"/>
      <c r="N50" s="526"/>
    </row>
    <row r="51" spans="1:14" ht="15" customHeight="1" x14ac:dyDescent="0.35">
      <c r="B51" s="146" t="str">
        <f>'Input Data'!C25</f>
        <v>1102</v>
      </c>
      <c r="C51" s="537" t="str">
        <f ca="1">'Input Data'!D25</f>
        <v>PHARMX TECHNOLOGIES LIMITED</v>
      </c>
      <c r="D51" s="526"/>
      <c r="E51" s="147">
        <f>'Input Data'!F25</f>
        <v>133.1</v>
      </c>
      <c r="F51" s="148">
        <f ca="1">'Input Data'!J25</f>
        <v>1222.21</v>
      </c>
      <c r="G51" s="148">
        <f>'Input Data'!S25</f>
        <v>1250</v>
      </c>
      <c r="H51" s="148">
        <f t="shared" ca="1" si="0"/>
        <v>-27.789999999999964</v>
      </c>
      <c r="I51" s="149">
        <f t="shared" ca="1" si="1"/>
        <v>-2.2231999999999971E-2</v>
      </c>
      <c r="J51" s="537" t="str">
        <f t="shared" ca="1" si="2"/>
        <v>≈ At Market</v>
      </c>
      <c r="K51" s="530"/>
      <c r="L51" s="530"/>
      <c r="M51" s="530"/>
      <c r="N51" s="526"/>
    </row>
    <row r="52" spans="1:14" ht="15" customHeight="1" x14ac:dyDescent="0.35">
      <c r="B52" s="538" t="s">
        <v>48</v>
      </c>
      <c r="C52" s="530"/>
      <c r="D52" s="530"/>
      <c r="E52" s="530"/>
      <c r="F52" s="162">
        <f ca="1">IFERROR(SUMPRODUCT(('Input Data'!K3:K25&gt;0)*'Input Data'!J3:J25)/SUMPRODUCT(('Input Data'!K3:K25&gt;0)*1),0)</f>
        <v>1119.6581818181819</v>
      </c>
      <c r="G52" s="162">
        <f ca="1">IFERROR(SUMPRODUCT(('Input Data'!K3:K25&gt;0)*'Input Data'!S3:S25)/SUMPRODUCT(('Input Data'!K3:K25&gt;0)*1),0)</f>
        <v>1117.0454545454545</v>
      </c>
      <c r="H52" s="162">
        <f t="shared" ca="1" si="0"/>
        <v>2.6127272727273976</v>
      </c>
      <c r="I52" s="163">
        <f ca="1">IFERROR(H52/G52,0)</f>
        <v>2.3389623601221873E-3</v>
      </c>
      <c r="J52" s="534"/>
      <c r="K52" s="524"/>
      <c r="L52" s="524"/>
      <c r="M52" s="524"/>
      <c r="N52" s="524"/>
    </row>
    <row r="53" spans="1:14" ht="8" customHeight="1" x14ac:dyDescent="0.35"/>
    <row r="54" spans="1:14" ht="4" customHeight="1" x14ac:dyDescent="0.35">
      <c r="A54" s="297"/>
      <c r="B54" s="368"/>
      <c r="C54" s="297"/>
      <c r="D54" s="297"/>
      <c r="E54" s="297"/>
      <c r="F54" s="297"/>
      <c r="G54" s="297"/>
      <c r="H54" s="297"/>
      <c r="I54" s="297"/>
      <c r="J54" s="297"/>
      <c r="K54" s="297"/>
      <c r="L54" s="297"/>
      <c r="M54" s="297"/>
      <c r="N54" s="297"/>
    </row>
    <row r="55" spans="1:14" ht="4" customHeight="1" x14ac:dyDescent="0.35">
      <c r="A55" s="297"/>
      <c r="B55" s="369"/>
      <c r="C55" s="369"/>
      <c r="D55" s="297"/>
      <c r="E55" s="297"/>
      <c r="F55" s="369"/>
      <c r="G55" s="369"/>
      <c r="H55" s="369"/>
      <c r="I55" s="369"/>
      <c r="J55" s="297"/>
      <c r="K55" s="369"/>
      <c r="L55" s="369"/>
      <c r="M55" s="369"/>
      <c r="N55" s="297"/>
    </row>
    <row r="56" spans="1:14" ht="4" customHeight="1" x14ac:dyDescent="0.35">
      <c r="A56" s="297"/>
      <c r="B56" s="370"/>
      <c r="C56" s="299"/>
      <c r="D56" s="297"/>
      <c r="E56" s="297"/>
      <c r="F56" s="370"/>
      <c r="G56" s="370"/>
      <c r="H56" s="371"/>
      <c r="I56" s="372"/>
      <c r="J56" s="297"/>
      <c r="K56" s="373"/>
      <c r="L56" s="374"/>
      <c r="M56" s="370"/>
      <c r="N56" s="297"/>
    </row>
    <row r="57" spans="1:14" ht="4" customHeight="1" x14ac:dyDescent="0.35">
      <c r="A57" s="297"/>
      <c r="B57" s="370"/>
      <c r="C57" s="299"/>
      <c r="D57" s="297"/>
      <c r="E57" s="297"/>
      <c r="F57" s="370"/>
      <c r="G57" s="370"/>
      <c r="H57" s="371"/>
      <c r="I57" s="372"/>
      <c r="J57" s="297"/>
      <c r="K57" s="373"/>
      <c r="L57" s="374"/>
      <c r="M57" s="370"/>
      <c r="N57" s="297"/>
    </row>
    <row r="58" spans="1:14" ht="4" customHeight="1" x14ac:dyDescent="0.35">
      <c r="A58" s="297"/>
      <c r="B58" s="370"/>
      <c r="C58" s="299"/>
      <c r="D58" s="297"/>
      <c r="E58" s="297"/>
      <c r="F58" s="370"/>
      <c r="G58" s="370"/>
      <c r="H58" s="371"/>
      <c r="I58" s="372"/>
      <c r="J58" s="297"/>
      <c r="K58" s="373"/>
      <c r="L58" s="374"/>
      <c r="M58" s="370"/>
      <c r="N58" s="297"/>
    </row>
    <row r="59" spans="1:14" ht="4" customHeight="1" x14ac:dyDescent="0.35">
      <c r="A59" s="297"/>
      <c r="B59" s="299"/>
      <c r="C59" s="297"/>
      <c r="D59" s="297"/>
      <c r="E59" s="297"/>
      <c r="F59" s="297"/>
      <c r="G59" s="297"/>
      <c r="H59" s="297"/>
      <c r="I59" s="372"/>
      <c r="J59" s="297"/>
      <c r="K59" s="373"/>
      <c r="L59" s="297"/>
      <c r="M59" s="297"/>
      <c r="N59" s="297"/>
    </row>
    <row r="60" spans="1:14" ht="8" customHeight="1" x14ac:dyDescent="0.35">
      <c r="A60" s="297"/>
      <c r="B60" s="299"/>
      <c r="C60" s="297"/>
      <c r="D60" s="297"/>
      <c r="E60" s="299"/>
      <c r="F60" s="297"/>
      <c r="G60" s="297"/>
      <c r="H60" s="297"/>
      <c r="I60" s="297"/>
      <c r="J60" s="297"/>
      <c r="K60" s="297"/>
      <c r="L60" s="297"/>
      <c r="M60" s="297"/>
      <c r="N60" s="297"/>
    </row>
    <row r="61" spans="1:14" ht="8" customHeight="1" x14ac:dyDescent="0.35">
      <c r="A61" s="297"/>
      <c r="B61" s="299"/>
      <c r="C61" s="297"/>
      <c r="D61" s="297"/>
      <c r="E61" s="299"/>
      <c r="F61" s="297"/>
      <c r="G61" s="297"/>
      <c r="H61" s="297"/>
      <c r="I61" s="297"/>
      <c r="J61" s="297"/>
      <c r="K61" s="297"/>
      <c r="L61" s="297"/>
      <c r="M61" s="297"/>
      <c r="N61" s="297"/>
    </row>
    <row r="62" spans="1:14" ht="8" customHeight="1" x14ac:dyDescent="0.35">
      <c r="A62" s="297"/>
      <c r="B62" s="299"/>
      <c r="C62" s="297"/>
      <c r="D62" s="297"/>
      <c r="E62" s="299"/>
      <c r="F62" s="297"/>
      <c r="G62" s="297"/>
      <c r="H62" s="297"/>
      <c r="I62" s="297"/>
      <c r="J62" s="297"/>
      <c r="K62" s="297"/>
      <c r="L62" s="297"/>
      <c r="M62" s="297"/>
      <c r="N62" s="297"/>
    </row>
    <row r="63" spans="1:14" ht="8" customHeight="1" x14ac:dyDescent="0.35">
      <c r="A63" s="297"/>
      <c r="B63" s="297"/>
      <c r="C63" s="297"/>
      <c r="D63" s="297"/>
      <c r="E63" s="297"/>
      <c r="F63" s="297"/>
      <c r="G63" s="297"/>
      <c r="H63" s="297"/>
      <c r="I63" s="297"/>
      <c r="J63" s="297"/>
      <c r="K63" s="297"/>
      <c r="L63" s="297"/>
      <c r="M63" s="297"/>
      <c r="N63" s="297"/>
    </row>
    <row r="65" spans="2:14" ht="19.5" customHeight="1" x14ac:dyDescent="0.35">
      <c r="B65" s="574" t="s">
        <v>49</v>
      </c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</row>
    <row r="66" spans="2:14" ht="24" customHeight="1" x14ac:dyDescent="0.35">
      <c r="B66" s="50" t="s">
        <v>40</v>
      </c>
      <c r="C66" s="580" t="s">
        <v>41</v>
      </c>
      <c r="D66" s="526"/>
      <c r="E66" s="50" t="s">
        <v>50</v>
      </c>
      <c r="F66" s="50" t="s">
        <v>51</v>
      </c>
      <c r="G66" s="50" t="s">
        <v>52</v>
      </c>
      <c r="H66" s="580" t="s">
        <v>53</v>
      </c>
      <c r="I66" s="530"/>
      <c r="J66" s="530"/>
      <c r="K66" s="530"/>
      <c r="L66" s="530"/>
      <c r="M66" s="530"/>
      <c r="N66" s="526"/>
    </row>
    <row r="67" spans="2:14" ht="18" customHeight="1" x14ac:dyDescent="0.35">
      <c r="B67" s="570" t="s">
        <v>54</v>
      </c>
      <c r="C67" s="530"/>
      <c r="D67" s="20" t="s">
        <v>55</v>
      </c>
      <c r="E67" s="355">
        <v>46142</v>
      </c>
      <c r="F67" s="356">
        <f t="shared" ref="F67:F78" ca="1" si="3">IFERROR(INT(E67-TODAY()),"")</f>
        <v>-8</v>
      </c>
      <c r="G67" s="357">
        <f t="shared" ref="G67:G78" ca="1" si="4">IFERROR(INT(E67-TODAY()),"")</f>
        <v>-8</v>
      </c>
      <c r="H67" s="573" t="s">
        <v>56</v>
      </c>
      <c r="I67" s="530"/>
      <c r="J67" s="530"/>
      <c r="K67" s="530"/>
      <c r="L67" s="530"/>
      <c r="M67" s="530"/>
      <c r="N67" s="530"/>
    </row>
    <row r="68" spans="2:14" ht="18" customHeight="1" x14ac:dyDescent="0.35">
      <c r="B68" s="536" t="s">
        <v>57</v>
      </c>
      <c r="C68" s="530"/>
      <c r="D68" s="51" t="s">
        <v>58</v>
      </c>
      <c r="E68" s="358">
        <v>46203</v>
      </c>
      <c r="F68" s="359">
        <f t="shared" ca="1" si="3"/>
        <v>53</v>
      </c>
      <c r="G68" s="357">
        <f t="shared" ca="1" si="4"/>
        <v>53</v>
      </c>
      <c r="H68" s="564" t="s">
        <v>59</v>
      </c>
      <c r="I68" s="530"/>
      <c r="J68" s="530"/>
      <c r="K68" s="530"/>
      <c r="L68" s="530"/>
      <c r="M68" s="530"/>
      <c r="N68" s="530"/>
    </row>
    <row r="69" spans="2:14" ht="18" customHeight="1" x14ac:dyDescent="0.35">
      <c r="B69" s="584" t="s">
        <v>60</v>
      </c>
      <c r="C69" s="530"/>
      <c r="D69" s="3" t="s">
        <v>58</v>
      </c>
      <c r="E69" s="360">
        <v>46234</v>
      </c>
      <c r="F69" s="361">
        <f t="shared" ca="1" si="3"/>
        <v>84</v>
      </c>
      <c r="G69" s="357">
        <f t="shared" ca="1" si="4"/>
        <v>84</v>
      </c>
      <c r="H69" s="583" t="s">
        <v>61</v>
      </c>
      <c r="I69" s="530"/>
      <c r="J69" s="530"/>
      <c r="K69" s="530"/>
      <c r="L69" s="530"/>
      <c r="M69" s="530"/>
      <c r="N69" s="530"/>
    </row>
    <row r="70" spans="2:14" ht="18" customHeight="1" x14ac:dyDescent="0.35">
      <c r="B70" s="565" t="s">
        <v>62</v>
      </c>
      <c r="C70" s="530"/>
      <c r="D70" s="15" t="s">
        <v>58</v>
      </c>
      <c r="E70" s="362">
        <v>46248</v>
      </c>
      <c r="F70" s="363">
        <f t="shared" ca="1" si="3"/>
        <v>98</v>
      </c>
      <c r="G70" s="357">
        <f t="shared" ca="1" si="4"/>
        <v>98</v>
      </c>
      <c r="H70" s="529" t="s">
        <v>63</v>
      </c>
      <c r="I70" s="530"/>
      <c r="J70" s="530"/>
      <c r="K70" s="530"/>
      <c r="L70" s="530"/>
      <c r="M70" s="530"/>
      <c r="N70" s="530"/>
    </row>
    <row r="71" spans="2:14" ht="18" customHeight="1" x14ac:dyDescent="0.35">
      <c r="B71" s="584" t="s">
        <v>64</v>
      </c>
      <c r="C71" s="530"/>
      <c r="D71" s="3" t="s">
        <v>58</v>
      </c>
      <c r="E71" s="360">
        <v>46356</v>
      </c>
      <c r="F71" s="361">
        <f t="shared" ca="1" si="3"/>
        <v>206</v>
      </c>
      <c r="G71" s="357">
        <f t="shared" ca="1" si="4"/>
        <v>206</v>
      </c>
      <c r="H71" s="583" t="s">
        <v>65</v>
      </c>
      <c r="I71" s="530"/>
      <c r="J71" s="530"/>
      <c r="K71" s="530"/>
      <c r="L71" s="530"/>
      <c r="M71" s="530"/>
      <c r="N71" s="530"/>
    </row>
    <row r="72" spans="2:14" ht="18" customHeight="1" x14ac:dyDescent="0.35">
      <c r="B72" s="565" t="s">
        <v>66</v>
      </c>
      <c r="C72" s="530"/>
      <c r="D72" s="15" t="s">
        <v>67</v>
      </c>
      <c r="E72" s="364">
        <v>46327</v>
      </c>
      <c r="F72" s="363">
        <f t="shared" ca="1" si="3"/>
        <v>177</v>
      </c>
      <c r="G72" s="357">
        <f t="shared" ca="1" si="4"/>
        <v>177</v>
      </c>
      <c r="H72" s="529" t="s">
        <v>68</v>
      </c>
      <c r="I72" s="530"/>
      <c r="J72" s="530"/>
      <c r="K72" s="530"/>
      <c r="L72" s="530"/>
      <c r="M72" s="530"/>
      <c r="N72" s="530"/>
    </row>
    <row r="73" spans="2:14" ht="18" customHeight="1" x14ac:dyDescent="0.35">
      <c r="B73" s="584" t="s">
        <v>69</v>
      </c>
      <c r="C73" s="530"/>
      <c r="D73" s="3" t="s">
        <v>67</v>
      </c>
      <c r="E73" s="365">
        <v>46241</v>
      </c>
      <c r="F73" s="361">
        <f t="shared" ca="1" si="3"/>
        <v>91</v>
      </c>
      <c r="G73" s="357">
        <f t="shared" ca="1" si="4"/>
        <v>91</v>
      </c>
      <c r="H73" s="583" t="s">
        <v>70</v>
      </c>
      <c r="I73" s="530"/>
      <c r="J73" s="530"/>
      <c r="K73" s="530"/>
      <c r="L73" s="530"/>
      <c r="M73" s="530"/>
      <c r="N73" s="530"/>
    </row>
    <row r="74" spans="2:14" ht="18" customHeight="1" x14ac:dyDescent="0.35">
      <c r="B74" s="570" t="s">
        <v>71</v>
      </c>
      <c r="C74" s="530"/>
      <c r="D74" s="20" t="s">
        <v>67</v>
      </c>
      <c r="E74" s="366">
        <v>46174</v>
      </c>
      <c r="F74" s="356">
        <f t="shared" ca="1" si="3"/>
        <v>24</v>
      </c>
      <c r="G74" s="357">
        <f t="shared" ca="1" si="4"/>
        <v>24</v>
      </c>
      <c r="H74" s="573" t="s">
        <v>72</v>
      </c>
      <c r="I74" s="530"/>
      <c r="J74" s="530"/>
      <c r="K74" s="530"/>
      <c r="L74" s="530"/>
      <c r="M74" s="530"/>
      <c r="N74" s="530"/>
    </row>
    <row r="75" spans="2:14" ht="18" customHeight="1" x14ac:dyDescent="0.35">
      <c r="B75" s="570" t="s">
        <v>73</v>
      </c>
      <c r="C75" s="530"/>
      <c r="D75" s="20" t="s">
        <v>67</v>
      </c>
      <c r="E75" s="366">
        <v>46174</v>
      </c>
      <c r="F75" s="356">
        <f t="shared" ca="1" si="3"/>
        <v>24</v>
      </c>
      <c r="G75" s="357">
        <f t="shared" ca="1" si="4"/>
        <v>24</v>
      </c>
      <c r="H75" s="573" t="s">
        <v>72</v>
      </c>
      <c r="I75" s="530"/>
      <c r="J75" s="530"/>
      <c r="K75" s="530"/>
      <c r="L75" s="530"/>
      <c r="M75" s="530"/>
      <c r="N75" s="530"/>
    </row>
    <row r="76" spans="2:14" ht="18" customHeight="1" x14ac:dyDescent="0.35">
      <c r="B76" s="536" t="s">
        <v>74</v>
      </c>
      <c r="C76" s="530"/>
      <c r="D76" s="51" t="s">
        <v>67</v>
      </c>
      <c r="E76" s="367">
        <v>46188</v>
      </c>
      <c r="F76" s="359">
        <f t="shared" ca="1" si="3"/>
        <v>38</v>
      </c>
      <c r="G76" s="357">
        <f t="shared" ca="1" si="4"/>
        <v>38</v>
      </c>
      <c r="H76" s="564" t="s">
        <v>75</v>
      </c>
      <c r="I76" s="530"/>
      <c r="J76" s="530"/>
      <c r="K76" s="530"/>
      <c r="L76" s="530"/>
      <c r="M76" s="530"/>
      <c r="N76" s="530"/>
    </row>
    <row r="77" spans="2:14" ht="18" customHeight="1" x14ac:dyDescent="0.35">
      <c r="B77" s="584" t="s">
        <v>76</v>
      </c>
      <c r="C77" s="530"/>
      <c r="D77" s="3" t="s">
        <v>67</v>
      </c>
      <c r="E77" s="365">
        <v>46408</v>
      </c>
      <c r="F77" s="361">
        <f t="shared" ca="1" si="3"/>
        <v>258</v>
      </c>
      <c r="G77" s="357">
        <f t="shared" ca="1" si="4"/>
        <v>258</v>
      </c>
      <c r="H77" s="583" t="s">
        <v>77</v>
      </c>
      <c r="I77" s="530"/>
      <c r="J77" s="530"/>
      <c r="K77" s="530"/>
      <c r="L77" s="530"/>
      <c r="M77" s="530"/>
      <c r="N77" s="530"/>
    </row>
    <row r="78" spans="2:14" ht="18" customHeight="1" x14ac:dyDescent="0.35">
      <c r="B78" s="570" t="s">
        <v>54</v>
      </c>
      <c r="C78" s="530"/>
      <c r="D78" s="20" t="s">
        <v>78</v>
      </c>
      <c r="E78" s="355">
        <v>46143</v>
      </c>
      <c r="F78" s="356">
        <f t="shared" ca="1" si="3"/>
        <v>-7</v>
      </c>
      <c r="G78" s="357">
        <f t="shared" ca="1" si="4"/>
        <v>-7</v>
      </c>
      <c r="H78" s="573" t="s">
        <v>79</v>
      </c>
      <c r="I78" s="530"/>
      <c r="J78" s="530"/>
      <c r="K78" s="530"/>
      <c r="L78" s="530"/>
      <c r="M78" s="530"/>
      <c r="N78" s="530"/>
    </row>
    <row r="81" spans="2:14" ht="19.5" customHeight="1" x14ac:dyDescent="0.35">
      <c r="B81" s="574" t="s">
        <v>80</v>
      </c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</row>
    <row r="82" spans="2:14" ht="24" customHeight="1" x14ac:dyDescent="0.35">
      <c r="B82" s="50" t="s">
        <v>81</v>
      </c>
      <c r="C82" s="577" t="s">
        <v>82</v>
      </c>
      <c r="D82" s="530"/>
      <c r="E82" s="50" t="s">
        <v>28</v>
      </c>
      <c r="F82" s="50" t="s">
        <v>83</v>
      </c>
      <c r="G82" s="50" t="s">
        <v>84</v>
      </c>
      <c r="H82" s="50" t="s">
        <v>85</v>
      </c>
      <c r="I82" s="50" t="s">
        <v>25</v>
      </c>
      <c r="J82" s="534"/>
      <c r="K82" s="524"/>
      <c r="L82" s="524"/>
      <c r="M82" s="524"/>
      <c r="N82" s="524"/>
    </row>
    <row r="83" spans="2:14" ht="16.5" customHeight="1" x14ac:dyDescent="0.35">
      <c r="B83" s="52" t="s">
        <v>86</v>
      </c>
      <c r="C83" s="531" t="str">
        <f ca="1">IFERROR(MID(IF(('Input Data'!Z26&gt;TODAY())*('Input Data'!AA26&gt;0),", "&amp;'Input Data'!AB26&amp;" ("&amp;'Input Data'!C26&amp;")",""),3,999),"—")</f>
        <v/>
      </c>
      <c r="D83" s="526"/>
      <c r="E83" s="53">
        <f>SUMIF('Input Data'!B3:B26,"L12",'Input Data'!F3:F26)</f>
        <v>223.7</v>
      </c>
      <c r="F83" s="54">
        <f ca="1">IFERROR(SUMIF('Input Data'!B3:B26,"L12",'Input Data'!N3:N26)/SUMIF('Input Data'!B3:B26,"L12",'Input Data'!F3:F26),0)</f>
        <v>0</v>
      </c>
      <c r="G83" s="54">
        <f ca="1">SUMIF('Input Data'!B3:B26,"L12",'Input Data'!N3:N26)</f>
        <v>0</v>
      </c>
      <c r="H83" s="55">
        <f ca="1">IFERROR(SUMIF('Input Data'!B3:B26,"L12",'Input Data'!N3:N26)/(SUMIF('Input Data'!N3:N26,"&gt;0",'Input Data'!N3:N26)),0)</f>
        <v>0</v>
      </c>
      <c r="I83" s="300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534"/>
      <c r="K83" s="524"/>
      <c r="L83" s="524"/>
      <c r="M83" s="524"/>
      <c r="N83" s="524"/>
    </row>
    <row r="84" spans="2:14" ht="28" customHeight="1" x14ac:dyDescent="0.35">
      <c r="B84" s="56" t="s">
        <v>87</v>
      </c>
      <c r="C84" s="525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Pharmx Technologies (1102)</v>
      </c>
      <c r="D84" s="526"/>
      <c r="E84" s="57">
        <f>SUMIF('Input Data'!B3:B26,"L11",'Input Data'!F3:F26)</f>
        <v>195.5</v>
      </c>
      <c r="F84" s="58">
        <f ca="1">IFERROR(SUMIF('Input Data'!B3:B26,"L11",'Input Data'!N3:N26)/SUMIF('Input Data'!B3:B26,"L11",'Input Data'!F3:F26),0)</f>
        <v>1068.9521381074169</v>
      </c>
      <c r="G84" s="58">
        <f ca="1">SUMIF('Input Data'!B3:B26,"L11",'Input Data'!N3:N26)</f>
        <v>208980.14299999998</v>
      </c>
      <c r="H84" s="59">
        <f ca="1">IFERROR(SUMIF('Input Data'!B3:B26,"L11",'Input Data'!N3:N26)/(SUMIF('Input Data'!N3:N26,"&gt;0",'Input Data'!N3:N26)),0)</f>
        <v>5.365447928383256E-2</v>
      </c>
      <c r="I84" s="301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534"/>
      <c r="K84" s="524"/>
      <c r="L84" s="524"/>
      <c r="M84" s="524"/>
      <c r="N84" s="524"/>
    </row>
    <row r="85" spans="2:14" ht="28" customHeight="1" x14ac:dyDescent="0.35">
      <c r="B85" s="52" t="s">
        <v>88</v>
      </c>
      <c r="C85" s="531" t="str">
        <f ca="1">IFERROR(MID(IF(('Input Data'!Z23&gt;TODAY())*('Input Data'!AA23&gt;0),", "&amp;'Input Data'!AB23&amp;" ("&amp;'Input Data'!C23&amp;")",""),3,999),"—")</f>
        <v>Connectus Services (1001&amp;2)</v>
      </c>
      <c r="D85" s="526"/>
      <c r="E85" s="53">
        <f>SUMIF('Input Data'!B3:B26,"L10",'Input Data'!F3:F26)</f>
        <v>363.2</v>
      </c>
      <c r="F85" s="54">
        <f ca="1">IFERROR(SUMIF('Input Data'!B3:B26,"L10",'Input Data'!N3:N26)/SUMIF('Input Data'!B3:B26,"L10",'Input Data'!F3:F26),0)</f>
        <v>874.31218061674019</v>
      </c>
      <c r="G85" s="54">
        <f ca="1">SUMIF('Input Data'!B3:B26,"L10",'Input Data'!N3:N26)</f>
        <v>317550.18400000001</v>
      </c>
      <c r="H85" s="55">
        <f ca="1">IFERROR(SUMIF('Input Data'!B3:B26,"L10",'Input Data'!N3:N26)/(SUMIF('Input Data'!N3:N26,"&gt;0",'Input Data'!N3:N26)),0)</f>
        <v>8.1529228205213827E-2</v>
      </c>
      <c r="I85" s="300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534"/>
      <c r="K85" s="524"/>
      <c r="L85" s="524"/>
      <c r="M85" s="524"/>
      <c r="N85" s="524"/>
    </row>
    <row r="86" spans="2:14" ht="28" customHeight="1" x14ac:dyDescent="0.35">
      <c r="B86" s="56" t="s">
        <v>89</v>
      </c>
      <c r="C86" s="525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526"/>
      <c r="E86" s="57">
        <f>SUMIF('Input Data'!B3:B26,"L09",'Input Data'!F3:F26)</f>
        <v>355.8</v>
      </c>
      <c r="F86" s="58">
        <f ca="1">IFERROR(SUMIF('Input Data'!B3:B26,"L09",'Input Data'!N3:N26)/SUMIF('Input Data'!B3:B26,"L09",'Input Data'!F3:F26),0)</f>
        <v>862.56979763912318</v>
      </c>
      <c r="G86" s="58">
        <f ca="1">SUMIF('Input Data'!B3:B26,"L09",'Input Data'!N3:N26)</f>
        <v>306902.33400000003</v>
      </c>
      <c r="H86" s="59">
        <f ca="1">IFERROR(SUMIF('Input Data'!B3:B26,"L09",'Input Data'!N3:N26)/(SUMIF('Input Data'!N3:N26,"&gt;0",'Input Data'!N3:N26)),0)</f>
        <v>7.8795452454843345E-2</v>
      </c>
      <c r="I86" s="301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2030</v>
      </c>
      <c r="J86" s="534"/>
      <c r="K86" s="524"/>
      <c r="L86" s="524"/>
      <c r="M86" s="524"/>
      <c r="N86" s="524"/>
    </row>
    <row r="87" spans="2:14" ht="28" customHeight="1" x14ac:dyDescent="0.35">
      <c r="B87" s="52" t="s">
        <v>90</v>
      </c>
      <c r="C87" s="531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526"/>
      <c r="E87" s="53">
        <f>SUMIF('Input Data'!B3:B26,"L08",'Input Data'!F3:F26)</f>
        <v>360.5</v>
      </c>
      <c r="F87" s="54">
        <f ca="1">IFERROR(SUMIF('Input Data'!B3:B26,"L08",'Input Data'!N3:N26)/SUMIF('Input Data'!B3:B26,"L08",'Input Data'!F3:F26),0)</f>
        <v>996.58675450762837</v>
      </c>
      <c r="G87" s="54">
        <f ca="1">SUMIF('Input Data'!B3:B26,"L08",'Input Data'!N3:N26)</f>
        <v>359269.52500000002</v>
      </c>
      <c r="H87" s="55">
        <f ca="1">IFERROR(SUMIF('Input Data'!B3:B26,"L08",'Input Data'!N3:N26)/(SUMIF('Input Data'!N3:N26,"&gt;0",'Input Data'!N3:N26)),0)</f>
        <v>9.2240434950917161E-2</v>
      </c>
      <c r="I87" s="300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534"/>
      <c r="K87" s="524"/>
      <c r="L87" s="524"/>
      <c r="M87" s="524"/>
      <c r="N87" s="524"/>
    </row>
    <row r="88" spans="2:14" ht="28" customHeight="1" x14ac:dyDescent="0.35">
      <c r="B88" s="56" t="s">
        <v>91</v>
      </c>
      <c r="C88" s="525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526"/>
      <c r="E88" s="57">
        <f>SUMIF('Input Data'!B3:B26,"L07",'Input Data'!F3:F26)</f>
        <v>374.4</v>
      </c>
      <c r="F88" s="58">
        <f ca="1">IFERROR(SUMIF('Input Data'!B3:B26,"L07",'Input Data'!N3:N26)/SUMIF('Input Data'!B3:B26,"L07",'Input Data'!F3:F26),0)</f>
        <v>814.35954861111111</v>
      </c>
      <c r="G88" s="58">
        <f ca="1">SUMIF('Input Data'!B3:B26,"L07",'Input Data'!N3:N26)</f>
        <v>304896.21499999997</v>
      </c>
      <c r="H88" s="59">
        <f ca="1">IFERROR(SUMIF('Input Data'!B3:B26,"L07",'Input Data'!N3:N26)/(SUMIF('Input Data'!N3:N26,"&gt;0",'Input Data'!N3:N26)),0)</f>
        <v>7.828039265642793E-2</v>
      </c>
      <c r="I88" s="301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534"/>
      <c r="K88" s="524"/>
      <c r="L88" s="524"/>
      <c r="M88" s="524"/>
      <c r="N88" s="524"/>
    </row>
    <row r="89" spans="2:14" ht="28" customHeight="1" x14ac:dyDescent="0.35">
      <c r="B89" s="52" t="s">
        <v>92</v>
      </c>
      <c r="C89" s="531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526"/>
      <c r="E89" s="53">
        <f>SUMIF('Input Data'!B3:B26,"L06",'Input Data'!F3:F26)</f>
        <v>378.2</v>
      </c>
      <c r="F89" s="54">
        <f ca="1">IFERROR(SUMIF('Input Data'!B3:B26,"L06",'Input Data'!N3:N26)/SUMIF('Input Data'!B3:B26,"L06",'Input Data'!F3:F26),0)</f>
        <v>664.15529878371228</v>
      </c>
      <c r="G89" s="54">
        <f ca="1">SUMIF('Input Data'!B3:B26,"L06",'Input Data'!N3:N26)</f>
        <v>251183.53399999999</v>
      </c>
      <c r="H89" s="55">
        <f ca="1">IFERROR(SUMIF('Input Data'!B3:B26,"L06",'Input Data'!N3:N26)/(SUMIF('Input Data'!N3:N26,"&gt;0",'Input Data'!N3:N26)),0)</f>
        <v>6.4489963151393062E-2</v>
      </c>
      <c r="I89" s="300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534"/>
      <c r="K89" s="524"/>
      <c r="L89" s="524"/>
      <c r="M89" s="524"/>
      <c r="N89" s="524"/>
    </row>
    <row r="90" spans="2:14" ht="28" customHeight="1" x14ac:dyDescent="0.35">
      <c r="B90" s="56" t="s">
        <v>93</v>
      </c>
      <c r="C90" s="525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526"/>
      <c r="E90" s="57">
        <f>SUMIF('Input Data'!B3:B26,"L05",'Input Data'!F3:F26)</f>
        <v>376.1</v>
      </c>
      <c r="F90" s="58">
        <f ca="1">IFERROR(SUMIF('Input Data'!B3:B26,"L05",'Input Data'!N3:N26)/SUMIF('Input Data'!B3:B26,"L05",'Input Data'!F3:F26),0)</f>
        <v>957.69981919702218</v>
      </c>
      <c r="G90" s="58">
        <f ca="1">SUMIF('Input Data'!B3:B26,"L05",'Input Data'!N3:N26)</f>
        <v>360190.90200000006</v>
      </c>
      <c r="H90" s="59">
        <f ca="1">IFERROR(SUMIF('Input Data'!B3:B26,"L05",'Input Data'!N3:N26)/(SUMIF('Input Data'!N3:N26,"&gt;0",'Input Data'!N3:N26)),0)</f>
        <v>9.2476993326509341E-2</v>
      </c>
      <c r="I90" s="301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534"/>
      <c r="K90" s="524"/>
      <c r="L90" s="524"/>
      <c r="M90" s="524"/>
      <c r="N90" s="524"/>
    </row>
    <row r="91" spans="2:14" ht="28" customHeight="1" x14ac:dyDescent="0.35">
      <c r="B91" s="52" t="s">
        <v>94</v>
      </c>
      <c r="C91" s="531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526"/>
      <c r="E91" s="53">
        <f>SUMIF('Input Data'!B3:B26,"L04",'Input Data'!F3:F26)</f>
        <v>359.7</v>
      </c>
      <c r="F91" s="54">
        <f ca="1">IFERROR(SUMIF('Input Data'!B3:B26,"L04",'Input Data'!N3:N26)/SUMIF('Input Data'!B3:B26,"L04",'Input Data'!F3:F26),0)</f>
        <v>896.06466777870435</v>
      </c>
      <c r="G91" s="54">
        <f ca="1">SUMIF('Input Data'!B3:B26,"L04",'Input Data'!N3:N26)</f>
        <v>322314.46099999995</v>
      </c>
      <c r="H91" s="55">
        <f ca="1">IFERROR(SUMIF('Input Data'!B3:B26,"L04",'Input Data'!N3:N26)/(SUMIF('Input Data'!N3:N26,"&gt;0",'Input Data'!N3:N26)),0)</f>
        <v>8.2752429596165772E-2</v>
      </c>
      <c r="I91" s="300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534"/>
      <c r="K91" s="524"/>
      <c r="L91" s="524"/>
      <c r="M91" s="524"/>
      <c r="N91" s="524"/>
    </row>
    <row r="92" spans="2:14" ht="28" customHeight="1" x14ac:dyDescent="0.35">
      <c r="B92" s="56" t="s">
        <v>95</v>
      </c>
      <c r="C92" s="525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526"/>
      <c r="E92" s="57">
        <f>SUMIF('Input Data'!B3:B26,"L03",'Input Data'!F3:F26)</f>
        <v>357.6</v>
      </c>
      <c r="F92" s="58">
        <f ca="1">IFERROR(SUMIF('Input Data'!B3:B26,"L03",'Input Data'!N3:N26)/SUMIF('Input Data'!B3:B26,"L03",'Input Data'!F3:F26),0)</f>
        <v>941.41681208053683</v>
      </c>
      <c r="G92" s="58">
        <f ca="1">SUMIF('Input Data'!B3:B26,"L03",'Input Data'!N3:N26)</f>
        <v>336650.652</v>
      </c>
      <c r="H92" s="59">
        <f ca="1">IFERROR(SUMIF('Input Data'!B3:B26,"L03",'Input Data'!N3:N26)/(SUMIF('Input Data'!N3:N26,"&gt;0",'Input Data'!N3:N26)),0)</f>
        <v>8.6433166205761122E-2</v>
      </c>
      <c r="I92" s="301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534"/>
      <c r="K92" s="524"/>
      <c r="L92" s="524"/>
      <c r="M92" s="524"/>
      <c r="N92" s="524"/>
    </row>
    <row r="93" spans="2:14" ht="28" customHeight="1" x14ac:dyDescent="0.35">
      <c r="B93" s="52" t="s">
        <v>96</v>
      </c>
      <c r="C93" s="531" t="str">
        <f ca="1">IFERROR(MID(IF(('Input Data'!Z8&gt;TODAY())*('Input Data'!AA8&gt;0),", "&amp;'Input Data'!AB8&amp;" ("&amp;'Input Data'!C8&amp;")",""),3,999),"—")</f>
        <v>Princeton Financial Services (WHOLE)</v>
      </c>
      <c r="D93" s="526"/>
      <c r="E93" s="53">
        <f>SUMIF('Input Data'!B3:B26,"L02",'Input Data'!F3:F26)</f>
        <v>393.2</v>
      </c>
      <c r="F93" s="54">
        <f ca="1">IFERROR(SUMIF('Input Data'!B3:B26,"L02",'Input Data'!N3:N26)/SUMIF('Input Data'!B3:B26,"L02",'Input Data'!F3:F26),0)</f>
        <v>1021.625940996948</v>
      </c>
      <c r="G93" s="54">
        <f ca="1">SUMIF('Input Data'!B3:B26,"L02",'Input Data'!N3:N26)</f>
        <v>401703.31999999995</v>
      </c>
      <c r="H93" s="55">
        <f ca="1">IFERROR(SUMIF('Input Data'!B3:B26,"L02",'Input Data'!N3:N26)/(SUMIF('Input Data'!N3:N26,"&gt;0",'Input Data'!N3:N26)),0)</f>
        <v>0.10313507375285297</v>
      </c>
      <c r="I93" s="300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534"/>
      <c r="K93" s="524"/>
      <c r="L93" s="524"/>
      <c r="M93" s="524"/>
      <c r="N93" s="524"/>
    </row>
    <row r="94" spans="2:14" ht="28" customHeight="1" x14ac:dyDescent="0.35">
      <c r="B94" s="56" t="s">
        <v>97</v>
      </c>
      <c r="C94" s="525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(101&amp;2), PU Prime Trading (103), TJC#1 (104)</v>
      </c>
      <c r="D94" s="526"/>
      <c r="E94" s="57">
        <f>SUMIF('Input Data'!B3:B26,"L01",'Input Data'!F3:F26)</f>
        <v>356.79999999999995</v>
      </c>
      <c r="F94" s="58">
        <f ca="1">IFERROR(SUMIF('Input Data'!B3:B26,"L01",'Input Data'!N3:N26)/SUMIF('Input Data'!B3:B26,"L01",'Input Data'!F3:F26),0)</f>
        <v>922.94929372197305</v>
      </c>
      <c r="G94" s="58">
        <f ca="1">SUMIF('Input Data'!B3:B26,"L01",'Input Data'!N3:N26)</f>
        <v>329308.30799999996</v>
      </c>
      <c r="H94" s="59">
        <f ca="1">IFERROR(SUMIF('Input Data'!B3:B26,"L01",'Input Data'!N3:N26)/(SUMIF('Input Data'!N3:N26,"&gt;0",'Input Data'!N3:N26)),0)</f>
        <v>8.4548060576166567E-2</v>
      </c>
      <c r="I94" s="301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2026</v>
      </c>
      <c r="J94" s="534"/>
      <c r="K94" s="524"/>
      <c r="L94" s="524"/>
      <c r="M94" s="524"/>
      <c r="N94" s="524"/>
    </row>
    <row r="95" spans="2:14" ht="28" customHeight="1" x14ac:dyDescent="0.35">
      <c r="B95" s="52" t="s">
        <v>98</v>
      </c>
      <c r="C95" s="531" t="str">
        <f ca="1">IFERROR(MID(IF(('Input Data'!Z4&gt;TODAY())*('Input Data'!AA4&gt;0),", "&amp;'Input Data'!AB4&amp;" ("&amp;'Input Data'!C4&amp;")",""),3,999),"—")</f>
        <v>Recoverie (GROUND)</v>
      </c>
      <c r="D95" s="526"/>
      <c r="E95" s="53">
        <f>SUMIF('Input Data'!B3:B26,"GF",'Input Data'!F3:F26)</f>
        <v>298.3</v>
      </c>
      <c r="F95" s="54">
        <f ca="1">IFERROR(SUMIF('Input Data'!B3:B26,"GF",'Input Data'!N3:N26)/SUMIF('Input Data'!B3:B26,"GF",'Input Data'!F3:F26),0)</f>
        <v>913.46227287965121</v>
      </c>
      <c r="G95" s="54">
        <f ca="1">SUMIF('Input Data'!B3:B26,"GF",'Input Data'!N3:N26)</f>
        <v>272485.79599999997</v>
      </c>
      <c r="H95" s="55">
        <f ca="1">IFERROR(SUMIF('Input Data'!B3:B26,"GF",'Input Data'!N3:N26)/(SUMIF('Input Data'!N3:N26,"&gt;0",'Input Data'!N3:N26)),0)</f>
        <v>6.9959199408819547E-2</v>
      </c>
      <c r="I95" s="300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534"/>
      <c r="K95" s="524"/>
      <c r="L95" s="524"/>
      <c r="M95" s="524"/>
      <c r="N95" s="524"/>
    </row>
    <row r="96" spans="2:14" ht="28" customHeight="1" x14ac:dyDescent="0.35">
      <c r="B96" s="56" t="s">
        <v>99</v>
      </c>
      <c r="C96" s="525" t="str">
        <f ca="1">IFERROR(MID(IF(('Input Data'!Z3&gt;TODAY())*('Input Data'!AA3&gt;0),", "&amp;'Input Data'!AB3&amp;" ("&amp;'Input Data'!C3&amp;")",""),3,999),"—")</f>
        <v>Opulent Two Enterprises (LWR GROUND)</v>
      </c>
      <c r="D96" s="526"/>
      <c r="E96" s="57">
        <f>SUMIF('Input Data'!B3:B26,"LWR GND",'Input Data'!F3:F26)</f>
        <v>0</v>
      </c>
      <c r="F96" s="58">
        <f>IFERROR(SUMIF('Input Data'!B3:B26,"LWR GND",'Input Data'!N3:N26)/SUMIF('Input Data'!B3:B26,"LWR GND",'Input Data'!F3:F26),0)</f>
        <v>0</v>
      </c>
      <c r="G96" s="58">
        <f>SUMIF('Input Data'!B3:B26,"LWR GND",'Input Data'!N3:N26)</f>
        <v>0</v>
      </c>
      <c r="H96" s="59">
        <f ca="1">IFERROR(SUMIF('Input Data'!B3:B26,"LWR GND",'Input Data'!N3:N26)/(SUMIF('Input Data'!N3:N26,"&gt;0",'Input Data'!N3:N26)),0)</f>
        <v>0</v>
      </c>
      <c r="I96" s="301">
        <v>2029</v>
      </c>
      <c r="J96" s="534"/>
      <c r="K96" s="524"/>
      <c r="L96" s="524"/>
      <c r="M96" s="524"/>
      <c r="N96" s="524"/>
    </row>
    <row r="97" spans="1:14" ht="19.5" customHeight="1" x14ac:dyDescent="0.35">
      <c r="B97" s="541" t="s">
        <v>100</v>
      </c>
      <c r="C97" s="530"/>
      <c r="D97" s="530"/>
      <c r="E97" s="302">
        <f>SUM('Input Data'!F3:F27)</f>
        <v>4704.5</v>
      </c>
      <c r="F97" s="60"/>
      <c r="G97" s="231">
        <f ca="1">SUMPRODUCT(('Input Data'!K3:K26&gt;0)*('Input Data'!Y3:Y26&lt;&gt;"EXPIRED")*'Input Data'!N3:N26)</f>
        <v>3894924.4459999995</v>
      </c>
      <c r="H97" s="48">
        <v>1</v>
      </c>
      <c r="I97" s="60"/>
      <c r="J97" s="60"/>
      <c r="K97" s="60"/>
      <c r="L97" s="60"/>
      <c r="M97" s="60"/>
      <c r="N97" s="60"/>
    </row>
    <row r="99" spans="1:14" ht="10" customHeight="1" x14ac:dyDescent="0.35">
      <c r="A99" s="509"/>
      <c r="B99" s="509"/>
      <c r="C99" s="509"/>
      <c r="D99" s="509"/>
      <c r="E99" s="509"/>
      <c r="F99" s="509"/>
      <c r="G99" s="509"/>
      <c r="H99" s="509"/>
      <c r="I99" s="509"/>
      <c r="J99" s="509"/>
      <c r="K99" s="509"/>
      <c r="L99" s="509"/>
      <c r="M99" s="509"/>
      <c r="N99" s="509"/>
    </row>
    <row r="100" spans="1:14" ht="22" customHeight="1" x14ac:dyDescent="0.35">
      <c r="A100" s="509"/>
      <c r="B100" s="551" t="s">
        <v>101</v>
      </c>
      <c r="C100" s="552"/>
      <c r="D100" s="552"/>
      <c r="E100" s="552"/>
      <c r="F100" s="552"/>
      <c r="G100" s="552"/>
      <c r="H100" s="552"/>
      <c r="I100" s="552"/>
      <c r="J100" s="552"/>
      <c r="K100" s="552"/>
      <c r="L100" s="552"/>
      <c r="M100" s="553"/>
      <c r="N100" s="509"/>
    </row>
    <row r="101" spans="1:14" ht="32" customHeight="1" x14ac:dyDescent="0.35">
      <c r="A101" s="509"/>
      <c r="B101" s="559"/>
      <c r="C101" s="534"/>
      <c r="D101" s="534"/>
      <c r="E101" s="510" t="s">
        <v>102</v>
      </c>
      <c r="F101" s="559" t="s">
        <v>103</v>
      </c>
      <c r="G101" s="534"/>
      <c r="H101" s="559" t="s">
        <v>104</v>
      </c>
      <c r="I101" s="534"/>
      <c r="J101" s="559" t="s">
        <v>105</v>
      </c>
      <c r="K101" s="534"/>
      <c r="L101" s="534"/>
      <c r="M101" s="534"/>
      <c r="N101" s="509"/>
    </row>
    <row r="102" spans="1:14" ht="20" customHeight="1" x14ac:dyDescent="0.35">
      <c r="A102" s="509"/>
      <c r="B102" s="543" t="s">
        <v>106</v>
      </c>
      <c r="C102" s="534"/>
      <c r="D102" s="534"/>
      <c r="E102" s="571">
        <f>Valuations!C6</f>
        <v>76500000</v>
      </c>
      <c r="F102" s="548">
        <f>Valuations!D6</f>
        <v>85000000</v>
      </c>
      <c r="G102" s="534"/>
      <c r="H102" s="548">
        <f>Valuations!E6</f>
        <v>79000000</v>
      </c>
      <c r="I102" s="534"/>
      <c r="J102" s="549">
        <f>IFERROR(E102-F102,"")</f>
        <v>-8500000</v>
      </c>
      <c r="K102" s="610"/>
      <c r="L102" s="550">
        <f>IFERROR((E102-F102)/F102,"")</f>
        <v>-0.1</v>
      </c>
      <c r="M102" s="524"/>
      <c r="N102" s="509"/>
    </row>
    <row r="103" spans="1:14" ht="20" customHeight="1" x14ac:dyDescent="0.35">
      <c r="A103" s="509"/>
      <c r="B103" s="546" t="s">
        <v>107</v>
      </c>
      <c r="C103" s="534"/>
      <c r="D103" s="534"/>
      <c r="E103" s="542">
        <f>Valuations!C7</f>
        <v>45455</v>
      </c>
      <c r="F103" s="539">
        <f>Valuations!D7</f>
        <v>44327</v>
      </c>
      <c r="G103" s="534"/>
      <c r="H103" s="539">
        <f>Valuations!E7</f>
        <v>43194</v>
      </c>
      <c r="I103" s="534"/>
      <c r="J103" s="561" t="s">
        <v>108</v>
      </c>
      <c r="K103" s="534"/>
      <c r="L103" s="534"/>
      <c r="M103" s="534"/>
      <c r="N103" s="509"/>
    </row>
    <row r="104" spans="1:14" ht="20" customHeight="1" x14ac:dyDescent="0.35">
      <c r="A104" s="509"/>
      <c r="B104" s="543" t="s">
        <v>109</v>
      </c>
      <c r="C104" s="534"/>
      <c r="D104" s="534"/>
      <c r="E104" s="527" t="str">
        <f>Valuations!C8</f>
        <v>Knight Frank</v>
      </c>
      <c r="F104" s="560" t="str">
        <f>Valuations!D8</f>
        <v>Knight Frank</v>
      </c>
      <c r="G104" s="534"/>
      <c r="H104" s="560" t="str">
        <f>Valuations!E8</f>
        <v>JLL</v>
      </c>
      <c r="I104" s="534"/>
      <c r="J104" s="606" t="s">
        <v>108</v>
      </c>
      <c r="K104" s="534"/>
      <c r="L104" s="534"/>
      <c r="M104" s="534"/>
      <c r="N104" s="509"/>
    </row>
    <row r="105" spans="1:14" ht="20" customHeight="1" x14ac:dyDescent="0.35">
      <c r="A105" s="509"/>
      <c r="B105" s="546" t="s">
        <v>110</v>
      </c>
      <c r="C105" s="534"/>
      <c r="D105" s="534"/>
      <c r="E105" s="579">
        <f>Valuations!C10</f>
        <v>5.2499999999999998E-2</v>
      </c>
      <c r="F105" s="605">
        <f>Valuations!D10</f>
        <v>4.7500000000000001E-2</v>
      </c>
      <c r="G105" s="534"/>
      <c r="H105" s="605">
        <f>Valuations!E10</f>
        <v>4.7500000000000001E-2</v>
      </c>
      <c r="I105" s="534"/>
      <c r="J105" s="613">
        <f>IFERROR(E105-F105,"")</f>
        <v>4.9999999999999975E-3</v>
      </c>
      <c r="K105" s="534"/>
      <c r="L105" s="534"/>
      <c r="M105" s="534"/>
      <c r="N105" s="509"/>
    </row>
    <row r="106" spans="1:14" ht="20" customHeight="1" x14ac:dyDescent="0.35">
      <c r="A106" s="509"/>
      <c r="B106" s="543" t="s">
        <v>111</v>
      </c>
      <c r="C106" s="534"/>
      <c r="D106" s="534"/>
      <c r="E106" s="579">
        <f>Valuations!C11</f>
        <v>3.6700000000000003E-2</v>
      </c>
      <c r="F106" s="581">
        <f>Valuations!D11</f>
        <v>3.73E-2</v>
      </c>
      <c r="G106" s="534"/>
      <c r="H106" s="581">
        <f>Valuations!E11</f>
        <v>3.2300000000000002E-2</v>
      </c>
      <c r="I106" s="534"/>
      <c r="J106" s="613">
        <f>IFERROR(E106-F106,"")</f>
        <v>-5.9999999999999637E-4</v>
      </c>
      <c r="K106" s="534"/>
      <c r="L106" s="534"/>
      <c r="M106" s="534"/>
      <c r="N106" s="509"/>
    </row>
    <row r="107" spans="1:14" ht="20" customHeight="1" x14ac:dyDescent="0.35">
      <c r="A107" s="509"/>
      <c r="B107" s="546" t="s">
        <v>112</v>
      </c>
      <c r="C107" s="534"/>
      <c r="D107" s="534"/>
      <c r="E107" s="600">
        <f>Valuations!C12</f>
        <v>14900000</v>
      </c>
      <c r="F107" s="569">
        <f>Valuations!D12</f>
        <v>11000000</v>
      </c>
      <c r="G107" s="534"/>
      <c r="H107" s="569">
        <f>Valuations!E12</f>
        <v>9480000</v>
      </c>
      <c r="I107" s="534"/>
      <c r="J107" s="544">
        <f>IFERROR(E107-F107,"")</f>
        <v>3900000</v>
      </c>
      <c r="K107" s="534"/>
      <c r="L107" s="534"/>
      <c r="M107" s="534"/>
      <c r="N107" s="509"/>
    </row>
    <row r="108" spans="1:14" ht="20" customHeight="1" x14ac:dyDescent="0.35">
      <c r="A108" s="509"/>
      <c r="B108" s="543" t="s">
        <v>113</v>
      </c>
      <c r="C108" s="534"/>
      <c r="D108" s="534"/>
      <c r="E108" s="527" t="str">
        <f>Valuations!F9</f>
        <v>First Mortgage Security Purposes</v>
      </c>
      <c r="F108" s="560" t="str">
        <f>Valuations!D9</f>
        <v>Market Value 'As Is'</v>
      </c>
      <c r="G108" s="534"/>
      <c r="H108" s="560" t="str">
        <f>Valuations!E9</f>
        <v>Market Value 'As Is'</v>
      </c>
      <c r="I108" s="534"/>
      <c r="J108" s="606" t="s">
        <v>108</v>
      </c>
      <c r="K108" s="534"/>
      <c r="L108" s="534"/>
      <c r="M108" s="534"/>
      <c r="N108" s="509"/>
    </row>
    <row r="109" spans="1:14" ht="10" customHeight="1" x14ac:dyDescent="0.35">
      <c r="A109" s="509"/>
      <c r="B109" s="509"/>
      <c r="C109" s="509"/>
      <c r="D109" s="509"/>
      <c r="E109" s="509"/>
      <c r="F109" s="509"/>
      <c r="G109" s="509"/>
      <c r="H109" s="509"/>
      <c r="I109" s="509"/>
      <c r="J109" s="509"/>
      <c r="K109" s="509"/>
      <c r="L109" s="509"/>
      <c r="M109" s="509"/>
      <c r="N109" s="509"/>
    </row>
    <row r="110" spans="1:14" ht="20" customHeight="1" x14ac:dyDescent="0.35">
      <c r="A110" s="509"/>
      <c r="B110" s="545" t="s">
        <v>114</v>
      </c>
      <c r="C110" s="534"/>
      <c r="D110" s="534"/>
      <c r="E110" s="534"/>
      <c r="F110" s="534"/>
      <c r="G110" s="534"/>
      <c r="H110" s="534"/>
      <c r="I110" s="534"/>
      <c r="J110" s="534"/>
      <c r="K110" s="534"/>
      <c r="L110" s="534"/>
      <c r="M110" s="534"/>
      <c r="N110" s="509"/>
    </row>
    <row r="111" spans="1:14" ht="28" customHeight="1" x14ac:dyDescent="0.35">
      <c r="A111" s="509"/>
      <c r="B111" s="559"/>
      <c r="C111" s="534"/>
      <c r="D111" s="534"/>
      <c r="E111" s="510" t="s">
        <v>115</v>
      </c>
      <c r="F111" s="559" t="s">
        <v>116</v>
      </c>
      <c r="G111" s="534"/>
      <c r="H111" s="559" t="s">
        <v>117</v>
      </c>
      <c r="I111" s="534"/>
      <c r="J111" s="559" t="s">
        <v>118</v>
      </c>
      <c r="K111" s="534"/>
      <c r="L111" s="534"/>
      <c r="M111" s="534"/>
      <c r="N111" s="509"/>
    </row>
    <row r="112" spans="1:14" ht="20" customHeight="1" x14ac:dyDescent="0.35">
      <c r="A112" s="509"/>
      <c r="B112" s="543" t="s">
        <v>119</v>
      </c>
      <c r="C112" s="534"/>
      <c r="D112" s="534"/>
      <c r="E112" s="527" t="str">
        <f>Valuations!C20</f>
        <v>FY26</v>
      </c>
      <c r="F112" s="560" t="str">
        <f>Valuations!D20</f>
        <v>FY25</v>
      </c>
      <c r="G112" s="534"/>
      <c r="H112" s="560" t="str">
        <f>Valuations!E20</f>
        <v>FY24</v>
      </c>
      <c r="I112" s="534"/>
      <c r="J112" s="606" t="s">
        <v>108</v>
      </c>
      <c r="K112" s="534"/>
      <c r="L112" s="534"/>
      <c r="M112" s="534"/>
      <c r="N112" s="509"/>
    </row>
    <row r="113" spans="1:14" ht="20" customHeight="1" x14ac:dyDescent="0.35">
      <c r="A113" s="509"/>
      <c r="B113" s="546" t="s">
        <v>120</v>
      </c>
      <c r="C113" s="534"/>
      <c r="D113" s="534"/>
      <c r="E113" s="571">
        <f>Valuations!C21</f>
        <v>16500000</v>
      </c>
      <c r="F113" s="569">
        <f>Valuations!D21</f>
        <v>16500000</v>
      </c>
      <c r="G113" s="534"/>
      <c r="H113" s="569">
        <f>Valuations!E21</f>
        <v>14900000</v>
      </c>
      <c r="I113" s="534"/>
      <c r="J113" s="549">
        <f>IFERROR(E113-G113,"")</f>
        <v>16500000</v>
      </c>
      <c r="K113" s="534"/>
      <c r="L113" s="550">
        <f>IFERROR((E113-F113)/F113,"")</f>
        <v>0</v>
      </c>
      <c r="M113" s="524"/>
      <c r="N113" s="509"/>
    </row>
    <row r="114" spans="1:14" ht="20" customHeight="1" x14ac:dyDescent="0.35">
      <c r="A114" s="509"/>
      <c r="B114" s="543" t="s">
        <v>121</v>
      </c>
      <c r="C114" s="534"/>
      <c r="D114" s="534"/>
      <c r="E114" s="600">
        <f>Valuations!C22</f>
        <v>293049.3</v>
      </c>
      <c r="F114" s="548">
        <f>Valuations!E22</f>
        <v>236382.65</v>
      </c>
      <c r="G114" s="534"/>
      <c r="H114" s="548" t="e">
        <f>Valuations!#REF!</f>
        <v>#REF!</v>
      </c>
      <c r="I114" s="534"/>
      <c r="J114" s="549">
        <f>IFERROR(E114-G114,"")</f>
        <v>293049.3</v>
      </c>
      <c r="K114" s="534"/>
      <c r="L114" s="550">
        <f>IFERROR((E114-F114)/F114,"")</f>
        <v>0.23972423526007511</v>
      </c>
      <c r="M114" s="524"/>
      <c r="N114" s="509"/>
    </row>
    <row r="115" spans="1:14" ht="20" customHeight="1" x14ac:dyDescent="0.35">
      <c r="B115" s="546" t="s">
        <v>122</v>
      </c>
      <c r="C115" s="524"/>
      <c r="D115" s="524"/>
      <c r="E115" s="542">
        <f>Valuations!C23</f>
        <v>45839</v>
      </c>
      <c r="F115" s="539">
        <f>Valuations!D23</f>
        <v>45474</v>
      </c>
      <c r="G115" s="524"/>
      <c r="H115" s="539">
        <f>Valuations!E23</f>
        <v>45108</v>
      </c>
      <c r="I115" s="524"/>
      <c r="J115" s="561" t="s">
        <v>108</v>
      </c>
      <c r="K115" s="524"/>
      <c r="L115" s="524"/>
      <c r="M115" s="524"/>
    </row>
    <row r="116" spans="1:14" ht="10" customHeight="1" x14ac:dyDescent="0.35"/>
    <row r="117" spans="1:14" ht="16" customHeight="1" x14ac:dyDescent="0.35">
      <c r="B117" s="557" t="s">
        <v>123</v>
      </c>
      <c r="C117" s="524"/>
      <c r="D117" s="524"/>
      <c r="E117" s="524"/>
      <c r="F117" s="524"/>
      <c r="G117" s="524"/>
      <c r="H117" s="524"/>
      <c r="I117" s="524"/>
      <c r="J117" s="524"/>
      <c r="K117" s="524"/>
      <c r="L117" s="524"/>
      <c r="M117" s="524"/>
    </row>
  </sheetData>
  <mergeCells count="232">
    <mergeCell ref="H113:I113"/>
    <mergeCell ref="J106:M106"/>
    <mergeCell ref="E15:G15"/>
    <mergeCell ref="E112"/>
    <mergeCell ref="F111:G111"/>
    <mergeCell ref="H111:I111"/>
    <mergeCell ref="J112:M112"/>
    <mergeCell ref="J86:N86"/>
    <mergeCell ref="E13:G13"/>
    <mergeCell ref="J105:M105"/>
    <mergeCell ref="F108:G108"/>
    <mergeCell ref="C89:D89"/>
    <mergeCell ref="J88:N88"/>
    <mergeCell ref="F10:G10"/>
    <mergeCell ref="H9:I9"/>
    <mergeCell ref="J93:N93"/>
    <mergeCell ref="H71:N71"/>
    <mergeCell ref="J9:K9"/>
    <mergeCell ref="B77:C77"/>
    <mergeCell ref="J104:M104"/>
    <mergeCell ref="B17:N17"/>
    <mergeCell ref="C37:D37"/>
    <mergeCell ref="D6:E6"/>
    <mergeCell ref="H23:N23"/>
    <mergeCell ref="B108:D108"/>
    <mergeCell ref="C41:D41"/>
    <mergeCell ref="B67:C67"/>
    <mergeCell ref="C93:D93"/>
    <mergeCell ref="C50:D50"/>
    <mergeCell ref="E106"/>
    <mergeCell ref="B14:C14"/>
    <mergeCell ref="F6:G6"/>
    <mergeCell ref="J91:N91"/>
    <mergeCell ref="C91:D91"/>
    <mergeCell ref="J36:N36"/>
    <mergeCell ref="B8:C8"/>
    <mergeCell ref="J45:N45"/>
    <mergeCell ref="B73:C73"/>
    <mergeCell ref="F106:G106"/>
    <mergeCell ref="B104:D104"/>
    <mergeCell ref="J102:K102"/>
    <mergeCell ref="B74:C74"/>
    <mergeCell ref="B68:C68"/>
    <mergeCell ref="B81:M81"/>
    <mergeCell ref="H101:I101"/>
    <mergeCell ref="J51:N51"/>
    <mergeCell ref="L5:M5"/>
    <mergeCell ref="J49:N49"/>
    <mergeCell ref="J83:N83"/>
    <mergeCell ref="H108:I108"/>
    <mergeCell ref="J35:N35"/>
    <mergeCell ref="C43:D43"/>
    <mergeCell ref="B69:C69"/>
    <mergeCell ref="J4:K4"/>
    <mergeCell ref="L102:M102"/>
    <mergeCell ref="B78:C78"/>
    <mergeCell ref="L4:M4"/>
    <mergeCell ref="H74:N74"/>
    <mergeCell ref="J85:N85"/>
    <mergeCell ref="H68:N68"/>
    <mergeCell ref="C36:D36"/>
    <mergeCell ref="E107"/>
    <mergeCell ref="D4:E4"/>
    <mergeCell ref="F105:G105"/>
    <mergeCell ref="H105:I105"/>
    <mergeCell ref="J50:N50"/>
    <mergeCell ref="J108:M108"/>
    <mergeCell ref="J46:N46"/>
    <mergeCell ref="D10:E10"/>
    <mergeCell ref="H4:I4"/>
    <mergeCell ref="E114"/>
    <mergeCell ref="H69:N69"/>
    <mergeCell ref="C28:D28"/>
    <mergeCell ref="F107:G107"/>
    <mergeCell ref="B12:G12"/>
    <mergeCell ref="B105:D105"/>
    <mergeCell ref="J52:N52"/>
    <mergeCell ref="H107:I107"/>
    <mergeCell ref="J39:N39"/>
    <mergeCell ref="H66:N66"/>
    <mergeCell ref="C83:D83"/>
    <mergeCell ref="J48:N48"/>
    <mergeCell ref="H19:N19"/>
    <mergeCell ref="I25:N25"/>
    <mergeCell ref="H75:N75"/>
    <mergeCell ref="C92:D92"/>
    <mergeCell ref="C30:D30"/>
    <mergeCell ref="B111:D111"/>
    <mergeCell ref="J29:N29"/>
    <mergeCell ref="B107:D107"/>
    <mergeCell ref="J38:N38"/>
    <mergeCell ref="C45:D45"/>
    <mergeCell ref="H102:I102"/>
    <mergeCell ref="H20:N20"/>
    <mergeCell ref="A1:N1"/>
    <mergeCell ref="J87:N87"/>
    <mergeCell ref="J40:N40"/>
    <mergeCell ref="C47:D47"/>
    <mergeCell ref="F5:G5"/>
    <mergeCell ref="J89:N89"/>
    <mergeCell ref="C40:D40"/>
    <mergeCell ref="C90:D90"/>
    <mergeCell ref="B27:N27"/>
    <mergeCell ref="H21:N21"/>
    <mergeCell ref="H73:N73"/>
    <mergeCell ref="D9:E9"/>
    <mergeCell ref="F9:G9"/>
    <mergeCell ref="H5:I5"/>
    <mergeCell ref="F4:G4"/>
    <mergeCell ref="L8:M8"/>
    <mergeCell ref="F8:G8"/>
    <mergeCell ref="A2:N2"/>
    <mergeCell ref="L10:M10"/>
    <mergeCell ref="B5:C5"/>
    <mergeCell ref="D5:E5"/>
    <mergeCell ref="B4:C4"/>
    <mergeCell ref="C49:D49"/>
    <mergeCell ref="J32:N32"/>
    <mergeCell ref="J114:K114"/>
    <mergeCell ref="B6:C6"/>
    <mergeCell ref="B15:C15"/>
    <mergeCell ref="C82:D82"/>
    <mergeCell ref="L6:M6"/>
    <mergeCell ref="J101:M101"/>
    <mergeCell ref="B102:D102"/>
    <mergeCell ref="H104:I104"/>
    <mergeCell ref="E105"/>
    <mergeCell ref="C66:D66"/>
    <mergeCell ref="J42:N42"/>
    <mergeCell ref="H106:I106"/>
    <mergeCell ref="C34:D34"/>
    <mergeCell ref="J92:N92"/>
    <mergeCell ref="C86:D86"/>
    <mergeCell ref="H22:N22"/>
    <mergeCell ref="J44:N44"/>
    <mergeCell ref="B72:C72"/>
    <mergeCell ref="E113"/>
    <mergeCell ref="J28:N28"/>
    <mergeCell ref="H77:N77"/>
    <mergeCell ref="J37:N37"/>
    <mergeCell ref="B71:C71"/>
    <mergeCell ref="D8:E8"/>
    <mergeCell ref="B115:D115"/>
    <mergeCell ref="J33:N33"/>
    <mergeCell ref="J103:M103"/>
    <mergeCell ref="B75:C75"/>
    <mergeCell ref="E115"/>
    <mergeCell ref="J84:N84"/>
    <mergeCell ref="E102"/>
    <mergeCell ref="C29:D29"/>
    <mergeCell ref="C85:D85"/>
    <mergeCell ref="J30:N30"/>
    <mergeCell ref="C94:D94"/>
    <mergeCell ref="F114:G114"/>
    <mergeCell ref="J111:M111"/>
    <mergeCell ref="H67:N67"/>
    <mergeCell ref="C44:D44"/>
    <mergeCell ref="C84:D84"/>
    <mergeCell ref="C31:D31"/>
    <mergeCell ref="B65:M65"/>
    <mergeCell ref="H78:N78"/>
    <mergeCell ref="F101:G101"/>
    <mergeCell ref="J95:N95"/>
    <mergeCell ref="C46:D46"/>
    <mergeCell ref="B114:D114"/>
    <mergeCell ref="L114:M114"/>
    <mergeCell ref="B117:M117"/>
    <mergeCell ref="J82:N82"/>
    <mergeCell ref="J5:K5"/>
    <mergeCell ref="H103:I103"/>
    <mergeCell ref="C33:D33"/>
    <mergeCell ref="B101:D101"/>
    <mergeCell ref="F112:G112"/>
    <mergeCell ref="H112:I112"/>
    <mergeCell ref="C42:D42"/>
    <mergeCell ref="J115:M115"/>
    <mergeCell ref="C88:D88"/>
    <mergeCell ref="H24:N24"/>
    <mergeCell ref="H18:N18"/>
    <mergeCell ref="C35:D35"/>
    <mergeCell ref="H76:N76"/>
    <mergeCell ref="B103:D103"/>
    <mergeCell ref="B112:D112"/>
    <mergeCell ref="J34:N34"/>
    <mergeCell ref="B70:C70"/>
    <mergeCell ref="H114:I114"/>
    <mergeCell ref="H6:I6"/>
    <mergeCell ref="J6:K6"/>
    <mergeCell ref="F104:G104"/>
    <mergeCell ref="F113:G113"/>
    <mergeCell ref="H115:I115"/>
    <mergeCell ref="J94:N94"/>
    <mergeCell ref="B10:C10"/>
    <mergeCell ref="B97:D97"/>
    <mergeCell ref="E103"/>
    <mergeCell ref="B106:D106"/>
    <mergeCell ref="J31:N31"/>
    <mergeCell ref="C39:D39"/>
    <mergeCell ref="J107:M107"/>
    <mergeCell ref="E108"/>
    <mergeCell ref="F115:G115"/>
    <mergeCell ref="J41:N41"/>
    <mergeCell ref="B110:M110"/>
    <mergeCell ref="B113:D113"/>
    <mergeCell ref="C48:D48"/>
    <mergeCell ref="F102:G102"/>
    <mergeCell ref="J113:K113"/>
    <mergeCell ref="L113:M113"/>
    <mergeCell ref="J47:N47"/>
    <mergeCell ref="B100:M100"/>
    <mergeCell ref="J96:N96"/>
    <mergeCell ref="C32:D32"/>
    <mergeCell ref="C38:D38"/>
    <mergeCell ref="E14:G14"/>
    <mergeCell ref="H8:I8"/>
    <mergeCell ref="C96:D96"/>
    <mergeCell ref="E104"/>
    <mergeCell ref="J8:K8"/>
    <mergeCell ref="H72:N72"/>
    <mergeCell ref="C87:D87"/>
    <mergeCell ref="B9:C9"/>
    <mergeCell ref="L9:M9"/>
    <mergeCell ref="J90:N90"/>
    <mergeCell ref="J43:N43"/>
    <mergeCell ref="H70:N70"/>
    <mergeCell ref="B76:C76"/>
    <mergeCell ref="C51:D51"/>
    <mergeCell ref="C95:D95"/>
    <mergeCell ref="B52:E52"/>
    <mergeCell ref="H10:I10"/>
    <mergeCell ref="F103:G103"/>
    <mergeCell ref="J10:K1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5"/>
  <sheetViews>
    <sheetView showGridLines="0" topLeftCell="A26" workbookViewId="0">
      <selection activeCell="D38" sqref="D38:F38"/>
    </sheetView>
  </sheetViews>
  <sheetFormatPr defaultRowHeight="14.5" x14ac:dyDescent="0.35"/>
  <cols>
    <col min="1" max="1" width="1.453125" customWidth="1"/>
    <col min="2" max="2" width="33.08984375" bestFit="1" customWidth="1"/>
    <col min="3" max="3" width="17" bestFit="1" customWidth="1"/>
    <col min="4" max="6" width="16" customWidth="1"/>
    <col min="7" max="7" width="22" customWidth="1"/>
    <col min="8" max="8" width="1.453125" customWidth="1"/>
  </cols>
  <sheetData>
    <row r="1" spans="1:8" ht="32" customHeight="1" x14ac:dyDescent="0.35">
      <c r="A1" s="652" t="s">
        <v>287</v>
      </c>
      <c r="B1" s="524"/>
      <c r="C1" s="524"/>
      <c r="D1" s="524"/>
      <c r="E1" s="524"/>
      <c r="F1" s="524"/>
      <c r="G1" s="524"/>
      <c r="H1" s="524"/>
    </row>
    <row r="2" spans="1:8" ht="18" customHeight="1" x14ac:dyDescent="0.35">
      <c r="A2" s="649" t="s">
        <v>288</v>
      </c>
      <c r="B2" s="524"/>
      <c r="C2" s="524"/>
      <c r="D2" s="524"/>
      <c r="E2" s="524"/>
      <c r="F2" s="524"/>
      <c r="G2" s="524"/>
      <c r="H2" s="524"/>
    </row>
    <row r="3" spans="1:8" ht="8" customHeight="1" x14ac:dyDescent="0.35"/>
    <row r="4" spans="1:8" ht="22" customHeight="1" x14ac:dyDescent="0.35">
      <c r="B4" s="645" t="s">
        <v>289</v>
      </c>
      <c r="C4" s="524"/>
      <c r="D4" s="524"/>
      <c r="E4" s="524"/>
      <c r="F4" s="524"/>
      <c r="G4" s="524"/>
    </row>
    <row r="5" spans="1:8" ht="28" customHeight="1" x14ac:dyDescent="0.35">
      <c r="B5" s="510"/>
      <c r="C5" s="510" t="s">
        <v>290</v>
      </c>
      <c r="D5" s="510" t="s">
        <v>291</v>
      </c>
      <c r="E5" s="510" t="s">
        <v>292</v>
      </c>
      <c r="F5" s="559" t="s">
        <v>193</v>
      </c>
      <c r="G5" s="524"/>
    </row>
    <row r="6" spans="1:8" ht="20" customHeight="1" x14ac:dyDescent="0.35">
      <c r="B6" s="511" t="s">
        <v>293</v>
      </c>
      <c r="C6" s="514">
        <v>76500000</v>
      </c>
      <c r="D6" s="514">
        <v>85000000</v>
      </c>
      <c r="E6" s="514">
        <v>79000000</v>
      </c>
      <c r="F6" s="641"/>
      <c r="G6" s="642"/>
    </row>
    <row r="7" spans="1:8" ht="20" customHeight="1" x14ac:dyDescent="0.35">
      <c r="B7" s="513" t="s">
        <v>107</v>
      </c>
      <c r="C7" s="515">
        <v>45455</v>
      </c>
      <c r="D7" s="515">
        <v>44327</v>
      </c>
      <c r="E7" s="515">
        <v>43194</v>
      </c>
      <c r="F7" s="641"/>
      <c r="G7" s="642"/>
    </row>
    <row r="8" spans="1:8" ht="20" customHeight="1" x14ac:dyDescent="0.35">
      <c r="B8" s="511" t="s">
        <v>109</v>
      </c>
      <c r="C8" s="516" t="s">
        <v>655</v>
      </c>
      <c r="D8" s="516" t="s">
        <v>655</v>
      </c>
      <c r="E8" s="516" t="s">
        <v>661</v>
      </c>
      <c r="F8" s="641"/>
      <c r="G8" s="642"/>
    </row>
    <row r="9" spans="1:8" ht="20" customHeight="1" x14ac:dyDescent="0.35">
      <c r="B9" s="513" t="s">
        <v>113</v>
      </c>
      <c r="C9" s="517" t="s">
        <v>657</v>
      </c>
      <c r="D9" s="517" t="s">
        <v>657</v>
      </c>
      <c r="E9" s="517" t="s">
        <v>657</v>
      </c>
      <c r="F9" s="641" t="s">
        <v>656</v>
      </c>
      <c r="G9" s="642"/>
    </row>
    <row r="10" spans="1:8" ht="20" customHeight="1" x14ac:dyDescent="0.35">
      <c r="B10" s="511" t="s">
        <v>294</v>
      </c>
      <c r="C10" s="517">
        <v>5.2499999999999998E-2</v>
      </c>
      <c r="D10" s="517">
        <v>4.7500000000000001E-2</v>
      </c>
      <c r="E10" s="517">
        <v>4.7500000000000001E-2</v>
      </c>
      <c r="F10" s="641"/>
      <c r="G10" s="642"/>
    </row>
    <row r="11" spans="1:8" ht="20" customHeight="1" x14ac:dyDescent="0.35">
      <c r="B11" s="513" t="s">
        <v>295</v>
      </c>
      <c r="C11" s="517">
        <v>3.6700000000000003E-2</v>
      </c>
      <c r="D11" s="517">
        <v>3.73E-2</v>
      </c>
      <c r="E11" s="517">
        <v>3.2300000000000002E-2</v>
      </c>
      <c r="F11" s="641"/>
      <c r="G11" s="642"/>
    </row>
    <row r="12" spans="1:8" ht="20" customHeight="1" x14ac:dyDescent="0.35">
      <c r="B12" s="511" t="s">
        <v>296</v>
      </c>
      <c r="C12" s="514">
        <v>14900000</v>
      </c>
      <c r="D12" s="514">
        <v>11000000</v>
      </c>
      <c r="E12" s="514">
        <v>9480000</v>
      </c>
      <c r="F12" s="641"/>
      <c r="G12" s="642"/>
    </row>
    <row r="13" spans="1:8" ht="20" customHeight="1" x14ac:dyDescent="0.35">
      <c r="B13" s="513" t="s">
        <v>297</v>
      </c>
      <c r="C13" s="514">
        <v>55600000</v>
      </c>
      <c r="D13" s="514">
        <v>38700000</v>
      </c>
      <c r="E13" s="514"/>
      <c r="F13" s="641"/>
      <c r="G13" s="642"/>
    </row>
    <row r="14" spans="1:8" ht="18" customHeight="1" x14ac:dyDescent="0.35">
      <c r="B14" s="653" t="s">
        <v>298</v>
      </c>
      <c r="C14" s="524"/>
      <c r="D14" s="524"/>
      <c r="E14" s="524"/>
      <c r="F14" s="524"/>
      <c r="G14" s="524"/>
    </row>
    <row r="15" spans="1:8" ht="20" customHeight="1" x14ac:dyDescent="0.35">
      <c r="B15" s="511" t="s">
        <v>299</v>
      </c>
      <c r="C15" s="549">
        <f>IFERROR(C6-D6,"")</f>
        <v>-8500000</v>
      </c>
      <c r="D15" s="524"/>
      <c r="E15" s="512">
        <f>IFERROR((C6-D6)/D6,"")</f>
        <v>-0.1</v>
      </c>
      <c r="F15" s="651" t="s">
        <v>300</v>
      </c>
      <c r="G15" s="524"/>
    </row>
    <row r="16" spans="1:8" ht="20" customHeight="1" x14ac:dyDescent="0.35">
      <c r="B16" s="518" t="s">
        <v>301</v>
      </c>
      <c r="C16" s="549">
        <f>IFERROR(D6-E6,"")</f>
        <v>6000000</v>
      </c>
      <c r="D16" s="524"/>
      <c r="E16" s="512">
        <f>IFERROR((D6-E6)/E6,"")</f>
        <v>7.5949367088607597E-2</v>
      </c>
      <c r="F16" s="651"/>
      <c r="G16" s="524"/>
    </row>
    <row r="17" spans="2:7" ht="10" customHeight="1" x14ac:dyDescent="0.35"/>
    <row r="18" spans="2:7" ht="22" customHeight="1" x14ac:dyDescent="0.35">
      <c r="B18" s="645" t="s">
        <v>302</v>
      </c>
      <c r="C18" s="524"/>
      <c r="D18" s="524"/>
      <c r="E18" s="524"/>
      <c r="F18" s="524"/>
      <c r="G18" s="524"/>
    </row>
    <row r="19" spans="2:7" ht="28" customHeight="1" x14ac:dyDescent="0.35">
      <c r="B19" s="510"/>
      <c r="C19" s="510" t="s">
        <v>303</v>
      </c>
      <c r="D19" s="510" t="s">
        <v>116</v>
      </c>
      <c r="E19" s="510" t="s">
        <v>117</v>
      </c>
      <c r="F19" s="559" t="s">
        <v>193</v>
      </c>
      <c r="G19" s="524"/>
    </row>
    <row r="20" spans="2:7" ht="20" customHeight="1" x14ac:dyDescent="0.35">
      <c r="B20" s="511" t="s">
        <v>119</v>
      </c>
      <c r="C20" s="516" t="s">
        <v>658</v>
      </c>
      <c r="D20" s="516" t="s">
        <v>659</v>
      </c>
      <c r="E20" s="516" t="s">
        <v>660</v>
      </c>
      <c r="F20" s="640"/>
      <c r="G20" s="524"/>
    </row>
    <row r="21" spans="2:7" ht="20" customHeight="1" x14ac:dyDescent="0.35">
      <c r="B21" s="513" t="s">
        <v>120</v>
      </c>
      <c r="C21" s="514">
        <v>16500000</v>
      </c>
      <c r="D21" s="514">
        <v>16500000</v>
      </c>
      <c r="E21" s="514">
        <v>14900000</v>
      </c>
      <c r="F21" s="640"/>
      <c r="G21" s="524"/>
    </row>
    <row r="22" spans="2:7" ht="20" customHeight="1" x14ac:dyDescent="0.35">
      <c r="B22" s="511" t="s">
        <v>121</v>
      </c>
      <c r="C22" s="514">
        <v>293049.3</v>
      </c>
      <c r="D22" s="514">
        <v>273049.3</v>
      </c>
      <c r="E22" s="514">
        <v>236382.65</v>
      </c>
      <c r="F22" s="640"/>
      <c r="G22" s="524"/>
    </row>
    <row r="23" spans="2:7" ht="20" customHeight="1" x14ac:dyDescent="0.35">
      <c r="B23" s="513" t="s">
        <v>122</v>
      </c>
      <c r="C23" s="515">
        <v>45839</v>
      </c>
      <c r="D23" s="515">
        <v>45474</v>
      </c>
      <c r="E23" s="515">
        <v>45108</v>
      </c>
      <c r="F23" s="640"/>
      <c r="G23" s="524"/>
    </row>
    <row r="24" spans="2:7" ht="20" customHeight="1" x14ac:dyDescent="0.35">
      <c r="B24" s="511" t="s">
        <v>304</v>
      </c>
      <c r="C24" s="514"/>
      <c r="D24" s="514"/>
      <c r="E24" s="514"/>
      <c r="F24" s="640"/>
      <c r="G24" s="524"/>
    </row>
    <row r="25" spans="2:7" ht="20" customHeight="1" x14ac:dyDescent="0.35">
      <c r="B25" s="513" t="s">
        <v>305</v>
      </c>
      <c r="C25" s="519"/>
      <c r="D25" s="519"/>
      <c r="E25" s="519"/>
      <c r="F25" s="640"/>
      <c r="G25" s="524"/>
    </row>
    <row r="26" spans="2:7" ht="20" customHeight="1" x14ac:dyDescent="0.35">
      <c r="B26" s="511" t="s">
        <v>306</v>
      </c>
      <c r="C26" s="515"/>
      <c r="D26" s="515"/>
      <c r="E26" s="515"/>
      <c r="F26" s="640"/>
      <c r="G26" s="524"/>
    </row>
    <row r="27" spans="2:7" ht="20" customHeight="1" x14ac:dyDescent="0.35">
      <c r="B27" s="513" t="s">
        <v>307</v>
      </c>
      <c r="C27" s="516"/>
      <c r="D27" s="516"/>
      <c r="E27" s="516"/>
      <c r="F27" s="640"/>
      <c r="G27" s="524"/>
    </row>
    <row r="28" spans="2:7" ht="10" customHeight="1" x14ac:dyDescent="0.35"/>
    <row r="29" spans="2:7" ht="18" customHeight="1" x14ac:dyDescent="0.35">
      <c r="B29" s="653" t="s">
        <v>308</v>
      </c>
      <c r="C29" s="524"/>
      <c r="D29" s="524"/>
      <c r="E29" s="524"/>
      <c r="F29" s="524"/>
      <c r="G29" s="524"/>
    </row>
    <row r="30" spans="2:7" ht="20" customHeight="1" x14ac:dyDescent="0.35">
      <c r="B30" s="511" t="s">
        <v>309</v>
      </c>
      <c r="C30" s="549">
        <f>IFERROR(C21-D21,"")</f>
        <v>0</v>
      </c>
      <c r="D30" s="524"/>
      <c r="E30" s="512">
        <f>IFERROR((C21-D21)/D21,"")</f>
        <v>0</v>
      </c>
      <c r="F30" s="651"/>
      <c r="G30" s="524"/>
    </row>
    <row r="31" spans="2:7" ht="20" customHeight="1" x14ac:dyDescent="0.35">
      <c r="B31" s="518" t="s">
        <v>310</v>
      </c>
      <c r="C31" s="549">
        <f>IFERROR(D21-E21,"")</f>
        <v>1600000</v>
      </c>
      <c r="D31" s="524"/>
      <c r="E31" s="512">
        <f>IFERROR((D21-E21)/E21,"")</f>
        <v>0.10738255033557047</v>
      </c>
      <c r="F31" s="651"/>
      <c r="G31" s="524"/>
    </row>
    <row r="32" spans="2:7" ht="10" customHeight="1" x14ac:dyDescent="0.35"/>
    <row r="33" spans="2:7" ht="22" customHeight="1" x14ac:dyDescent="0.35">
      <c r="B33" s="645" t="s">
        <v>311</v>
      </c>
      <c r="C33" s="524"/>
      <c r="D33" s="524"/>
      <c r="E33" s="524"/>
      <c r="F33" s="524"/>
      <c r="G33" s="524"/>
    </row>
    <row r="34" spans="2:7" ht="24" customHeight="1" x14ac:dyDescent="0.35">
      <c r="B34" s="559" t="s">
        <v>312</v>
      </c>
      <c r="C34" s="524"/>
      <c r="D34" s="559" t="s">
        <v>313</v>
      </c>
      <c r="E34" s="524"/>
      <c r="F34" s="524"/>
      <c r="G34" s="510" t="s">
        <v>314</v>
      </c>
    </row>
    <row r="35" spans="2:7" ht="20" customHeight="1" x14ac:dyDescent="0.35">
      <c r="B35" s="543" t="s">
        <v>315</v>
      </c>
      <c r="C35" s="524"/>
      <c r="D35" s="650" t="s">
        <v>662</v>
      </c>
      <c r="E35" s="524"/>
      <c r="F35" s="524"/>
      <c r="G35" s="516"/>
    </row>
    <row r="36" spans="2:7" ht="20" customHeight="1" x14ac:dyDescent="0.35">
      <c r="B36" s="546" t="s">
        <v>316</v>
      </c>
      <c r="C36" s="524"/>
      <c r="D36" s="644">
        <v>27000000</v>
      </c>
      <c r="E36" s="524"/>
      <c r="F36" s="524"/>
      <c r="G36" s="514"/>
    </row>
    <row r="37" spans="2:7" ht="20" customHeight="1" x14ac:dyDescent="0.35">
      <c r="B37" s="543" t="s">
        <v>317</v>
      </c>
      <c r="C37" s="524"/>
      <c r="D37" s="643">
        <v>45473</v>
      </c>
      <c r="E37" s="524"/>
      <c r="F37" s="524"/>
      <c r="G37" s="515"/>
    </row>
    <row r="38" spans="2:7" ht="20" customHeight="1" x14ac:dyDescent="0.35">
      <c r="B38" s="546" t="s">
        <v>318</v>
      </c>
      <c r="C38" s="524"/>
      <c r="D38" s="648"/>
      <c r="E38" s="524"/>
      <c r="F38" s="524"/>
      <c r="G38" s="520" t="s">
        <v>319</v>
      </c>
    </row>
    <row r="39" spans="2:7" ht="20" customHeight="1" x14ac:dyDescent="0.35">
      <c r="B39" s="543" t="s">
        <v>320</v>
      </c>
      <c r="C39" s="524"/>
      <c r="D39" s="650"/>
      <c r="E39" s="524"/>
      <c r="F39" s="524"/>
      <c r="G39" s="516"/>
    </row>
    <row r="40" spans="2:7" ht="20" customHeight="1" x14ac:dyDescent="0.35">
      <c r="B40" s="546" t="s">
        <v>321</v>
      </c>
      <c r="C40" s="524"/>
      <c r="D40" s="643"/>
      <c r="E40" s="524"/>
      <c r="F40" s="524"/>
      <c r="G40" s="515"/>
    </row>
    <row r="41" spans="2:7" ht="20" customHeight="1" x14ac:dyDescent="0.35">
      <c r="B41" s="543" t="s">
        <v>322</v>
      </c>
      <c r="C41" s="524"/>
      <c r="D41" s="646">
        <f>IFERROR(D36/Valuations!C6,"")</f>
        <v>0.35294117647058826</v>
      </c>
      <c r="E41" s="524"/>
      <c r="F41" s="524"/>
      <c r="G41" s="521"/>
    </row>
    <row r="42" spans="2:7" ht="20" customHeight="1" x14ac:dyDescent="0.35">
      <c r="B42" s="546" t="s">
        <v>323</v>
      </c>
      <c r="C42" s="524"/>
      <c r="D42" s="647"/>
      <c r="E42" s="524"/>
      <c r="F42" s="524"/>
      <c r="G42" s="522"/>
    </row>
    <row r="43" spans="2:7" ht="20" customHeight="1" x14ac:dyDescent="0.35">
      <c r="B43" s="543" t="s">
        <v>324</v>
      </c>
      <c r="C43" s="524"/>
      <c r="D43" s="650"/>
      <c r="E43" s="524"/>
      <c r="F43" s="524"/>
      <c r="G43" s="516"/>
    </row>
    <row r="44" spans="2:7" ht="10" customHeight="1" x14ac:dyDescent="0.35"/>
    <row r="45" spans="2:7" ht="20" customHeight="1" x14ac:dyDescent="0.35">
      <c r="B45" s="639" t="s">
        <v>325</v>
      </c>
      <c r="C45" s="524"/>
      <c r="D45" s="524"/>
      <c r="E45" s="524"/>
      <c r="F45" s="524"/>
      <c r="G45" s="524"/>
    </row>
  </sheetData>
  <mergeCells count="54">
    <mergeCell ref="F20:G20"/>
    <mergeCell ref="F10:G10"/>
    <mergeCell ref="B14:G14"/>
    <mergeCell ref="C15:D15"/>
    <mergeCell ref="F16:G16"/>
    <mergeCell ref="F19:G19"/>
    <mergeCell ref="F6:G6"/>
    <mergeCell ref="A1:H1"/>
    <mergeCell ref="B29:G29"/>
    <mergeCell ref="D43:F43"/>
    <mergeCell ref="F7:G7"/>
    <mergeCell ref="B43:C43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11:G11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F9:G9"/>
    <mergeCell ref="B42:C42"/>
    <mergeCell ref="D39:F39"/>
    <mergeCell ref="F26:G26"/>
    <mergeCell ref="C31:D31"/>
    <mergeCell ref="B45:G45"/>
    <mergeCell ref="F22:G22"/>
    <mergeCell ref="F13:G13"/>
    <mergeCell ref="B40:C40"/>
    <mergeCell ref="F27:G27"/>
    <mergeCell ref="D34:F34"/>
    <mergeCell ref="D40:F40"/>
    <mergeCell ref="D36:F36"/>
    <mergeCell ref="B36:C36"/>
    <mergeCell ref="B18:G18"/>
    <mergeCell ref="B41:C41"/>
    <mergeCell ref="B35:C35"/>
    <mergeCell ref="B33:G33"/>
    <mergeCell ref="D41:F41"/>
    <mergeCell ref="C30:D30"/>
    <mergeCell ref="F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9"/>
  <sheetViews>
    <sheetView showGridLines="0" workbookViewId="0">
      <pane ySplit="3" topLeftCell="A4" activePane="bottomLeft" state="frozen"/>
      <selection pane="bottomLeft" activeCell="L4" sqref="L4"/>
    </sheetView>
  </sheetViews>
  <sheetFormatPr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0" customWidth="1"/>
    <col min="6" max="7" width="12" customWidth="1"/>
    <col min="8" max="8" width="9" customWidth="1"/>
    <col min="9" max="9" width="12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8" customHeight="1" x14ac:dyDescent="0.35">
      <c r="A1" s="654" t="s">
        <v>326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  <c r="O1" s="524"/>
    </row>
    <row r="2" spans="1:16" ht="16" customHeight="1" x14ac:dyDescent="0.35">
      <c r="A2" s="656" t="s">
        <v>327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  <c r="N2" s="524"/>
      <c r="O2" s="524"/>
    </row>
    <row r="3" spans="1:16" ht="36" customHeight="1" x14ac:dyDescent="0.35">
      <c r="B3" s="164" t="s">
        <v>81</v>
      </c>
      <c r="C3" s="164" t="s">
        <v>175</v>
      </c>
      <c r="D3" s="164" t="s">
        <v>328</v>
      </c>
      <c r="E3" s="164" t="s">
        <v>329</v>
      </c>
      <c r="F3" s="164" t="s">
        <v>330</v>
      </c>
      <c r="G3" s="164" t="s">
        <v>331</v>
      </c>
      <c r="H3" s="164" t="s">
        <v>332</v>
      </c>
      <c r="I3" s="164" t="s">
        <v>333</v>
      </c>
      <c r="J3" s="164" t="s">
        <v>334</v>
      </c>
      <c r="K3" s="164" t="s">
        <v>335</v>
      </c>
      <c r="L3" s="164" t="s">
        <v>336</v>
      </c>
      <c r="M3" s="164" t="s">
        <v>337</v>
      </c>
      <c r="N3" s="164" t="s">
        <v>338</v>
      </c>
      <c r="O3" s="164" t="s">
        <v>339</v>
      </c>
      <c r="P3" s="164" t="s">
        <v>340</v>
      </c>
    </row>
    <row r="4" spans="1:16" ht="16" customHeight="1" x14ac:dyDescent="0.35">
      <c r="B4" s="165" t="str">
        <f>'Input Data'!B3</f>
        <v>BSMT</v>
      </c>
      <c r="C4" s="165" t="str">
        <f>'Input Data'!C3</f>
        <v>LWR GROUND</v>
      </c>
      <c r="D4" s="166" t="str">
        <f ca="1">IFERROR('Input Data'!D3&amp;" ("&amp;'Input Data'!E3&amp;")",'Input Data'!D3)</f>
        <v>OPULENT TWO ENTERPRISES (OPULENT TWO ENTERPRISES)</v>
      </c>
      <c r="E4" s="167">
        <f>'Input Data'!F3</f>
        <v>151.19999999999999</v>
      </c>
      <c r="F4" s="168">
        <f ca="1">IFERROR('Input Data'!G3,"")</f>
        <v>42401</v>
      </c>
      <c r="G4" s="168">
        <f ca="1">IFERROR('Input Data'!H3,"")</f>
        <v>47149</v>
      </c>
      <c r="H4" s="169">
        <f ca="1">'Input Data'!I3</f>
        <v>13</v>
      </c>
      <c r="I4" s="170">
        <f ca="1">'Input Data'!V3</f>
        <v>2.7351129363449691</v>
      </c>
      <c r="J4" s="171">
        <f ca="1">'Input Data'!J3</f>
        <v>1002.01</v>
      </c>
      <c r="K4" s="171">
        <f ca="1">'Input Data'!N3</f>
        <v>123489.07199999999</v>
      </c>
      <c r="L4" s="172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165">
        <f>'Input Data'!O3</f>
        <v>0</v>
      </c>
      <c r="N4" s="173" t="str">
        <f>'Input Data'!P3</f>
        <v>FIXED 4%</v>
      </c>
      <c r="O4" s="171">
        <f>'Input Data'!S3</f>
        <v>930</v>
      </c>
      <c r="P4" s="171">
        <f ca="1">'Input Data'!T3</f>
        <v>72.009999999999991</v>
      </c>
    </row>
    <row r="5" spans="1:16" ht="16" customHeight="1" x14ac:dyDescent="0.35">
      <c r="B5" s="174" t="str">
        <f>'Input Data'!B4</f>
        <v>GF</v>
      </c>
      <c r="C5" s="174" t="str">
        <f>'Input Data'!C4</f>
        <v>GROUND</v>
      </c>
      <c r="D5" s="175" t="str">
        <f ca="1">IFERROR('Input Data'!D4&amp;" ("&amp;'Input Data'!E4&amp;")",'Input Data'!D4)</f>
        <v>RCVRI MARTIN PLACE PTY LTD (RECOVERIE)</v>
      </c>
      <c r="E5" s="176">
        <f>'Input Data'!F4</f>
        <v>298.3</v>
      </c>
      <c r="F5" s="177">
        <f ca="1">IFERROR('Input Data'!G4,"")</f>
        <v>45678</v>
      </c>
      <c r="G5" s="177">
        <f ca="1">IFERROR('Input Data'!H4,"")</f>
        <v>48233</v>
      </c>
      <c r="H5" s="178">
        <f ca="1">'Input Data'!I4</f>
        <v>7</v>
      </c>
      <c r="I5" s="179">
        <f ca="1">'Input Data'!V4</f>
        <v>5.7029431895961666</v>
      </c>
      <c r="J5" s="180">
        <f ca="1">'Input Data'!J4</f>
        <v>1150.52</v>
      </c>
      <c r="K5" s="180">
        <f ca="1">'Input Data'!N4</f>
        <v>272485.79599999997</v>
      </c>
      <c r="L5" s="181" t="str">
        <f t="shared" ca="1" si="0"/>
        <v>VACANT</v>
      </c>
      <c r="M5" s="174">
        <f>'Input Data'!O4</f>
        <v>0</v>
      </c>
      <c r="N5" s="182" t="str">
        <f>'Input Data'!P4</f>
        <v>FIXED 4%</v>
      </c>
      <c r="O5" s="180">
        <f>'Input Data'!S4</f>
        <v>1100</v>
      </c>
      <c r="P5" s="180">
        <f ca="1">'Input Data'!T4</f>
        <v>50.519999999999982</v>
      </c>
    </row>
    <row r="6" spans="1:16" ht="16" customHeight="1" x14ac:dyDescent="0.35">
      <c r="B6" s="183" t="str">
        <f>'Input Data'!B5</f>
        <v>L01</v>
      </c>
      <c r="C6" s="183" t="str">
        <f>'Input Data'!C5</f>
        <v>101&amp;2</v>
      </c>
      <c r="D6" s="184" t="str">
        <f ca="1">IFERROR('Input Data'!D5&amp;" ("&amp;'Input Data'!E5&amp;")",'Input Data'!D5)</f>
        <v>BLITZEM PTY LTD (BLITZEM PTY LTD)</v>
      </c>
      <c r="E6" s="185">
        <f>'Input Data'!F5</f>
        <v>162.4</v>
      </c>
      <c r="F6" s="186">
        <f ca="1">IFERROR('Input Data'!G5,"")</f>
        <v>42795</v>
      </c>
      <c r="G6" s="186">
        <f ca="1">IFERROR('Input Data'!H5,"")</f>
        <v>46203</v>
      </c>
      <c r="H6" s="187">
        <f ca="1">'Input Data'!I5</f>
        <v>9.3000000000000007</v>
      </c>
      <c r="I6" s="188">
        <f ca="1">'Input Data'!V5</f>
        <v>0.14510609171800137</v>
      </c>
      <c r="J6" s="189">
        <f ca="1">'Input Data'!J5</f>
        <v>1010.25</v>
      </c>
      <c r="K6" s="189">
        <f ca="1">'Input Data'!N5</f>
        <v>164064.6</v>
      </c>
      <c r="L6" s="190" t="str">
        <f t="shared" ca="1" si="0"/>
        <v>VACANT</v>
      </c>
      <c r="M6" s="183">
        <f>'Input Data'!O5</f>
        <v>0</v>
      </c>
      <c r="N6" s="191" t="str">
        <f>'Input Data'!P5</f>
        <v>LEASE RENEWAL</v>
      </c>
      <c r="O6" s="189">
        <f>'Input Data'!S5</f>
        <v>1115</v>
      </c>
      <c r="P6" s="189">
        <f ca="1">'Input Data'!T5</f>
        <v>-104.75</v>
      </c>
    </row>
    <row r="7" spans="1:16" ht="16" customHeight="1" x14ac:dyDescent="0.35">
      <c r="B7" s="192" t="str">
        <f>'Input Data'!B6</f>
        <v>L01</v>
      </c>
      <c r="C7" s="192" t="str">
        <f>'Input Data'!C6</f>
        <v>103</v>
      </c>
      <c r="D7" s="193" t="str">
        <f ca="1">IFERROR('Input Data'!D6&amp;" ("&amp;'Input Data'!E6&amp;")",'Input Data'!D6)</f>
        <v>PU PRIME TRADING PTY LTD (PU PRIME TRADING PTY LTD)</v>
      </c>
      <c r="E7" s="194">
        <f>'Input Data'!F6</f>
        <v>96.3</v>
      </c>
      <c r="F7" s="195">
        <f ca="1">IFERROR('Input Data'!G6,"")</f>
        <v>44378</v>
      </c>
      <c r="G7" s="195">
        <f ca="1">IFERROR('Input Data'!H6,"")</f>
        <v>46918</v>
      </c>
      <c r="H7" s="196">
        <f ca="1">'Input Data'!I6</f>
        <v>7</v>
      </c>
      <c r="I7" s="197">
        <f ca="1">'Input Data'!V6</f>
        <v>2.1026694045174539</v>
      </c>
      <c r="J7" s="198">
        <f ca="1">'Input Data'!J6</f>
        <v>982.68</v>
      </c>
      <c r="K7" s="198">
        <f ca="1">'Input Data'!N6</f>
        <v>89173.043999999994</v>
      </c>
      <c r="L7" s="199" t="str">
        <f t="shared" ca="1" si="0"/>
        <v>VACANT</v>
      </c>
      <c r="M7" s="192">
        <f>'Input Data'!O6</f>
        <v>0</v>
      </c>
      <c r="N7" s="200" t="str">
        <f>'Input Data'!P6</f>
        <v>FIXED 4%</v>
      </c>
      <c r="O7" s="198">
        <f>'Input Data'!S6</f>
        <v>960</v>
      </c>
      <c r="P7" s="198">
        <f ca="1">'Input Data'!T6</f>
        <v>22.67999999999995</v>
      </c>
    </row>
    <row r="8" spans="1:16" ht="16" customHeight="1" x14ac:dyDescent="0.35">
      <c r="B8" s="183" t="str">
        <f>'Input Data'!B7</f>
        <v>L01</v>
      </c>
      <c r="C8" s="183" t="str">
        <f>'Input Data'!C7</f>
        <v>104</v>
      </c>
      <c r="D8" s="184" t="str">
        <f ca="1">IFERROR('Input Data'!D7&amp;" ("&amp;'Input Data'!E7&amp;")",'Input Data'!D7)</f>
        <v>TJC#1 PTY LTD (TJC#1 PTY LTD)</v>
      </c>
      <c r="E8" s="185">
        <f>'Input Data'!F7</f>
        <v>98.1</v>
      </c>
      <c r="F8" s="186">
        <f ca="1">IFERROR('Input Data'!G7,"")</f>
        <v>45139</v>
      </c>
      <c r="G8" s="186">
        <f ca="1">IFERROR('Input Data'!H7,"")</f>
        <v>46234</v>
      </c>
      <c r="H8" s="187">
        <f ca="1">'Input Data'!I7</f>
        <v>3</v>
      </c>
      <c r="I8" s="188">
        <f ca="1">'Input Data'!V7</f>
        <v>0.2299794661190965</v>
      </c>
      <c r="J8" s="189">
        <f ca="1">'Input Data'!J7</f>
        <v>973.44</v>
      </c>
      <c r="K8" s="189">
        <f ca="1">'Input Data'!N7</f>
        <v>76070.66399999999</v>
      </c>
      <c r="L8" s="190" t="str">
        <f t="shared" ca="1" si="0"/>
        <v>VACANT</v>
      </c>
      <c r="M8" s="183">
        <f>'Input Data'!O7</f>
        <v>0</v>
      </c>
      <c r="N8" s="191" t="str">
        <f>'Input Data'!P7</f>
        <v>LEASE RENEWAL</v>
      </c>
      <c r="O8" s="189">
        <f>'Input Data'!S7</f>
        <v>960</v>
      </c>
      <c r="P8" s="189">
        <f ca="1">'Input Data'!T7</f>
        <v>13.440000000000055</v>
      </c>
    </row>
    <row r="9" spans="1:16" ht="16" customHeight="1" x14ac:dyDescent="0.35">
      <c r="B9" s="192" t="str">
        <f>'Input Data'!B8</f>
        <v>L02</v>
      </c>
      <c r="C9" s="192" t="str">
        <f>'Input Data'!C8</f>
        <v>WHOLE</v>
      </c>
      <c r="D9" s="193" t="str">
        <f ca="1">IFERROR('Input Data'!D8&amp;" ("&amp;'Input Data'!E8&amp;")",'Input Data'!D8)</f>
        <v>PRINCETON FINANCIAL SERVICES (PRINCETON FINANCIAL SERVICES)</v>
      </c>
      <c r="E9" s="194">
        <f>'Input Data'!F8</f>
        <v>393.2</v>
      </c>
      <c r="F9" s="195">
        <f ca="1">IFERROR('Input Data'!G8,"")</f>
        <v>45292</v>
      </c>
      <c r="G9" s="195">
        <f ca="1">IFERROR('Input Data'!H8,"")</f>
        <v>47118</v>
      </c>
      <c r="H9" s="196">
        <f ca="1">'Input Data'!I8</f>
        <v>5</v>
      </c>
      <c r="I9" s="197">
        <f ca="1">'Input Data'!V8</f>
        <v>2.6502395619438741</v>
      </c>
      <c r="J9" s="198">
        <f ca="1">'Input Data'!J8</f>
        <v>1081.5999999999999</v>
      </c>
      <c r="K9" s="198">
        <f ca="1">'Input Data'!N8</f>
        <v>401703.31999999995</v>
      </c>
      <c r="L9" s="199" t="str">
        <f t="shared" ca="1" si="0"/>
        <v>VACANT</v>
      </c>
      <c r="M9" s="192">
        <f>'Input Data'!O8</f>
        <v>0</v>
      </c>
      <c r="N9" s="200" t="str">
        <f>'Input Data'!P8</f>
        <v>FIXED 4%</v>
      </c>
      <c r="O9" s="198">
        <f>'Input Data'!S8</f>
        <v>1095</v>
      </c>
      <c r="P9" s="198">
        <f ca="1">'Input Data'!T8</f>
        <v>-13.400000000000091</v>
      </c>
    </row>
    <row r="10" spans="1:16" ht="16" customHeight="1" x14ac:dyDescent="0.35">
      <c r="B10" s="201" t="str">
        <f>'Input Data'!B9</f>
        <v>L03</v>
      </c>
      <c r="C10" s="201" t="str">
        <f>'Input Data'!C9</f>
        <v>301&amp;2</v>
      </c>
      <c r="D10" s="202" t="str">
        <f ca="1">IFERROR('Input Data'!D9&amp;" ("&amp;'Input Data'!E9&amp;")",'Input Data'!D9)</f>
        <v>IPM RESIDENTIAL PTY LTD (IPM RESIDENTIAL PTY LTD)</v>
      </c>
      <c r="E10" s="203">
        <f>'Input Data'!F9</f>
        <v>164.2</v>
      </c>
      <c r="F10" s="204">
        <f ca="1">IFERROR('Input Data'!G9,"")</f>
        <v>44713</v>
      </c>
      <c r="G10" s="204">
        <f ca="1">IFERROR('Input Data'!H9,"")</f>
        <v>46538</v>
      </c>
      <c r="H10" s="205">
        <f ca="1">'Input Data'!I9</f>
        <v>5</v>
      </c>
      <c r="I10" s="206">
        <f ca="1">'Input Data'!V9</f>
        <v>1.0622861054072552</v>
      </c>
      <c r="J10" s="207">
        <f ca="1">'Input Data'!J9</f>
        <v>1172.6099999999999</v>
      </c>
      <c r="K10" s="207">
        <f ca="1">'Input Data'!N9</f>
        <v>177025.60199999998</v>
      </c>
      <c r="L10" s="208" t="str">
        <f t="shared" ca="1" si="0"/>
        <v>VACANT</v>
      </c>
      <c r="M10" s="201">
        <f>'Input Data'!O9</f>
        <v>2</v>
      </c>
      <c r="N10" s="209" t="str">
        <f>'Input Data'!P9</f>
        <v>FIXED 3.75%</v>
      </c>
      <c r="O10" s="207">
        <f>'Input Data'!S9</f>
        <v>1135</v>
      </c>
      <c r="P10" s="207">
        <f ca="1">'Input Data'!T9</f>
        <v>37.6099999999999</v>
      </c>
    </row>
    <row r="11" spans="1:16" ht="16" customHeight="1" x14ac:dyDescent="0.35">
      <c r="B11" s="192" t="str">
        <f>'Input Data'!B10</f>
        <v>L03</v>
      </c>
      <c r="C11" s="192" t="str">
        <f>'Input Data'!C10</f>
        <v>303&amp;4</v>
      </c>
      <c r="D11" s="193" t="str">
        <f ca="1">IFERROR('Input Data'!D10&amp;" ("&amp;'Input Data'!E10&amp;")",'Input Data'!D10)</f>
        <v>BROADRIDGE (AUSTRALIA) PTY LTD (BROADRIDGE (AUSTRALI) PTY LTD)</v>
      </c>
      <c r="E11" s="194">
        <f>'Input Data'!F10</f>
        <v>193.4</v>
      </c>
      <c r="F11" s="195">
        <f ca="1">IFERROR('Input Data'!G10,"")</f>
        <v>45566</v>
      </c>
      <c r="G11" s="195">
        <f ca="1">IFERROR('Input Data'!H10,"")</f>
        <v>47026</v>
      </c>
      <c r="H11" s="196">
        <f ca="1">'Input Data'!I10</f>
        <v>4</v>
      </c>
      <c r="I11" s="197">
        <f ca="1">'Input Data'!V10</f>
        <v>2.3983572895277208</v>
      </c>
      <c r="J11" s="198">
        <f ca="1">'Input Data'!J10</f>
        <v>933.75</v>
      </c>
      <c r="K11" s="198">
        <f ca="1">'Input Data'!N10</f>
        <v>159625.04999999999</v>
      </c>
      <c r="L11" s="199" t="str">
        <f t="shared" ca="1" si="0"/>
        <v>VACANT</v>
      </c>
      <c r="M11" s="192">
        <f>'Input Data'!O10</f>
        <v>0</v>
      </c>
      <c r="N11" s="200" t="str">
        <f>'Input Data'!P10</f>
        <v>FIXED 3.75%</v>
      </c>
      <c r="O11" s="198">
        <f>'Input Data'!S10</f>
        <v>920</v>
      </c>
      <c r="P11" s="198">
        <f ca="1">'Input Data'!T10</f>
        <v>13.75</v>
      </c>
    </row>
    <row r="12" spans="1:16" ht="16" customHeight="1" x14ac:dyDescent="0.35">
      <c r="B12" s="165" t="str">
        <f>'Input Data'!B11</f>
        <v>L04</v>
      </c>
      <c r="C12" s="165" t="str">
        <f>'Input Data'!C11</f>
        <v>401</v>
      </c>
      <c r="D12" s="166" t="str">
        <f ca="1">IFERROR('Input Data'!D11&amp;" ("&amp;'Input Data'!E11&amp;")",'Input Data'!D11)</f>
        <v>B-W INTERNATIONAL AUSTRALIA PTY LTD (B-W INTERNATIONAL AUSTRALIA PTY LTD)</v>
      </c>
      <c r="E12" s="167">
        <f>'Input Data'!F11</f>
        <v>214.1</v>
      </c>
      <c r="F12" s="168">
        <f ca="1">IFERROR('Input Data'!G11,"")</f>
        <v>45352</v>
      </c>
      <c r="G12" s="168">
        <f ca="1">IFERROR('Input Data'!H11,"")</f>
        <v>47177</v>
      </c>
      <c r="H12" s="169">
        <f ca="1">'Input Data'!I11</f>
        <v>5</v>
      </c>
      <c r="I12" s="170">
        <f ca="1">'Input Data'!V11</f>
        <v>2.8117727583846679</v>
      </c>
      <c r="J12" s="171">
        <f ca="1">'Input Data'!J11</f>
        <v>1135.6099999999999</v>
      </c>
      <c r="K12" s="171">
        <f ca="1">'Input Data'!N11</f>
        <v>188930.34099999996</v>
      </c>
      <c r="L12" s="172" t="str">
        <f t="shared" ca="1" si="0"/>
        <v>VACANT</v>
      </c>
      <c r="M12" s="165">
        <f>'Input Data'!O11</f>
        <v>0</v>
      </c>
      <c r="N12" s="173" t="str">
        <f>'Input Data'!P11</f>
        <v>FIXED 3.75%</v>
      </c>
      <c r="O12" s="171">
        <f>'Input Data'!S11</f>
        <v>1145</v>
      </c>
      <c r="P12" s="171">
        <f ca="1">'Input Data'!T11</f>
        <v>-9.3900000000001</v>
      </c>
    </row>
    <row r="13" spans="1:16" ht="16" customHeight="1" x14ac:dyDescent="0.35">
      <c r="B13" s="165" t="str">
        <f>'Input Data'!B12</f>
        <v>L04</v>
      </c>
      <c r="C13" s="165" t="str">
        <f>'Input Data'!C12</f>
        <v>402</v>
      </c>
      <c r="D13" s="166" t="str">
        <f ca="1">IFERROR('Input Data'!D12&amp;" ("&amp;'Input Data'!E12&amp;")",'Input Data'!D12)</f>
        <v>MP TRAVEL PTY LTD (GRAY DAWES TRAVEL)</v>
      </c>
      <c r="E13" s="167">
        <f>'Input Data'!F12</f>
        <v>145.6</v>
      </c>
      <c r="F13" s="168">
        <f ca="1">IFERROR('Input Data'!G12,"")</f>
        <v>45658</v>
      </c>
      <c r="G13" s="168">
        <f ca="1">IFERROR('Input Data'!H12,"")</f>
        <v>47483</v>
      </c>
      <c r="H13" s="169">
        <f ca="1">'Input Data'!I12</f>
        <v>5</v>
      </c>
      <c r="I13" s="170">
        <f ca="1">'Input Data'!V12</f>
        <v>3.6495550992470909</v>
      </c>
      <c r="J13" s="171">
        <f ca="1">'Input Data'!J12</f>
        <v>1037.5</v>
      </c>
      <c r="K13" s="171">
        <f ca="1">'Input Data'!N12</f>
        <v>133384.12</v>
      </c>
      <c r="L13" s="172" t="str">
        <f t="shared" ca="1" si="0"/>
        <v>VACANT</v>
      </c>
      <c r="M13" s="165">
        <f>'Input Data'!O12</f>
        <v>0</v>
      </c>
      <c r="N13" s="173" t="str">
        <f>'Input Data'!P12</f>
        <v>FIXED 3.75%</v>
      </c>
      <c r="O13" s="171">
        <f>'Input Data'!S12</f>
        <v>1000</v>
      </c>
      <c r="P13" s="171">
        <f ca="1">'Input Data'!T12</f>
        <v>37.5</v>
      </c>
    </row>
    <row r="14" spans="1:16" ht="16" customHeight="1" x14ac:dyDescent="0.35">
      <c r="B14" s="201" t="str">
        <f>'Input Data'!B13</f>
        <v>L05</v>
      </c>
      <c r="C14" s="201" t="str">
        <f>'Input Data'!C13</f>
        <v>501</v>
      </c>
      <c r="D14" s="202" t="str">
        <f ca="1">IFERROR('Input Data'!D13&amp;" ("&amp;'Input Data'!E13&amp;")",'Input Data'!D13)</f>
        <v>MONTGOMERY INVESTMENT (MONTGOMERY INVESTMENT)</v>
      </c>
      <c r="E14" s="203">
        <f>'Input Data'!F13</f>
        <v>212.3</v>
      </c>
      <c r="F14" s="204">
        <f ca="1">IFERROR('Input Data'!G13,"")</f>
        <v>43770</v>
      </c>
      <c r="G14" s="204">
        <f ca="1">IFERROR('Input Data'!H13,"")</f>
        <v>46691</v>
      </c>
      <c r="H14" s="205">
        <f ca="1">'Input Data'!I13</f>
        <v>8</v>
      </c>
      <c r="I14" s="206">
        <f ca="1">'Input Data'!V13</f>
        <v>1.4811772758384667</v>
      </c>
      <c r="J14" s="207">
        <f ca="1">'Input Data'!J13</f>
        <v>1341.24</v>
      </c>
      <c r="K14" s="207">
        <f ca="1">'Input Data'!N13</f>
        <v>235383.49200000003</v>
      </c>
      <c r="L14" s="208" t="str">
        <f t="shared" ca="1" si="0"/>
        <v>VACANT</v>
      </c>
      <c r="M14" s="201">
        <f>'Input Data'!O13</f>
        <v>36</v>
      </c>
      <c r="N14" s="209" t="str">
        <f>'Input Data'!P13</f>
        <v>FIXED 4%</v>
      </c>
      <c r="O14" s="207">
        <f>'Input Data'!S13</f>
        <v>1155</v>
      </c>
      <c r="P14" s="207">
        <f ca="1">'Input Data'!T13</f>
        <v>186.24</v>
      </c>
    </row>
    <row r="15" spans="1:16" ht="16" customHeight="1" x14ac:dyDescent="0.35">
      <c r="B15" s="201" t="str">
        <f>'Input Data'!B14</f>
        <v>L05</v>
      </c>
      <c r="C15" s="201" t="str">
        <f>'Input Data'!C14</f>
        <v>502</v>
      </c>
      <c r="D15" s="202" t="str">
        <f ca="1">IFERROR('Input Data'!D14&amp;" ("&amp;'Input Data'!E14&amp;")",'Input Data'!D14)</f>
        <v>THREAT DEFENCE (THREAT DEFENCE PTY LTD)</v>
      </c>
      <c r="E15" s="203">
        <f>'Input Data'!F14</f>
        <v>163.80000000000001</v>
      </c>
      <c r="F15" s="204">
        <f ca="1">IFERROR('Input Data'!G14,"")</f>
        <v>45474</v>
      </c>
      <c r="G15" s="204">
        <f ca="1">IFERROR('Input Data'!H14,"")</f>
        <v>46568</v>
      </c>
      <c r="H15" s="205">
        <f ca="1">'Input Data'!I14</f>
        <v>3</v>
      </c>
      <c r="I15" s="206">
        <f ca="1">'Input Data'!V14</f>
        <v>1.1444216290212184</v>
      </c>
      <c r="J15" s="207">
        <f ca="1">'Input Data'!J14</f>
        <v>1016.75</v>
      </c>
      <c r="K15" s="207">
        <f ca="1">'Input Data'!N14</f>
        <v>124807.41000000003</v>
      </c>
      <c r="L15" s="208" t="str">
        <f t="shared" ca="1" si="0"/>
        <v>VACANT</v>
      </c>
      <c r="M15" s="201">
        <f>'Input Data'!O14</f>
        <v>0</v>
      </c>
      <c r="N15" s="209" t="str">
        <f>'Input Data'!P14</f>
        <v>FIXED 3.75%</v>
      </c>
      <c r="O15" s="207">
        <f>'Input Data'!S14</f>
        <v>1020</v>
      </c>
      <c r="P15" s="207">
        <f ca="1">'Input Data'!T14</f>
        <v>-3.25</v>
      </c>
    </row>
    <row r="16" spans="1:16" ht="16" customHeight="1" x14ac:dyDescent="0.35">
      <c r="B16" s="201" t="str">
        <f>'Input Data'!B15</f>
        <v>L06</v>
      </c>
      <c r="C16" s="201" t="str">
        <f>'Input Data'!C15</f>
        <v>601</v>
      </c>
      <c r="D16" s="202" t="str">
        <f ca="1">IFERROR('Input Data'!D15&amp;" ("&amp;'Input Data'!E15&amp;")",'Input Data'!D15)</f>
        <v>FULLCRM PTY LTD (FULLCRM PTY LTD)</v>
      </c>
      <c r="E16" s="203">
        <f>'Input Data'!F15</f>
        <v>226.1</v>
      </c>
      <c r="F16" s="204">
        <f ca="1">IFERROR('Input Data'!G15,"")</f>
        <v>44531</v>
      </c>
      <c r="G16" s="204">
        <f ca="1">IFERROR('Input Data'!H15,"")</f>
        <v>46418</v>
      </c>
      <c r="H16" s="205">
        <f ca="1">'Input Data'!I15</f>
        <v>5.2</v>
      </c>
      <c r="I16" s="206">
        <f ca="1">'Input Data'!V15</f>
        <v>0.73374401095140318</v>
      </c>
      <c r="J16" s="207">
        <f ca="1">'Input Data'!J15</f>
        <v>1251.3399999999999</v>
      </c>
      <c r="K16" s="207">
        <f ca="1">'Input Data'!N15</f>
        <v>251183.53399999999</v>
      </c>
      <c r="L16" s="208" t="str">
        <f t="shared" ca="1" si="0"/>
        <v>VACANT</v>
      </c>
      <c r="M16" s="201">
        <f>'Input Data'!O15</f>
        <v>0</v>
      </c>
      <c r="N16" s="209" t="str">
        <f>'Input Data'!P15</f>
        <v>LEASE RENEWAL</v>
      </c>
      <c r="O16" s="207">
        <f>'Input Data'!S15</f>
        <v>1165</v>
      </c>
      <c r="P16" s="207">
        <f ca="1">'Input Data'!T15</f>
        <v>86.339999999999918</v>
      </c>
    </row>
    <row r="17" spans="2:16" ht="16" customHeight="1" x14ac:dyDescent="0.35">
      <c r="B17" s="183" t="str">
        <f>'Input Data'!B16</f>
        <v>L06</v>
      </c>
      <c r="C17" s="183" t="str">
        <f>'Input Data'!C16</f>
        <v>602</v>
      </c>
      <c r="D17" s="184" t="str">
        <f ca="1">IFERROR('Input Data'!D16&amp;" ("&amp;'Input Data'!E16&amp;")",'Input Data'!D16)</f>
        <v>VACANT ()</v>
      </c>
      <c r="E17" s="185">
        <f>'Input Data'!F16</f>
        <v>152.1</v>
      </c>
      <c r="F17" s="186" t="str">
        <f ca="1">IFERROR('Input Data'!G16,"")</f>
        <v/>
      </c>
      <c r="G17" s="186" t="str">
        <f ca="1">IFERROR('Input Data'!H16,"")</f>
        <v/>
      </c>
      <c r="H17" s="187" t="str">
        <f ca="1">'Input Data'!I16</f>
        <v/>
      </c>
      <c r="I17" s="188">
        <f ca="1">'Input Data'!V16</f>
        <v>0</v>
      </c>
      <c r="J17" s="189">
        <f ca="1">'Input Data'!J16</f>
        <v>0</v>
      </c>
      <c r="K17" s="189">
        <f ca="1">'Input Data'!N16</f>
        <v>0</v>
      </c>
      <c r="L17" s="190" t="str">
        <f t="shared" ca="1" si="0"/>
        <v>VACANT</v>
      </c>
      <c r="M17" s="183">
        <f>'Input Data'!O16</f>
        <v>0</v>
      </c>
      <c r="N17" s="191" t="str">
        <f>'Input Data'!P16</f>
        <v>LEASE RENEWAL</v>
      </c>
      <c r="O17" s="189">
        <f>'Input Data'!S16</f>
        <v>1030</v>
      </c>
      <c r="P17" s="189" t="str">
        <f ca="1">'Input Data'!T16</f>
        <v/>
      </c>
    </row>
    <row r="18" spans="2:16" ht="16" customHeight="1" x14ac:dyDescent="0.35">
      <c r="B18" s="201" t="str">
        <f>'Input Data'!B17</f>
        <v>L07</v>
      </c>
      <c r="C18" s="201" t="str">
        <f>'Input Data'!C17</f>
        <v>701</v>
      </c>
      <c r="D18" s="202" t="str">
        <f ca="1">IFERROR('Input Data'!D17&amp;" ("&amp;'Input Data'!E17&amp;")",'Input Data'!D17)</f>
        <v>PINPOINT TALENT PTY LTD (PINPOINT TALENT PTY LTD)</v>
      </c>
      <c r="E18" s="203">
        <f>'Input Data'!F17</f>
        <v>210.5</v>
      </c>
      <c r="F18" s="204">
        <f ca="1">IFERROR('Input Data'!G17,"")</f>
        <v>45145</v>
      </c>
      <c r="G18" s="204">
        <f ca="1">IFERROR('Input Data'!H17,"")</f>
        <v>46605</v>
      </c>
      <c r="H18" s="205">
        <f ca="1">'Input Data'!I17</f>
        <v>4</v>
      </c>
      <c r="I18" s="206">
        <f ca="1">'Input Data'!V17</f>
        <v>1.2457221081451062</v>
      </c>
      <c r="J18" s="207">
        <f ca="1">'Input Data'!J17</f>
        <v>1173.54</v>
      </c>
      <c r="K18" s="207">
        <f ca="1">'Input Data'!N17</f>
        <v>178512.44999999998</v>
      </c>
      <c r="L18" s="208" t="str">
        <f t="shared" ca="1" si="0"/>
        <v>VACANT</v>
      </c>
      <c r="M18" s="201">
        <f>'Input Data'!O17</f>
        <v>0</v>
      </c>
      <c r="N18" s="209" t="str">
        <f>'Input Data'!P17</f>
        <v>FIXED 4%</v>
      </c>
      <c r="O18" s="207">
        <f>'Input Data'!S17</f>
        <v>1175</v>
      </c>
      <c r="P18" s="207">
        <f ca="1">'Input Data'!T17</f>
        <v>-1.4600000000000364</v>
      </c>
    </row>
    <row r="19" spans="2:16" ht="16" customHeight="1" x14ac:dyDescent="0.35">
      <c r="B19" s="192" t="str">
        <f>'Input Data'!B18</f>
        <v>L07</v>
      </c>
      <c r="C19" s="192" t="str">
        <f>'Input Data'!C18</f>
        <v>702</v>
      </c>
      <c r="D19" s="193" t="str">
        <f ca="1">IFERROR('Input Data'!D18&amp;" ("&amp;'Input Data'!E18&amp;")",'Input Data'!D18)</f>
        <v>SATELLITE OFFICE PTY LTD (SATELLITE OFFICE PTY LTD)</v>
      </c>
      <c r="E19" s="194">
        <f>'Input Data'!F18</f>
        <v>163.9</v>
      </c>
      <c r="F19" s="195">
        <f ca="1">IFERROR('Input Data'!G18,"")</f>
        <v>45444</v>
      </c>
      <c r="G19" s="195">
        <f ca="1">IFERROR('Input Data'!H18,"")</f>
        <v>46904</v>
      </c>
      <c r="H19" s="196">
        <f ca="1">'Input Data'!I18</f>
        <v>4</v>
      </c>
      <c r="I19" s="197">
        <f ca="1">'Input Data'!V18</f>
        <v>2.0643394934976045</v>
      </c>
      <c r="J19" s="198">
        <f ca="1">'Input Data'!J18</f>
        <v>1016.75</v>
      </c>
      <c r="K19" s="198">
        <f ca="1">'Input Data'!N18</f>
        <v>126383.76500000001</v>
      </c>
      <c r="L19" s="199" t="str">
        <f t="shared" ca="1" si="0"/>
        <v>VACANT</v>
      </c>
      <c r="M19" s="192">
        <f>'Input Data'!O18</f>
        <v>24</v>
      </c>
      <c r="N19" s="200" t="str">
        <f>'Input Data'!P18</f>
        <v>FIXED 3.75%</v>
      </c>
      <c r="O19" s="198">
        <f>'Input Data'!S18</f>
        <v>1040</v>
      </c>
      <c r="P19" s="198">
        <f ca="1">'Input Data'!T18</f>
        <v>-23.25</v>
      </c>
    </row>
    <row r="20" spans="2:16" ht="16" customHeight="1" x14ac:dyDescent="0.35">
      <c r="B20" s="210" t="str">
        <f>'Input Data'!B19</f>
        <v>L08</v>
      </c>
      <c r="C20" s="210" t="str">
        <f>'Input Data'!C19</f>
        <v>801</v>
      </c>
      <c r="D20" s="211" t="str">
        <f ca="1">IFERROR('Input Data'!D19&amp;" ("&amp;'Input Data'!E19&amp;")",'Input Data'!D19)</f>
        <v>ARKANCE AUSTRALIA PTY LTD (ARKANCE AUSTRALIA PTY LTD)</v>
      </c>
      <c r="E20" s="212">
        <f>'Input Data'!F19</f>
        <v>222</v>
      </c>
      <c r="F20" s="213">
        <f ca="1">IFERROR('Input Data'!G19,"")</f>
        <v>45931</v>
      </c>
      <c r="G20" s="213">
        <f ca="1">IFERROR('Input Data'!H19,"")</f>
        <v>47756</v>
      </c>
      <c r="H20" s="214">
        <f ca="1">'Input Data'!I19</f>
        <v>5</v>
      </c>
      <c r="I20" s="215">
        <f ca="1">'Input Data'!V19</f>
        <v>4.3969883641341543</v>
      </c>
      <c r="J20" s="216">
        <f ca="1">'Input Data'!J19</f>
        <v>1300</v>
      </c>
      <c r="K20" s="216">
        <f ca="1">'Input Data'!N19</f>
        <v>242424</v>
      </c>
      <c r="L20" s="217" t="str">
        <f t="shared" ca="1" si="0"/>
        <v>VACANT</v>
      </c>
      <c r="M20" s="210">
        <f>'Input Data'!O19</f>
        <v>0</v>
      </c>
      <c r="N20" s="218" t="str">
        <f>'Input Data'!P19</f>
        <v>FIXED 3.75%</v>
      </c>
      <c r="O20" s="216">
        <f>'Input Data'!S19</f>
        <v>1300</v>
      </c>
      <c r="P20" s="216">
        <f ca="1">'Input Data'!T19</f>
        <v>0</v>
      </c>
    </row>
    <row r="21" spans="2:16" ht="16" customHeight="1" x14ac:dyDescent="0.35">
      <c r="B21" s="192" t="str">
        <f>'Input Data'!B20</f>
        <v>L08</v>
      </c>
      <c r="C21" s="192" t="str">
        <f>'Input Data'!C20</f>
        <v>802</v>
      </c>
      <c r="D21" s="193" t="str">
        <f ca="1">IFERROR('Input Data'!D20&amp;" ("&amp;'Input Data'!E20&amp;")",'Input Data'!D20)</f>
        <v>HILLIARD &amp; BERRY (HILLIARD &amp; BERRY)</v>
      </c>
      <c r="E21" s="194">
        <f>'Input Data'!F20</f>
        <v>138.5</v>
      </c>
      <c r="F21" s="195">
        <f ca="1">IFERROR('Input Data'!G20,"")</f>
        <v>41654</v>
      </c>
      <c r="G21" s="195">
        <f ca="1">IFERROR('Input Data'!H20,"")</f>
        <v>46965</v>
      </c>
      <c r="H21" s="196">
        <f ca="1">'Input Data'!I20</f>
        <v>14.6</v>
      </c>
      <c r="I21" s="197">
        <f ca="1">'Input Data'!V20</f>
        <v>2.2313483915126624</v>
      </c>
      <c r="J21" s="198">
        <f ca="1">'Input Data'!J20</f>
        <v>843.65</v>
      </c>
      <c r="K21" s="198">
        <f ca="1">'Input Data'!N20</f>
        <v>116845.52499999999</v>
      </c>
      <c r="L21" s="199" t="str">
        <f t="shared" ca="1" si="0"/>
        <v>VACANT</v>
      </c>
      <c r="M21" s="192">
        <f>'Input Data'!O20</f>
        <v>0</v>
      </c>
      <c r="N21" s="200" t="str">
        <f>'Input Data'!P20</f>
        <v>FIXED 4%</v>
      </c>
      <c r="O21" s="198">
        <f>'Input Data'!S20</f>
        <v>1030</v>
      </c>
      <c r="P21" s="198">
        <f ca="1">'Input Data'!T20</f>
        <v>-186.35000000000002</v>
      </c>
    </row>
    <row r="22" spans="2:16" ht="16" customHeight="1" x14ac:dyDescent="0.35">
      <c r="B22" s="183" t="str">
        <f>'Input Data'!B21</f>
        <v>L09</v>
      </c>
      <c r="C22" s="183" t="str">
        <f>'Input Data'!C21</f>
        <v>901</v>
      </c>
      <c r="D22" s="184" t="str">
        <f ca="1">IFERROR('Input Data'!D21&amp;" ("&amp;'Input Data'!E21&amp;")",'Input Data'!D21)</f>
        <v>AITKEN INVESTMENT MANAGEMENT PTY LTD (AITKEN INVESTMENT MANAGEMENT)</v>
      </c>
      <c r="E22" s="185">
        <f>'Input Data'!F21</f>
        <v>52.8</v>
      </c>
      <c r="F22" s="186">
        <f ca="1">IFERROR('Input Data'!G21,"")</f>
        <v>44727</v>
      </c>
      <c r="G22" s="186">
        <f ca="1">IFERROR('Input Data'!H21,"")</f>
        <v>47648</v>
      </c>
      <c r="H22" s="187">
        <f ca="1">'Input Data'!I21</f>
        <v>3</v>
      </c>
      <c r="I22" s="188">
        <f ca="1">'Input Data'!V21</f>
        <v>4.1013004791238874</v>
      </c>
      <c r="J22" s="189">
        <f ca="1">'Input Data'!J21</f>
        <v>1287.3800000000001</v>
      </c>
      <c r="K22" s="189">
        <f ca="1">'Input Data'!N21</f>
        <v>51579.264000000003</v>
      </c>
      <c r="L22" s="190" t="str">
        <f t="shared" ca="1" si="0"/>
        <v>VACANT</v>
      </c>
      <c r="M22" s="183">
        <f>'Input Data'!O21</f>
        <v>0</v>
      </c>
      <c r="N22" s="191" t="str">
        <f>'Input Data'!P21</f>
        <v>FIXED 4%</v>
      </c>
      <c r="O22" s="189">
        <f>'Input Data'!S21</f>
        <v>1350</v>
      </c>
      <c r="P22" s="189">
        <f ca="1">'Input Data'!T21</f>
        <v>-62.619999999999891</v>
      </c>
    </row>
    <row r="23" spans="2:16" ht="16" customHeight="1" x14ac:dyDescent="0.35">
      <c r="B23" s="210" t="str">
        <f>'Input Data'!B22</f>
        <v>L09</v>
      </c>
      <c r="C23" s="210" t="str">
        <f>'Input Data'!C22</f>
        <v>902&amp;3</v>
      </c>
      <c r="D23" s="211" t="str">
        <f ca="1">IFERROR('Input Data'!D22&amp;" ("&amp;'Input Data'!E22&amp;")",'Input Data'!D22)</f>
        <v>CAPITAL E MARKETING AND EVENTS PTY LTD (CAPITAL E MARKETING AND EVENTS)</v>
      </c>
      <c r="E23" s="212">
        <f>'Input Data'!F22</f>
        <v>303</v>
      </c>
      <c r="F23" s="213">
        <f ca="1">IFERROR('Input Data'!G22,"")</f>
        <v>44562</v>
      </c>
      <c r="G23" s="213">
        <f ca="1">IFERROR('Input Data'!H22,"")</f>
        <v>47573</v>
      </c>
      <c r="H23" s="214">
        <f ca="1">'Input Data'!I22</f>
        <v>8.1999999999999993</v>
      </c>
      <c r="I23" s="215">
        <f ca="1">'Input Data'!V22</f>
        <v>3.8959616700889801</v>
      </c>
      <c r="J23" s="216">
        <f ca="1">'Input Data'!J22</f>
        <v>1141.25</v>
      </c>
      <c r="K23" s="216">
        <f ca="1">'Input Data'!N22</f>
        <v>255323.07</v>
      </c>
      <c r="L23" s="217" t="str">
        <f t="shared" ca="1" si="0"/>
        <v>VACANT</v>
      </c>
      <c r="M23" s="210">
        <f>'Input Data'!O22</f>
        <v>0</v>
      </c>
      <c r="N23" s="218" t="str">
        <f>'Input Data'!P22</f>
        <v>FIXED 3.75%</v>
      </c>
      <c r="O23" s="216">
        <f>'Input Data'!S22</f>
        <v>1125</v>
      </c>
      <c r="P23" s="216">
        <f ca="1">'Input Data'!T22</f>
        <v>16.25</v>
      </c>
    </row>
    <row r="24" spans="2:16" ht="16" customHeight="1" x14ac:dyDescent="0.35">
      <c r="B24" s="165" t="str">
        <f>'Input Data'!B23</f>
        <v>L10</v>
      </c>
      <c r="C24" s="165" t="str">
        <f>'Input Data'!C23</f>
        <v>1001&amp;2</v>
      </c>
      <c r="D24" s="166" t="str">
        <f ca="1">IFERROR('Input Data'!D23&amp;" ("&amp;'Input Data'!E23&amp;")",'Input Data'!D23)</f>
        <v>CONNECTUS SERVICES PTY LTD (CONNECTUS)</v>
      </c>
      <c r="E24" s="167">
        <f>'Input Data'!F23</f>
        <v>363.2</v>
      </c>
      <c r="F24" s="168">
        <f ca="1">IFERROR('Input Data'!G23,"")</f>
        <v>45261</v>
      </c>
      <c r="G24" s="168">
        <f ca="1">IFERROR('Input Data'!H23,"")</f>
        <v>47452</v>
      </c>
      <c r="H24" s="169">
        <f ca="1">'Input Data'!I23</f>
        <v>6</v>
      </c>
      <c r="I24" s="170">
        <f ca="1">'Input Data'!V23</f>
        <v>3.5646817248459959</v>
      </c>
      <c r="J24" s="171">
        <f ca="1">'Input Data'!J23</f>
        <v>1189.67</v>
      </c>
      <c r="K24" s="171">
        <f ca="1">'Input Data'!N23</f>
        <v>317550.18400000001</v>
      </c>
      <c r="L24" s="172" t="str">
        <f t="shared" ca="1" si="0"/>
        <v>VACANT</v>
      </c>
      <c r="M24" s="165">
        <f>'Input Data'!O23</f>
        <v>48</v>
      </c>
      <c r="N24" s="173" t="str">
        <f>'Input Data'!P23</f>
        <v>FIXED</v>
      </c>
      <c r="O24" s="171">
        <f>'Input Data'!S23</f>
        <v>1200</v>
      </c>
      <c r="P24" s="171">
        <f ca="1">'Input Data'!T23</f>
        <v>-10.329999999999927</v>
      </c>
    </row>
    <row r="25" spans="2:16" ht="16" customHeight="1" x14ac:dyDescent="0.35">
      <c r="B25" s="183" t="str">
        <f>'Input Data'!B24</f>
        <v>L11</v>
      </c>
      <c r="C25" s="183" t="str">
        <f>'Input Data'!C24</f>
        <v>1101</v>
      </c>
      <c r="D25" s="184" t="str">
        <f ca="1">IFERROR('Input Data'!D24&amp;" ("&amp;'Input Data'!E24&amp;")",'Input Data'!D24)</f>
        <v>MICHAEL FLEGG PTY LTD (MICHAEL FLEGG PTY LTD)</v>
      </c>
      <c r="E25" s="185">
        <f>'Input Data'!F24</f>
        <v>62.4</v>
      </c>
      <c r="F25" s="186">
        <f ca="1">IFERROR('Input Data'!G24,"")</f>
        <v>44531</v>
      </c>
      <c r="G25" s="186">
        <f ca="1">IFERROR('Input Data'!H24,"")</f>
        <v>46356</v>
      </c>
      <c r="H25" s="187">
        <f ca="1">'Input Data'!I24</f>
        <v>5</v>
      </c>
      <c r="I25" s="188">
        <f ca="1">'Input Data'!V24</f>
        <v>0.56399726214921286</v>
      </c>
      <c r="J25" s="189">
        <f ca="1">'Input Data'!J24</f>
        <v>1368.73</v>
      </c>
      <c r="K25" s="189">
        <f ca="1">'Input Data'!N24</f>
        <v>85408.751999999993</v>
      </c>
      <c r="L25" s="190" t="str">
        <f t="shared" ca="1" si="0"/>
        <v>VACANT</v>
      </c>
      <c r="M25" s="183">
        <f>'Input Data'!O24</f>
        <v>0</v>
      </c>
      <c r="N25" s="191" t="str">
        <f>'Input Data'!P24</f>
        <v>LEASE RENEWAL</v>
      </c>
      <c r="O25" s="189">
        <f>'Input Data'!S24</f>
        <v>1405</v>
      </c>
      <c r="P25" s="189">
        <f ca="1">'Input Data'!T24</f>
        <v>-36.269999999999982</v>
      </c>
    </row>
    <row r="26" spans="2:16" ht="16" customHeight="1" x14ac:dyDescent="0.35">
      <c r="B26" s="183" t="str">
        <f>'Input Data'!B25</f>
        <v>L11</v>
      </c>
      <c r="C26" s="183" t="str">
        <f>'Input Data'!C25</f>
        <v>1102</v>
      </c>
      <c r="D26" s="184" t="str">
        <f ca="1">IFERROR('Input Data'!D25&amp;" ("&amp;'Input Data'!E25&amp;")",'Input Data'!D25)</f>
        <v>PHARMX TECHNOLOGIES LIMITED (PHARMX TECHNOLOGIES LIMITED)</v>
      </c>
      <c r="E26" s="185">
        <f>'Input Data'!F25</f>
        <v>133.1</v>
      </c>
      <c r="F26" s="186">
        <f ca="1">IFERROR('Input Data'!G25,"")</f>
        <v>45153</v>
      </c>
      <c r="G26" s="186">
        <f ca="1">IFERROR('Input Data'!H25,"")</f>
        <v>46248</v>
      </c>
      <c r="H26" s="187">
        <f ca="1">'Input Data'!I25</f>
        <v>3</v>
      </c>
      <c r="I26" s="188">
        <f ca="1">'Input Data'!V25</f>
        <v>0.26830937713894593</v>
      </c>
      <c r="J26" s="189">
        <f ca="1">'Input Data'!J25</f>
        <v>1222.21</v>
      </c>
      <c r="K26" s="189">
        <f ca="1">'Input Data'!N25</f>
        <v>123571.39099999997</v>
      </c>
      <c r="L26" s="190" t="str">
        <f t="shared" ca="1" si="0"/>
        <v>VACANT</v>
      </c>
      <c r="M26" s="183">
        <f>'Input Data'!O25</f>
        <v>0</v>
      </c>
      <c r="N26" s="191" t="str">
        <f>'Input Data'!P25</f>
        <v>LEASE RENEWAL</v>
      </c>
      <c r="O26" s="189">
        <f>'Input Data'!S25</f>
        <v>1250</v>
      </c>
      <c r="P26" s="189">
        <f ca="1">'Input Data'!T25</f>
        <v>-27.789999999999964</v>
      </c>
    </row>
    <row r="27" spans="2:16" ht="16" customHeight="1" x14ac:dyDescent="0.35">
      <c r="B27" s="183" t="str">
        <f>'Input Data'!B26</f>
        <v>L12</v>
      </c>
      <c r="C27" s="183" t="str">
        <f>'Input Data'!C26</f>
        <v>L12</v>
      </c>
      <c r="D27" s="184" t="str">
        <f ca="1">IFERROR('Input Data'!D26&amp;" ("&amp;'Input Data'!E26&amp;")",'Input Data'!D26)</f>
        <v>DAKOTA CORPORATION (OWNER OCCUPIED)</v>
      </c>
      <c r="E27" s="185">
        <f>'Input Data'!F26</f>
        <v>223.7</v>
      </c>
      <c r="F27" s="186">
        <f ca="1">IFERROR('Input Data'!G26,"")</f>
        <v>42736</v>
      </c>
      <c r="G27" s="186">
        <f ca="1">IFERROR('Input Data'!H26,"")</f>
        <v>47118</v>
      </c>
      <c r="H27" s="187">
        <f ca="1">'Input Data'!I26</f>
        <v>7</v>
      </c>
      <c r="I27" s="188">
        <f ca="1">'Input Data'!V26</f>
        <v>2.6502395619438741</v>
      </c>
      <c r="J27" s="189">
        <f>'Input Data'!J26</f>
        <v>0</v>
      </c>
      <c r="K27" s="189">
        <f ca="1">'Input Data'!N26</f>
        <v>0</v>
      </c>
      <c r="L27" s="190" t="str">
        <f t="shared" ca="1" si="0"/>
        <v>VACANT</v>
      </c>
      <c r="M27" s="183">
        <f>'Input Data'!O26</f>
        <v>0</v>
      </c>
      <c r="N27" s="191" t="str">
        <f>'Input Data'!P26</f>
        <v>MONTHLY TENANT</v>
      </c>
      <c r="O27" s="189">
        <f>'Input Data'!S26</f>
        <v>384</v>
      </c>
      <c r="P27" s="189" t="str">
        <f>'Input Data'!T26</f>
        <v/>
      </c>
    </row>
    <row r="28" spans="2:16" ht="16" customHeight="1" x14ac:dyDescent="0.35">
      <c r="B28" s="219" t="str">
        <f>'Input Data'!B27</f>
        <v>L11</v>
      </c>
      <c r="C28" s="219" t="str">
        <f>'Input Data'!C27</f>
        <v>1103</v>
      </c>
      <c r="D28" s="220" t="str">
        <f ca="1">IFERROR('Input Data'!D27&amp;" ("&amp;'Input Data'!E27&amp;")",'Input Data'!D27)</f>
        <v>VACANT ()</v>
      </c>
      <c r="E28" s="221">
        <f>'Input Data'!F27</f>
        <v>160.30000000000001</v>
      </c>
      <c r="F28" s="222" t="str">
        <f ca="1">IFERROR('Input Data'!G27,"")</f>
        <v/>
      </c>
      <c r="G28" s="222" t="str">
        <f ca="1">IFERROR('Input Data'!H27,"")</f>
        <v/>
      </c>
      <c r="H28" s="223" t="str">
        <f ca="1">'Input Data'!I27</f>
        <v/>
      </c>
      <c r="I28" s="224">
        <f ca="1">'Input Data'!V27</f>
        <v>0</v>
      </c>
      <c r="J28" s="225">
        <f>'Input Data'!J27</f>
        <v>0</v>
      </c>
      <c r="K28" s="225">
        <f ca="1">'Input Data'!N27</f>
        <v>0</v>
      </c>
      <c r="L28" s="226" t="str">
        <f t="shared" ca="1" si="0"/>
        <v>VACANT</v>
      </c>
      <c r="M28" s="219">
        <f>'Input Data'!O27</f>
        <v>0</v>
      </c>
      <c r="N28" s="227">
        <f>'Input Data'!P27</f>
        <v>0</v>
      </c>
      <c r="O28" s="225">
        <f>'Input Data'!S27</f>
        <v>1060</v>
      </c>
      <c r="P28" s="225" t="str">
        <f>'Input Data'!T27</f>
        <v/>
      </c>
    </row>
    <row r="29" spans="2:16" ht="20" customHeight="1" x14ac:dyDescent="0.35">
      <c r="B29" s="655" t="s">
        <v>341</v>
      </c>
      <c r="C29" s="526"/>
      <c r="E29" s="229">
        <f>SUM('Input Data'!F3:F27)</f>
        <v>4704.5</v>
      </c>
      <c r="F29" s="228"/>
      <c r="G29" s="228"/>
      <c r="H29" s="228"/>
      <c r="I29" s="230">
        <f ca="1">IFERROR(SUMPRODUCT(('Input Data'!H3:H25&lt;&gt;"")*'Input Data'!F3:F25*MAX(('Input Data'!H3:H25-TODAY())/365.25,0))/SUMPRODUCT(('Input Data'!H3:H25&lt;&gt;"")*'Input Data'!F3:F25),0)</f>
        <v>0</v>
      </c>
      <c r="J29" s="228"/>
      <c r="K29" s="231">
        <f ca="1">SUM('Input Data'!N3:N27)</f>
        <v>3894924.4459999995</v>
      </c>
      <c r="L29" s="228"/>
      <c r="M29" s="228"/>
      <c r="N29" s="228"/>
      <c r="O29" s="228"/>
      <c r="P29" s="228"/>
    </row>
  </sheetData>
  <mergeCells count="3">
    <mergeCell ref="A1:O1"/>
    <mergeCell ref="B29:C29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7"/>
  <sheetViews>
    <sheetView showGridLines="0" zoomScaleNormal="100" workbookViewId="0">
      <pane ySplit="2" topLeftCell="A3" activePane="bottomLeft" state="frozen"/>
      <selection pane="bottomLeft" activeCell="A20" sqref="A20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657" t="s">
        <v>342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  <c r="O1" s="524"/>
      <c r="P1" s="524"/>
      <c r="Q1" s="524"/>
      <c r="R1" s="524"/>
      <c r="S1" s="524"/>
      <c r="T1" s="524"/>
      <c r="U1" s="524"/>
      <c r="V1" s="524"/>
    </row>
    <row r="2" spans="1:22" ht="31.5" customHeight="1" x14ac:dyDescent="0.35">
      <c r="A2" s="10" t="s">
        <v>81</v>
      </c>
      <c r="B2" s="10" t="s">
        <v>175</v>
      </c>
      <c r="C2" s="10" t="s">
        <v>176</v>
      </c>
      <c r="D2" s="10" t="s">
        <v>177</v>
      </c>
      <c r="E2" s="10" t="s">
        <v>28</v>
      </c>
      <c r="F2" s="10" t="s">
        <v>178</v>
      </c>
      <c r="G2" s="10" t="s">
        <v>58</v>
      </c>
      <c r="H2" s="10" t="s">
        <v>179</v>
      </c>
      <c r="I2" s="10" t="s">
        <v>343</v>
      </c>
      <c r="J2" s="10" t="s">
        <v>344</v>
      </c>
      <c r="K2" s="10" t="s">
        <v>345</v>
      </c>
      <c r="L2" s="10" t="s">
        <v>84</v>
      </c>
      <c r="M2" s="10" t="s">
        <v>346</v>
      </c>
      <c r="N2" s="10" t="s">
        <v>183</v>
      </c>
      <c r="O2" s="10" t="s">
        <v>184</v>
      </c>
      <c r="P2" s="10" t="s">
        <v>185</v>
      </c>
      <c r="Q2" s="10" t="s">
        <v>347</v>
      </c>
      <c r="R2" s="10" t="s">
        <v>187</v>
      </c>
      <c r="S2" s="10" t="s">
        <v>348</v>
      </c>
      <c r="T2" s="10" t="s">
        <v>349</v>
      </c>
      <c r="U2" s="10" t="s">
        <v>350</v>
      </c>
      <c r="V2" s="10" t="s">
        <v>193</v>
      </c>
    </row>
    <row r="3" spans="1:22" ht="15.75" customHeight="1" x14ac:dyDescent="0.35">
      <c r="A3" s="232" t="str">
        <f>'Input Data'!B26</f>
        <v>L12</v>
      </c>
      <c r="B3" s="233" t="str">
        <f>'Input Data'!C26</f>
        <v>L12</v>
      </c>
      <c r="C3" s="234" t="str">
        <f ca="1">'Input Data'!D26</f>
        <v>DAKOTA CORPORATION</v>
      </c>
      <c r="D3" s="234" t="str">
        <f ca="1">'Input Data'!E26</f>
        <v>OWNER OCCUPIED</v>
      </c>
      <c r="E3" s="137">
        <f>'Input Data'!F26</f>
        <v>223.7</v>
      </c>
      <c r="F3" s="235">
        <f ca="1">IFERROR('Input Data'!G26,"")</f>
        <v>42736</v>
      </c>
      <c r="G3" s="235">
        <f ca="1">IFERROR('Input Data'!H26,"")</f>
        <v>47118</v>
      </c>
      <c r="H3" s="236">
        <f ca="1">'Input Data'!I26</f>
        <v>7</v>
      </c>
      <c r="I3" s="136">
        <f ca="1">'Input Data'!V26</f>
        <v>2.6502395619438741</v>
      </c>
      <c r="J3" s="134">
        <f>'Input Data'!J26</f>
        <v>0</v>
      </c>
      <c r="K3" s="134">
        <f>'Input Data'!S26</f>
        <v>384</v>
      </c>
      <c r="L3" s="134">
        <f ca="1">'Input Data'!N26</f>
        <v>0</v>
      </c>
      <c r="M3" s="134">
        <f>'Input Data'!L26</f>
        <v>0</v>
      </c>
      <c r="N3" s="134">
        <f>'Input Data'!M26</f>
        <v>0</v>
      </c>
      <c r="O3" s="237">
        <f>'Input Data'!O26</f>
        <v>0</v>
      </c>
      <c r="P3" s="238" t="str">
        <f>'Input Data'!P26</f>
        <v>MONTHLY TENANT</v>
      </c>
      <c r="Q3" s="235">
        <f>IFERROR('Input Data'!Q26,"")</f>
        <v>45291</v>
      </c>
      <c r="R3" s="238" t="str">
        <f>'Input Data'!R26</f>
        <v>N/A</v>
      </c>
      <c r="S3" s="134" t="str">
        <f>'Input Data'!T26</f>
        <v/>
      </c>
      <c r="T3" s="135" t="str">
        <f>'Input Data'!U26</f>
        <v/>
      </c>
      <c r="U3" s="137">
        <f ca="1">'Input Data'!W26</f>
        <v>592.85859000684457</v>
      </c>
      <c r="V3" s="239">
        <f>'Input Data'!X26</f>
        <v>0</v>
      </c>
    </row>
    <row r="4" spans="1:22" ht="15.75" customHeight="1" x14ac:dyDescent="0.35">
      <c r="A4" s="232" t="str">
        <f>'Input Data'!B21</f>
        <v>L09</v>
      </c>
      <c r="B4" s="233" t="str">
        <f>'Input Data'!C21</f>
        <v>901</v>
      </c>
      <c r="C4" s="234" t="str">
        <f ca="1">'Input Data'!D21</f>
        <v>AITKEN INVESTMENT MANAGEMENT PTY LTD</v>
      </c>
      <c r="D4" s="234" t="str">
        <f ca="1">'Input Data'!E21</f>
        <v>AITKEN INVESTMENT MANAGEMENT</v>
      </c>
      <c r="E4" s="137">
        <f>'Input Data'!F21</f>
        <v>52.8</v>
      </c>
      <c r="F4" s="235">
        <f ca="1">IFERROR('Input Data'!G21,"")</f>
        <v>44727</v>
      </c>
      <c r="G4" s="235">
        <f ca="1">IFERROR('Input Data'!H21,"")</f>
        <v>47648</v>
      </c>
      <c r="H4" s="236">
        <f ca="1">'Input Data'!I21</f>
        <v>3</v>
      </c>
      <c r="I4" s="136">
        <f ca="1">'Input Data'!V21</f>
        <v>4.1013004791238874</v>
      </c>
      <c r="J4" s="134">
        <f ca="1">'Input Data'!J21</f>
        <v>1287.3800000000001</v>
      </c>
      <c r="K4" s="134">
        <f>'Input Data'!S21</f>
        <v>1350</v>
      </c>
      <c r="L4" s="134">
        <f ca="1">'Input Data'!N21</f>
        <v>51579.264000000003</v>
      </c>
      <c r="M4" s="134">
        <f>'Input Data'!L21</f>
        <v>-16394.400000000001</v>
      </c>
      <c r="N4" s="134">
        <f>'Input Data'!M21</f>
        <v>3780</v>
      </c>
      <c r="O4" s="237">
        <f>'Input Data'!O21</f>
        <v>0</v>
      </c>
      <c r="P4" s="238" t="str">
        <f>'Input Data'!P21</f>
        <v>FIXED 4%</v>
      </c>
      <c r="Q4" s="235">
        <f>IFERROR('Input Data'!Q21,"")</f>
        <v>46188</v>
      </c>
      <c r="R4" s="238" t="str">
        <f>'Input Data'!R21</f>
        <v>Net</v>
      </c>
      <c r="S4" s="134">
        <f ca="1">'Input Data'!T21</f>
        <v>-62.619999999999891</v>
      </c>
      <c r="T4" s="135">
        <f ca="1">'Input Data'!U21</f>
        <v>-4.6385185185185106E-2</v>
      </c>
      <c r="U4" s="137">
        <f ca="1">'Input Data'!W21</f>
        <v>216.54866529774125</v>
      </c>
      <c r="V4" s="239">
        <f>'Input Data'!X21</f>
        <v>0</v>
      </c>
    </row>
    <row r="5" spans="1:22" ht="15.75" customHeight="1" x14ac:dyDescent="0.35">
      <c r="A5" s="240" t="str">
        <f>'Input Data'!B16</f>
        <v>L06</v>
      </c>
      <c r="B5" s="240" t="str">
        <f>'Input Data'!C16</f>
        <v>602</v>
      </c>
      <c r="C5" s="241" t="str">
        <f ca="1">'Input Data'!D16</f>
        <v>VACANT</v>
      </c>
      <c r="D5" s="241" t="str">
        <f ca="1">'Input Data'!E16</f>
        <v/>
      </c>
      <c r="E5" s="133">
        <f>'Input Data'!F16</f>
        <v>152.1</v>
      </c>
      <c r="F5" s="242" t="str">
        <f ca="1">IFERROR('Input Data'!G16,"")</f>
        <v/>
      </c>
      <c r="G5" s="242" t="str">
        <f ca="1">IFERROR('Input Data'!H16,"")</f>
        <v/>
      </c>
      <c r="H5" s="243" t="str">
        <f ca="1">'Input Data'!I16</f>
        <v/>
      </c>
      <c r="I5" s="132">
        <f ca="1">'Input Data'!V16</f>
        <v>0</v>
      </c>
      <c r="J5" s="130">
        <f ca="1">'Input Data'!J16</f>
        <v>0</v>
      </c>
      <c r="K5" s="130">
        <f>'Input Data'!S16</f>
        <v>1030</v>
      </c>
      <c r="L5" s="130">
        <f ca="1">'Input Data'!N16</f>
        <v>0</v>
      </c>
      <c r="M5" s="130">
        <f>'Input Data'!L16</f>
        <v>0</v>
      </c>
      <c r="N5" s="130">
        <f>'Input Data'!M16</f>
        <v>9900</v>
      </c>
      <c r="O5" s="244">
        <f>'Input Data'!O16</f>
        <v>0</v>
      </c>
      <c r="P5" s="245" t="str">
        <f>'Input Data'!P16</f>
        <v>LEASE RENEWAL</v>
      </c>
      <c r="Q5" s="242">
        <f>IFERROR('Input Data'!Q16,"")</f>
        <v>46143</v>
      </c>
      <c r="R5" s="245" t="str">
        <f>'Input Data'!R16</f>
        <v>Net</v>
      </c>
      <c r="S5" s="130" t="str">
        <f ca="1">'Input Data'!T16</f>
        <v/>
      </c>
      <c r="T5" s="131" t="str">
        <f ca="1">'Input Data'!U16</f>
        <v/>
      </c>
      <c r="U5" s="133">
        <f ca="1">'Input Data'!W16</f>
        <v>0</v>
      </c>
      <c r="V5" s="245">
        <f>'Input Data'!X16</f>
        <v>0</v>
      </c>
    </row>
    <row r="6" spans="1:22" ht="15.75" customHeight="1" x14ac:dyDescent="0.35">
      <c r="A6" s="240" t="str">
        <f>'Input Data'!B5</f>
        <v>L01</v>
      </c>
      <c r="B6" s="240" t="str">
        <f>'Input Data'!C5</f>
        <v>101&amp;2</v>
      </c>
      <c r="C6" s="241" t="str">
        <f ca="1">'Input Data'!D5</f>
        <v>BLITZEM PTY LTD</v>
      </c>
      <c r="D6" s="241" t="str">
        <f ca="1">'Input Data'!E5</f>
        <v>BLITZEM PTY LTD</v>
      </c>
      <c r="E6" s="133">
        <f>'Input Data'!F5</f>
        <v>162.4</v>
      </c>
      <c r="F6" s="242">
        <f ca="1">IFERROR('Input Data'!G5,"")</f>
        <v>42795</v>
      </c>
      <c r="G6" s="242">
        <f ca="1">IFERROR('Input Data'!H5,"")</f>
        <v>46203</v>
      </c>
      <c r="H6" s="243">
        <f ca="1">'Input Data'!I5</f>
        <v>9.3000000000000007</v>
      </c>
      <c r="I6" s="132">
        <f ca="1">'Input Data'!V5</f>
        <v>0.14510609171800137</v>
      </c>
      <c r="J6" s="130">
        <f ca="1">'Input Data'!J5</f>
        <v>1010.25</v>
      </c>
      <c r="K6" s="130">
        <f>'Input Data'!S5</f>
        <v>1115</v>
      </c>
      <c r="L6" s="130">
        <f ca="1">'Input Data'!N5</f>
        <v>164064.6</v>
      </c>
      <c r="M6" s="130">
        <f>'Input Data'!L5</f>
        <v>0</v>
      </c>
      <c r="N6" s="130">
        <f>'Input Data'!M5</f>
        <v>9936</v>
      </c>
      <c r="O6" s="244">
        <f>'Input Data'!O5</f>
        <v>0</v>
      </c>
      <c r="P6" s="245" t="str">
        <f>'Input Data'!P5</f>
        <v>LEASE RENEWAL</v>
      </c>
      <c r="Q6" s="242">
        <f>IFERROR('Input Data'!Q5,"")</f>
        <v>46203</v>
      </c>
      <c r="R6" s="245" t="str">
        <f>'Input Data'!R5</f>
        <v>Net</v>
      </c>
      <c r="S6" s="130">
        <f ca="1">'Input Data'!T5</f>
        <v>-104.75</v>
      </c>
      <c r="T6" s="131">
        <f ca="1">'Input Data'!U5</f>
        <v>-9.3946188340807174E-2</v>
      </c>
      <c r="U6" s="133">
        <f ca="1">'Input Data'!W5</f>
        <v>23.565229295003423</v>
      </c>
      <c r="V6" s="245">
        <f>'Input Data'!X5</f>
        <v>0</v>
      </c>
    </row>
    <row r="7" spans="1:22" ht="15.75" customHeight="1" x14ac:dyDescent="0.35">
      <c r="A7" s="240" t="str">
        <f>'Input Data'!B7</f>
        <v>L01</v>
      </c>
      <c r="B7" s="240" t="str">
        <f>'Input Data'!C7</f>
        <v>104</v>
      </c>
      <c r="C7" s="241" t="str">
        <f ca="1">'Input Data'!D7</f>
        <v>TJC#1 PTY LTD</v>
      </c>
      <c r="D7" s="241" t="str">
        <f ca="1">'Input Data'!E7</f>
        <v>TJC#1 PTY LTD</v>
      </c>
      <c r="E7" s="133">
        <f>'Input Data'!F7</f>
        <v>98.1</v>
      </c>
      <c r="F7" s="242">
        <f ca="1">IFERROR('Input Data'!G7,"")</f>
        <v>45139</v>
      </c>
      <c r="G7" s="242">
        <f ca="1">IFERROR('Input Data'!H7,"")</f>
        <v>46234</v>
      </c>
      <c r="H7" s="243">
        <f ca="1">'Input Data'!I7</f>
        <v>3</v>
      </c>
      <c r="I7" s="132">
        <f ca="1">'Input Data'!V7</f>
        <v>0.2299794661190965</v>
      </c>
      <c r="J7" s="130">
        <f ca="1">'Input Data'!J7</f>
        <v>973.44</v>
      </c>
      <c r="K7" s="130">
        <f>'Input Data'!S7</f>
        <v>960</v>
      </c>
      <c r="L7" s="130">
        <f ca="1">'Input Data'!N7</f>
        <v>76070.66399999999</v>
      </c>
      <c r="M7" s="130">
        <f>'Input Data'!L7</f>
        <v>-19423.8</v>
      </c>
      <c r="N7" s="130">
        <f>'Input Data'!M7</f>
        <v>4500</v>
      </c>
      <c r="O7" s="244">
        <f>'Input Data'!O7</f>
        <v>0</v>
      </c>
      <c r="P7" s="245" t="str">
        <f>'Input Data'!P7</f>
        <v>LEASE RENEWAL</v>
      </c>
      <c r="Q7" s="242">
        <f>IFERROR('Input Data'!Q7,"")</f>
        <v>46235</v>
      </c>
      <c r="R7" s="245" t="str">
        <f>'Input Data'!R7</f>
        <v>Net</v>
      </c>
      <c r="S7" s="130">
        <f ca="1">'Input Data'!T7</f>
        <v>13.440000000000055</v>
      </c>
      <c r="T7" s="131">
        <f ca="1">'Input Data'!U7</f>
        <v>1.4000000000000058E-2</v>
      </c>
      <c r="U7" s="133">
        <f ca="1">'Input Data'!W7</f>
        <v>22.560985626283365</v>
      </c>
      <c r="V7" s="245">
        <f>'Input Data'!X7</f>
        <v>0</v>
      </c>
    </row>
    <row r="8" spans="1:22" ht="15.75" customHeight="1" x14ac:dyDescent="0.35">
      <c r="A8" s="240" t="str">
        <f>'Input Data'!B25</f>
        <v>L11</v>
      </c>
      <c r="B8" s="240" t="str">
        <f>'Input Data'!C25</f>
        <v>1102</v>
      </c>
      <c r="C8" s="241" t="str">
        <f ca="1">'Input Data'!D25</f>
        <v>PHARMX TECHNOLOGIES LIMITED</v>
      </c>
      <c r="D8" s="241" t="str">
        <f ca="1">'Input Data'!E25</f>
        <v>PHARMX TECHNOLOGIES LIMITED</v>
      </c>
      <c r="E8" s="133">
        <f>'Input Data'!F25</f>
        <v>133.1</v>
      </c>
      <c r="F8" s="242">
        <f ca="1">IFERROR('Input Data'!G25,"")</f>
        <v>45153</v>
      </c>
      <c r="G8" s="242">
        <f ca="1">IFERROR('Input Data'!H25,"")</f>
        <v>46248</v>
      </c>
      <c r="H8" s="243">
        <f ca="1">'Input Data'!I25</f>
        <v>3</v>
      </c>
      <c r="I8" s="132">
        <f ca="1">'Input Data'!V25</f>
        <v>0.26830937713894593</v>
      </c>
      <c r="J8" s="130">
        <f ca="1">'Input Data'!J25</f>
        <v>1222.21</v>
      </c>
      <c r="K8" s="130">
        <f>'Input Data'!S25</f>
        <v>1250</v>
      </c>
      <c r="L8" s="130">
        <f ca="1">'Input Data'!N25</f>
        <v>123571.39099999997</v>
      </c>
      <c r="M8" s="130">
        <f>'Input Data'!L25</f>
        <v>-39104.76</v>
      </c>
      <c r="N8" s="130">
        <f>'Input Data'!M25</f>
        <v>5820</v>
      </c>
      <c r="O8" s="244">
        <f>'Input Data'!O25</f>
        <v>0</v>
      </c>
      <c r="P8" s="245" t="str">
        <f>'Input Data'!P25</f>
        <v>LEASE RENEWAL</v>
      </c>
      <c r="Q8" s="242">
        <f>IFERROR('Input Data'!Q25,"")</f>
        <v>46249</v>
      </c>
      <c r="R8" s="245" t="str">
        <f>'Input Data'!R25</f>
        <v>Net</v>
      </c>
      <c r="S8" s="130">
        <f ca="1">'Input Data'!T25</f>
        <v>-27.789999999999964</v>
      </c>
      <c r="T8" s="131">
        <f ca="1">'Input Data'!U25</f>
        <v>-2.2231999999999971E-2</v>
      </c>
      <c r="U8" s="133">
        <f ca="1">'Input Data'!W25</f>
        <v>35.7119780971937</v>
      </c>
      <c r="V8" s="245">
        <f>'Input Data'!X25</f>
        <v>0</v>
      </c>
    </row>
    <row r="9" spans="1:22" ht="15.75" customHeight="1" x14ac:dyDescent="0.35">
      <c r="A9" s="240" t="str">
        <f>'Input Data'!B24</f>
        <v>L11</v>
      </c>
      <c r="B9" s="240" t="str">
        <f>'Input Data'!C24</f>
        <v>1101</v>
      </c>
      <c r="C9" s="241" t="str">
        <f ca="1">'Input Data'!D24</f>
        <v>MICHAEL FLEGG PTY LTD</v>
      </c>
      <c r="D9" s="241" t="str">
        <f ca="1">'Input Data'!E24</f>
        <v>MICHAEL FLEGG PTY LTD</v>
      </c>
      <c r="E9" s="133">
        <f>'Input Data'!F24</f>
        <v>62.4</v>
      </c>
      <c r="F9" s="242">
        <f ca="1">IFERROR('Input Data'!G24,"")</f>
        <v>44531</v>
      </c>
      <c r="G9" s="242">
        <f ca="1">IFERROR('Input Data'!H24,"")</f>
        <v>46356</v>
      </c>
      <c r="H9" s="243">
        <f ca="1">'Input Data'!I24</f>
        <v>5</v>
      </c>
      <c r="I9" s="132">
        <f ca="1">'Input Data'!V24</f>
        <v>0.56399726214921286</v>
      </c>
      <c r="J9" s="130">
        <f ca="1">'Input Data'!J24</f>
        <v>1368.73</v>
      </c>
      <c r="K9" s="130">
        <f>'Input Data'!S24</f>
        <v>1405</v>
      </c>
      <c r="L9" s="130">
        <f ca="1">'Input Data'!N24</f>
        <v>85408.751999999993</v>
      </c>
      <c r="M9" s="130">
        <f>'Input Data'!L24</f>
        <v>0</v>
      </c>
      <c r="N9" s="130">
        <f>'Input Data'!M24</f>
        <v>4200</v>
      </c>
      <c r="O9" s="244">
        <f>'Input Data'!O24</f>
        <v>0</v>
      </c>
      <c r="P9" s="245" t="str">
        <f>'Input Data'!P24</f>
        <v>LEASE RENEWAL</v>
      </c>
      <c r="Q9" s="242">
        <f>IFERROR('Input Data'!Q24,"")</f>
        <v>46357</v>
      </c>
      <c r="R9" s="245" t="str">
        <f>'Input Data'!R24</f>
        <v>Net</v>
      </c>
      <c r="S9" s="130">
        <f ca="1">'Input Data'!T24</f>
        <v>-36.269999999999982</v>
      </c>
      <c r="T9" s="131">
        <f ca="1">'Input Data'!U24</f>
        <v>-2.5814946619217068E-2</v>
      </c>
      <c r="U9" s="133">
        <f ca="1">'Input Data'!W24</f>
        <v>35.193429158110881</v>
      </c>
      <c r="V9" s="245">
        <f>'Input Data'!X24</f>
        <v>0</v>
      </c>
    </row>
    <row r="10" spans="1:22" ht="15.75" customHeight="1" x14ac:dyDescent="0.35">
      <c r="A10" s="246" t="str">
        <f>'Input Data'!B15</f>
        <v>L06</v>
      </c>
      <c r="B10" s="246" t="str">
        <f>'Input Data'!C15</f>
        <v>601</v>
      </c>
      <c r="C10" s="247" t="str">
        <f ca="1">'Input Data'!D15</f>
        <v>FULLCRM PTY LTD</v>
      </c>
      <c r="D10" s="247" t="str">
        <f ca="1">'Input Data'!E15</f>
        <v>FULLCRM PTY LTD</v>
      </c>
      <c r="E10" s="129">
        <f>'Input Data'!F15</f>
        <v>226.1</v>
      </c>
      <c r="F10" s="248">
        <f ca="1">IFERROR('Input Data'!G15,"")</f>
        <v>44531</v>
      </c>
      <c r="G10" s="248">
        <f ca="1">IFERROR('Input Data'!H15,"")</f>
        <v>46418</v>
      </c>
      <c r="H10" s="249">
        <f ca="1">'Input Data'!I15</f>
        <v>5.2</v>
      </c>
      <c r="I10" s="128">
        <f ca="1">'Input Data'!V15</f>
        <v>0.73374401095140318</v>
      </c>
      <c r="J10" s="126">
        <f ca="1">'Input Data'!J15</f>
        <v>1251.3399999999999</v>
      </c>
      <c r="K10" s="126">
        <f>'Input Data'!S15</f>
        <v>1165</v>
      </c>
      <c r="L10" s="126">
        <f ca="1">'Input Data'!N15</f>
        <v>251183.53399999999</v>
      </c>
      <c r="M10" s="126">
        <f>'Input Data'!L15</f>
        <v>-31744.44</v>
      </c>
      <c r="N10" s="126">
        <f>'Input Data'!M15</f>
        <v>13800</v>
      </c>
      <c r="O10" s="250">
        <f>'Input Data'!O15</f>
        <v>0</v>
      </c>
      <c r="P10" s="251" t="str">
        <f>'Input Data'!P15</f>
        <v>LEASE RENEWAL</v>
      </c>
      <c r="Q10" s="248">
        <f>IFERROR('Input Data'!Q15,"")</f>
        <v>46419</v>
      </c>
      <c r="R10" s="251" t="str">
        <f>'Input Data'!R15</f>
        <v>Net</v>
      </c>
      <c r="S10" s="126">
        <f ca="1">'Input Data'!T15</f>
        <v>86.339999999999918</v>
      </c>
      <c r="T10" s="127">
        <f ca="1">'Input Data'!U15</f>
        <v>7.4111587982832544E-2</v>
      </c>
      <c r="U10" s="129">
        <f ca="1">'Input Data'!W15</f>
        <v>165.89952087611226</v>
      </c>
      <c r="V10" s="251">
        <f>'Input Data'!X15</f>
        <v>0</v>
      </c>
    </row>
    <row r="11" spans="1:22" ht="15.75" customHeight="1" x14ac:dyDescent="0.35">
      <c r="A11" s="252" t="str">
        <f>'Input Data'!B9</f>
        <v>L03</v>
      </c>
      <c r="B11" s="252" t="str">
        <f>'Input Data'!C9</f>
        <v>301&amp;2</v>
      </c>
      <c r="C11" s="253" t="str">
        <f ca="1">'Input Data'!D9</f>
        <v>IPM RESIDENTIAL PTY LTD</v>
      </c>
      <c r="D11" s="253" t="str">
        <f ca="1">'Input Data'!E9</f>
        <v>IPM RESIDENTIAL PTY LTD</v>
      </c>
      <c r="E11" s="125">
        <f>'Input Data'!F9</f>
        <v>164.2</v>
      </c>
      <c r="F11" s="254">
        <f ca="1">IFERROR('Input Data'!G9,"")</f>
        <v>44713</v>
      </c>
      <c r="G11" s="254">
        <f ca="1">IFERROR('Input Data'!H9,"")</f>
        <v>46538</v>
      </c>
      <c r="H11" s="255">
        <f ca="1">'Input Data'!I9</f>
        <v>5</v>
      </c>
      <c r="I11" s="124">
        <f ca="1">'Input Data'!V9</f>
        <v>1.0622861054072552</v>
      </c>
      <c r="J11" s="122">
        <f ca="1">'Input Data'!J9</f>
        <v>1172.6099999999999</v>
      </c>
      <c r="K11" s="122">
        <f>'Input Data'!S9</f>
        <v>1135</v>
      </c>
      <c r="L11" s="122">
        <f ca="1">'Input Data'!N9</f>
        <v>177025.60199999998</v>
      </c>
      <c r="M11" s="122">
        <f>'Input Data'!L9</f>
        <v>-15516.96</v>
      </c>
      <c r="N11" s="122">
        <f>'Input Data'!M9</f>
        <v>9900</v>
      </c>
      <c r="O11" s="256">
        <f>'Input Data'!O9</f>
        <v>2</v>
      </c>
      <c r="P11" s="257" t="str">
        <f>'Input Data'!P9</f>
        <v>FIXED 3.75%</v>
      </c>
      <c r="Q11" s="254">
        <f>IFERROR('Input Data'!Q9,"")</f>
        <v>46174</v>
      </c>
      <c r="R11" s="257" t="str">
        <f>'Input Data'!R9</f>
        <v>Net</v>
      </c>
      <c r="S11" s="122">
        <f ca="1">'Input Data'!T9</f>
        <v>37.6099999999999</v>
      </c>
      <c r="T11" s="123">
        <f ca="1">'Input Data'!U9</f>
        <v>3.3136563876651891E-2</v>
      </c>
      <c r="U11" s="125">
        <f ca="1">'Input Data'!W9</f>
        <v>174.42737850787128</v>
      </c>
      <c r="V11" s="257">
        <f>'Input Data'!X9</f>
        <v>0</v>
      </c>
    </row>
    <row r="12" spans="1:22" ht="15.75" customHeight="1" x14ac:dyDescent="0.35">
      <c r="A12" s="246" t="str">
        <f>'Input Data'!B14</f>
        <v>L05</v>
      </c>
      <c r="B12" s="246" t="str">
        <f>'Input Data'!C14</f>
        <v>502</v>
      </c>
      <c r="C12" s="247" t="str">
        <f ca="1">'Input Data'!D14</f>
        <v>THREAT DEFENCE</v>
      </c>
      <c r="D12" s="247" t="str">
        <f ca="1">'Input Data'!E14</f>
        <v>THREAT DEFENCE PTY LTD</v>
      </c>
      <c r="E12" s="129">
        <f>'Input Data'!F14</f>
        <v>163.80000000000001</v>
      </c>
      <c r="F12" s="248">
        <f ca="1">IFERROR('Input Data'!G14,"")</f>
        <v>45474</v>
      </c>
      <c r="G12" s="248">
        <f ca="1">IFERROR('Input Data'!H14,"")</f>
        <v>46568</v>
      </c>
      <c r="H12" s="249">
        <f ca="1">'Input Data'!I14</f>
        <v>3</v>
      </c>
      <c r="I12" s="128">
        <f ca="1">'Input Data'!V14</f>
        <v>1.1444216290212184</v>
      </c>
      <c r="J12" s="126">
        <f ca="1">'Input Data'!J14</f>
        <v>1016.75</v>
      </c>
      <c r="K12" s="126">
        <f>'Input Data'!S14</f>
        <v>1020</v>
      </c>
      <c r="L12" s="126">
        <f ca="1">'Input Data'!N14</f>
        <v>124807.41000000003</v>
      </c>
      <c r="M12" s="126">
        <f>'Input Data'!L14</f>
        <v>-41736.239999999998</v>
      </c>
      <c r="N12" s="126">
        <f>'Input Data'!M14</f>
        <v>7140</v>
      </c>
      <c r="O12" s="250">
        <f>'Input Data'!O14</f>
        <v>0</v>
      </c>
      <c r="P12" s="251" t="str">
        <f>'Input Data'!P14</f>
        <v>FIXED 3.75%</v>
      </c>
      <c r="Q12" s="248">
        <f>IFERROR('Input Data'!Q14,"")</f>
        <v>46204</v>
      </c>
      <c r="R12" s="251" t="str">
        <f>'Input Data'!R14</f>
        <v>Net</v>
      </c>
      <c r="S12" s="126">
        <f ca="1">'Input Data'!T14</f>
        <v>-3.25</v>
      </c>
      <c r="T12" s="127">
        <f ca="1">'Input Data'!U14</f>
        <v>-3.1862745098039215E-3</v>
      </c>
      <c r="U12" s="129">
        <f ca="1">'Input Data'!W14</f>
        <v>187.45626283367557</v>
      </c>
      <c r="V12" s="251">
        <f>'Input Data'!X14</f>
        <v>0</v>
      </c>
    </row>
    <row r="13" spans="1:22" ht="15.75" customHeight="1" x14ac:dyDescent="0.35">
      <c r="A13" s="252" t="str">
        <f>'Input Data'!B17</f>
        <v>L07</v>
      </c>
      <c r="B13" s="252" t="str">
        <f>'Input Data'!C17</f>
        <v>701</v>
      </c>
      <c r="C13" s="253" t="str">
        <f ca="1">'Input Data'!D17</f>
        <v>PINPOINT TALENT PTY LTD</v>
      </c>
      <c r="D13" s="253" t="str">
        <f ca="1">'Input Data'!E17</f>
        <v>PINPOINT TALENT PTY LTD</v>
      </c>
      <c r="E13" s="125">
        <f>'Input Data'!F17</f>
        <v>210.5</v>
      </c>
      <c r="F13" s="254">
        <f ca="1">IFERROR('Input Data'!G17,"")</f>
        <v>45145</v>
      </c>
      <c r="G13" s="254">
        <f ca="1">IFERROR('Input Data'!H17,"")</f>
        <v>46605</v>
      </c>
      <c r="H13" s="255">
        <f ca="1">'Input Data'!I17</f>
        <v>4</v>
      </c>
      <c r="I13" s="124">
        <f ca="1">'Input Data'!V17</f>
        <v>1.2457221081451062</v>
      </c>
      <c r="J13" s="122">
        <f ca="1">'Input Data'!J17</f>
        <v>1173.54</v>
      </c>
      <c r="K13" s="122">
        <f>'Input Data'!S17</f>
        <v>1175</v>
      </c>
      <c r="L13" s="122">
        <f ca="1">'Input Data'!N17</f>
        <v>178512.44999999998</v>
      </c>
      <c r="M13" s="122">
        <f>'Input Data'!L17</f>
        <v>-68517.72</v>
      </c>
      <c r="N13" s="122">
        <f>'Input Data'!M17</f>
        <v>13800</v>
      </c>
      <c r="O13" s="256">
        <f>'Input Data'!O17</f>
        <v>0</v>
      </c>
      <c r="P13" s="257" t="str">
        <f>'Input Data'!P17</f>
        <v>FIXED 4%</v>
      </c>
      <c r="Q13" s="254">
        <f>IFERROR('Input Data'!Q17,"")</f>
        <v>46241</v>
      </c>
      <c r="R13" s="257" t="str">
        <f>'Input Data'!R17</f>
        <v>Net</v>
      </c>
      <c r="S13" s="122">
        <f ca="1">'Input Data'!T17</f>
        <v>-1.4600000000000364</v>
      </c>
      <c r="T13" s="123">
        <f ca="1">'Input Data'!U17</f>
        <v>-1.2425531914893927E-3</v>
      </c>
      <c r="U13" s="125">
        <f ca="1">'Input Data'!W17</f>
        <v>262.22450376454486</v>
      </c>
      <c r="V13" s="257">
        <f>'Input Data'!X17</f>
        <v>0</v>
      </c>
    </row>
    <row r="14" spans="1:22" ht="15.75" customHeight="1" x14ac:dyDescent="0.35">
      <c r="A14" s="246" t="str">
        <f>'Input Data'!B13</f>
        <v>L05</v>
      </c>
      <c r="B14" s="246" t="str">
        <f>'Input Data'!C13</f>
        <v>501</v>
      </c>
      <c r="C14" s="247" t="str">
        <f ca="1">'Input Data'!D13</f>
        <v>MONTGOMERY INVESTMENT</v>
      </c>
      <c r="D14" s="247" t="str">
        <f ca="1">'Input Data'!E13</f>
        <v>MONTGOMERY INVESTMENT</v>
      </c>
      <c r="E14" s="129">
        <f>'Input Data'!F13</f>
        <v>212.3</v>
      </c>
      <c r="F14" s="248">
        <f ca="1">IFERROR('Input Data'!G13,"")</f>
        <v>43770</v>
      </c>
      <c r="G14" s="248">
        <f ca="1">IFERROR('Input Data'!H13,"")</f>
        <v>46691</v>
      </c>
      <c r="H14" s="249">
        <f ca="1">'Input Data'!I13</f>
        <v>8</v>
      </c>
      <c r="I14" s="128">
        <f ca="1">'Input Data'!V13</f>
        <v>1.4811772758384667</v>
      </c>
      <c r="J14" s="126">
        <f ca="1">'Input Data'!J13</f>
        <v>1341.24</v>
      </c>
      <c r="K14" s="126">
        <f>'Input Data'!S13</f>
        <v>1155</v>
      </c>
      <c r="L14" s="126">
        <f ca="1">'Input Data'!N13</f>
        <v>235383.49200000003</v>
      </c>
      <c r="M14" s="126">
        <f>'Input Data'!L13</f>
        <v>-49361.760000000002</v>
      </c>
      <c r="N14" s="126">
        <f>'Input Data'!M13</f>
        <v>9900</v>
      </c>
      <c r="O14" s="250">
        <f>'Input Data'!O13</f>
        <v>36</v>
      </c>
      <c r="P14" s="251" t="str">
        <f>'Input Data'!P13</f>
        <v>FIXED 4%</v>
      </c>
      <c r="Q14" s="248">
        <f>IFERROR('Input Data'!Q13,"")</f>
        <v>46327</v>
      </c>
      <c r="R14" s="251" t="str">
        <f>'Input Data'!R13</f>
        <v>Net</v>
      </c>
      <c r="S14" s="126">
        <f ca="1">'Input Data'!T13</f>
        <v>186.24</v>
      </c>
      <c r="T14" s="127">
        <f ca="1">'Input Data'!U13</f>
        <v>0.16124675324675325</v>
      </c>
      <c r="U14" s="129">
        <f ca="1">'Input Data'!W13</f>
        <v>314.45393566050649</v>
      </c>
      <c r="V14" s="251">
        <f>'Input Data'!X13</f>
        <v>0</v>
      </c>
    </row>
    <row r="15" spans="1:22" ht="15.75" customHeight="1" x14ac:dyDescent="0.35">
      <c r="A15" s="252" t="str">
        <f>'Input Data'!B18</f>
        <v>L07</v>
      </c>
      <c r="B15" s="252" t="str">
        <f>'Input Data'!C18</f>
        <v>702</v>
      </c>
      <c r="C15" s="253" t="str">
        <f ca="1">'Input Data'!D18</f>
        <v>SATELLITE OFFICE PTY LTD</v>
      </c>
      <c r="D15" s="253" t="str">
        <f ca="1">'Input Data'!E18</f>
        <v>SATELLITE OFFICE PTY LTD</v>
      </c>
      <c r="E15" s="125">
        <f>'Input Data'!F18</f>
        <v>163.9</v>
      </c>
      <c r="F15" s="254">
        <f ca="1">IFERROR('Input Data'!G18,"")</f>
        <v>45444</v>
      </c>
      <c r="G15" s="254">
        <f ca="1">IFERROR('Input Data'!H18,"")</f>
        <v>46904</v>
      </c>
      <c r="H15" s="255">
        <f ca="1">'Input Data'!I18</f>
        <v>4</v>
      </c>
      <c r="I15" s="124">
        <f ca="1">'Input Data'!V18</f>
        <v>2.0643394934976045</v>
      </c>
      <c r="J15" s="122">
        <f ca="1">'Input Data'!J18</f>
        <v>1016.75</v>
      </c>
      <c r="K15" s="122">
        <f>'Input Data'!S18</f>
        <v>1040</v>
      </c>
      <c r="L15" s="122">
        <f ca="1">'Input Data'!N18</f>
        <v>126383.76500000001</v>
      </c>
      <c r="M15" s="122">
        <f>'Input Data'!L18</f>
        <v>-40261.56</v>
      </c>
      <c r="N15" s="122">
        <f>'Input Data'!M18</f>
        <v>7020</v>
      </c>
      <c r="O15" s="256">
        <f>'Input Data'!O18</f>
        <v>24</v>
      </c>
      <c r="P15" s="257" t="str">
        <f>'Input Data'!P18</f>
        <v>FIXED 3.75%</v>
      </c>
      <c r="Q15" s="254">
        <f>IFERROR('Input Data'!Q18,"")</f>
        <v>46174</v>
      </c>
      <c r="R15" s="257" t="str">
        <f>'Input Data'!R18</f>
        <v>Net</v>
      </c>
      <c r="S15" s="122">
        <f ca="1">'Input Data'!T18</f>
        <v>-23.25</v>
      </c>
      <c r="T15" s="123">
        <f ca="1">'Input Data'!U18</f>
        <v>-2.2355769230769231E-2</v>
      </c>
      <c r="U15" s="125">
        <f ca="1">'Input Data'!W18</f>
        <v>338.34524298425737</v>
      </c>
      <c r="V15" s="257">
        <f>'Input Data'!X18</f>
        <v>0</v>
      </c>
    </row>
    <row r="16" spans="1:22" ht="15.75" customHeight="1" x14ac:dyDescent="0.35">
      <c r="A16" s="246" t="str">
        <f>'Input Data'!B6</f>
        <v>L01</v>
      </c>
      <c r="B16" s="246" t="str">
        <f>'Input Data'!C6</f>
        <v>103</v>
      </c>
      <c r="C16" s="247" t="str">
        <f ca="1">'Input Data'!D6</f>
        <v>PU PRIME TRADING PTY LTD</v>
      </c>
      <c r="D16" s="247" t="str">
        <f ca="1">'Input Data'!E6</f>
        <v>PU PRIME TRADING PTY LTD</v>
      </c>
      <c r="E16" s="129">
        <f>'Input Data'!F6</f>
        <v>96.3</v>
      </c>
      <c r="F16" s="248">
        <f ca="1">IFERROR('Input Data'!G6,"")</f>
        <v>44378</v>
      </c>
      <c r="G16" s="248">
        <f ca="1">IFERROR('Input Data'!H6,"")</f>
        <v>46918</v>
      </c>
      <c r="H16" s="249">
        <f ca="1">'Input Data'!I6</f>
        <v>7</v>
      </c>
      <c r="I16" s="128">
        <f ca="1">'Input Data'!V6</f>
        <v>2.1026694045174539</v>
      </c>
      <c r="J16" s="126">
        <f ca="1">'Input Data'!J6</f>
        <v>982.68</v>
      </c>
      <c r="K16" s="126">
        <f>'Input Data'!S6</f>
        <v>960</v>
      </c>
      <c r="L16" s="126">
        <f ca="1">'Input Data'!N6</f>
        <v>89173.043999999994</v>
      </c>
      <c r="M16" s="126">
        <f>'Input Data'!L6</f>
        <v>-5459.04</v>
      </c>
      <c r="N16" s="126">
        <f>'Input Data'!M6</f>
        <v>6780</v>
      </c>
      <c r="O16" s="250">
        <f>'Input Data'!O6</f>
        <v>0</v>
      </c>
      <c r="P16" s="251" t="str">
        <f>'Input Data'!P6</f>
        <v>FIXED 4%</v>
      </c>
      <c r="Q16" s="248">
        <f>IFERROR('Input Data'!Q6,"")</f>
        <v>46461</v>
      </c>
      <c r="R16" s="251" t="str">
        <f>'Input Data'!R6</f>
        <v>Net</v>
      </c>
      <c r="S16" s="126">
        <f ca="1">'Input Data'!T6</f>
        <v>22.67999999999995</v>
      </c>
      <c r="T16" s="127">
        <f ca="1">'Input Data'!U6</f>
        <v>2.3624999999999948E-2</v>
      </c>
      <c r="U16" s="129">
        <f ca="1">'Input Data'!W6</f>
        <v>202.48706365503079</v>
      </c>
      <c r="V16" s="251">
        <f>'Input Data'!X6</f>
        <v>0</v>
      </c>
    </row>
    <row r="17" spans="1:22" ht="15.75" customHeight="1" x14ac:dyDescent="0.35">
      <c r="A17" s="252" t="str">
        <f>'Input Data'!B20</f>
        <v>L08</v>
      </c>
      <c r="B17" s="252" t="str">
        <f>'Input Data'!C20</f>
        <v>802</v>
      </c>
      <c r="C17" s="253" t="str">
        <f ca="1">'Input Data'!D20</f>
        <v>HILLIARD &amp; BERRY</v>
      </c>
      <c r="D17" s="253" t="str">
        <f ca="1">'Input Data'!E20</f>
        <v>HILLIARD &amp; BERRY</v>
      </c>
      <c r="E17" s="125">
        <f>'Input Data'!F20</f>
        <v>138.5</v>
      </c>
      <c r="F17" s="254">
        <f ca="1">IFERROR('Input Data'!G20,"")</f>
        <v>41654</v>
      </c>
      <c r="G17" s="254">
        <f ca="1">IFERROR('Input Data'!H20,"")</f>
        <v>46965</v>
      </c>
      <c r="H17" s="255">
        <f ca="1">'Input Data'!I20</f>
        <v>14.6</v>
      </c>
      <c r="I17" s="124">
        <f ca="1">'Input Data'!V20</f>
        <v>2.2313483915126624</v>
      </c>
      <c r="J17" s="122">
        <f ca="1">'Input Data'!J20</f>
        <v>843.65</v>
      </c>
      <c r="K17" s="122">
        <f>'Input Data'!S20</f>
        <v>1030</v>
      </c>
      <c r="L17" s="122">
        <f ca="1">'Input Data'!N20</f>
        <v>116845.52499999999</v>
      </c>
      <c r="M17" s="122">
        <f>'Input Data'!L20</f>
        <v>0</v>
      </c>
      <c r="N17" s="122">
        <f>'Input Data'!M20</f>
        <v>12240</v>
      </c>
      <c r="O17" s="256">
        <f>'Input Data'!O20</f>
        <v>0</v>
      </c>
      <c r="P17" s="257" t="str">
        <f>'Input Data'!P20</f>
        <v>FIXED 4%</v>
      </c>
      <c r="Q17" s="254">
        <f>IFERROR('Input Data'!Q20,"")</f>
        <v>46235</v>
      </c>
      <c r="R17" s="257" t="str">
        <f>'Input Data'!R20</f>
        <v>Net</v>
      </c>
      <c r="S17" s="122">
        <f ca="1">'Input Data'!T20</f>
        <v>-186.35000000000002</v>
      </c>
      <c r="T17" s="123">
        <f ca="1">'Input Data'!U20</f>
        <v>-0.18092233009708741</v>
      </c>
      <c r="U17" s="125">
        <f ca="1">'Input Data'!W20</f>
        <v>309.04175222450374</v>
      </c>
      <c r="V17" s="257">
        <f>'Input Data'!X20</f>
        <v>0</v>
      </c>
    </row>
    <row r="18" spans="1:22" ht="15.75" customHeight="1" x14ac:dyDescent="0.35">
      <c r="A18" s="246" t="str">
        <f>'Input Data'!B10</f>
        <v>L03</v>
      </c>
      <c r="B18" s="246" t="str">
        <f>'Input Data'!C10</f>
        <v>303&amp;4</v>
      </c>
      <c r="C18" s="247" t="str">
        <f ca="1">'Input Data'!D10</f>
        <v>BROADRIDGE (AUSTRALIA) PTY LTD</v>
      </c>
      <c r="D18" s="247" t="str">
        <f ca="1">'Input Data'!E10</f>
        <v>BROADRIDGE (AUSTRALI) PTY LTD</v>
      </c>
      <c r="E18" s="129">
        <f>'Input Data'!F10</f>
        <v>193.4</v>
      </c>
      <c r="F18" s="248">
        <f ca="1">IFERROR('Input Data'!G10,"")</f>
        <v>45566</v>
      </c>
      <c r="G18" s="248">
        <f ca="1">IFERROR('Input Data'!H10,"")</f>
        <v>47026</v>
      </c>
      <c r="H18" s="249">
        <f ca="1">'Input Data'!I10</f>
        <v>4</v>
      </c>
      <c r="I18" s="128">
        <f ca="1">'Input Data'!V10</f>
        <v>2.3983572895277208</v>
      </c>
      <c r="J18" s="126">
        <f ca="1">'Input Data'!J10</f>
        <v>933.75</v>
      </c>
      <c r="K18" s="126">
        <f>'Input Data'!S10</f>
        <v>920</v>
      </c>
      <c r="L18" s="126">
        <f ca="1">'Input Data'!N10</f>
        <v>159625.04999999999</v>
      </c>
      <c r="M18" s="126">
        <f>'Input Data'!L10</f>
        <v>-20962.2</v>
      </c>
      <c r="N18" s="126">
        <f>'Input Data'!M10</f>
        <v>6300</v>
      </c>
      <c r="O18" s="250">
        <f>'Input Data'!O10</f>
        <v>0</v>
      </c>
      <c r="P18" s="251" t="str">
        <f>'Input Data'!P10</f>
        <v>FIXED 3.75%</v>
      </c>
      <c r="Q18" s="248">
        <f>IFERROR('Input Data'!Q10,"")</f>
        <v>46296</v>
      </c>
      <c r="R18" s="251" t="str">
        <f>'Input Data'!R10</f>
        <v>Net</v>
      </c>
      <c r="S18" s="126">
        <f ca="1">'Input Data'!T10</f>
        <v>13.75</v>
      </c>
      <c r="T18" s="127">
        <f ca="1">'Input Data'!U10</f>
        <v>1.4945652173913044E-2</v>
      </c>
      <c r="U18" s="129">
        <f ca="1">'Input Data'!W10</f>
        <v>463.84229979466119</v>
      </c>
      <c r="V18" s="251">
        <f>'Input Data'!X10</f>
        <v>0</v>
      </c>
    </row>
    <row r="19" spans="1:22" ht="15.75" customHeight="1" x14ac:dyDescent="0.35">
      <c r="A19" s="252" t="str">
        <f>'Input Data'!B8</f>
        <v>L02</v>
      </c>
      <c r="B19" s="252" t="str">
        <f>'Input Data'!C8</f>
        <v>WHOLE</v>
      </c>
      <c r="C19" s="253" t="str">
        <f ca="1">'Input Data'!D8</f>
        <v>PRINCETON FINANCIAL SERVICES</v>
      </c>
      <c r="D19" s="253" t="str">
        <f ca="1">'Input Data'!E8</f>
        <v>PRINCETON FINANCIAL SERVICES</v>
      </c>
      <c r="E19" s="125">
        <f>'Input Data'!F8</f>
        <v>393.2</v>
      </c>
      <c r="F19" s="254">
        <f ca="1">IFERROR('Input Data'!G8,"")</f>
        <v>45292</v>
      </c>
      <c r="G19" s="254">
        <f ca="1">IFERROR('Input Data'!H8,"")</f>
        <v>47118</v>
      </c>
      <c r="H19" s="255">
        <f ca="1">'Input Data'!I8</f>
        <v>5</v>
      </c>
      <c r="I19" s="124">
        <f ca="1">'Input Data'!V8</f>
        <v>2.6502395619438741</v>
      </c>
      <c r="J19" s="122">
        <f ca="1">'Input Data'!J8</f>
        <v>1081.5999999999999</v>
      </c>
      <c r="K19" s="122">
        <f>'Input Data'!S8</f>
        <v>1095</v>
      </c>
      <c r="L19" s="122">
        <f ca="1">'Input Data'!N8</f>
        <v>401703.31999999995</v>
      </c>
      <c r="M19" s="122">
        <f>'Input Data'!L8</f>
        <v>-23581.8</v>
      </c>
      <c r="N19" s="122">
        <f>'Input Data'!M8</f>
        <v>16200</v>
      </c>
      <c r="O19" s="256">
        <f>'Input Data'!O8</f>
        <v>0</v>
      </c>
      <c r="P19" s="257" t="str">
        <f>'Input Data'!P8</f>
        <v>FIXED 4%</v>
      </c>
      <c r="Q19" s="254">
        <f>IFERROR('Input Data'!Q8,"")</f>
        <v>46388</v>
      </c>
      <c r="R19" s="257" t="str">
        <f>'Input Data'!R8</f>
        <v>Net</v>
      </c>
      <c r="S19" s="122">
        <f ca="1">'Input Data'!T8</f>
        <v>-13.400000000000091</v>
      </c>
      <c r="T19" s="123">
        <f ca="1">'Input Data'!U8</f>
        <v>-1.2237442922374513E-2</v>
      </c>
      <c r="U19" s="125">
        <f ca="1">'Input Data'!W8</f>
        <v>1042.0741957563312</v>
      </c>
      <c r="V19" s="257">
        <f>'Input Data'!X8</f>
        <v>0</v>
      </c>
    </row>
    <row r="20" spans="1:22" ht="15.75" customHeight="1" x14ac:dyDescent="0.35">
      <c r="A20" s="246" t="str">
        <f>'Input Data'!B3</f>
        <v>BSMT</v>
      </c>
      <c r="B20" s="246" t="str">
        <f>'Input Data'!C3</f>
        <v>LWR GROUND</v>
      </c>
      <c r="C20" s="247" t="str">
        <f ca="1">'Input Data'!D3</f>
        <v>OPULENT TWO ENTERPRISES</v>
      </c>
      <c r="D20" s="247" t="str">
        <f ca="1">'Input Data'!E3</f>
        <v>OPULENT TWO ENTERPRISES</v>
      </c>
      <c r="E20" s="129">
        <f>'Input Data'!F3</f>
        <v>151.19999999999999</v>
      </c>
      <c r="F20" s="248">
        <f ca="1">IFERROR('Input Data'!G3,"")</f>
        <v>42401</v>
      </c>
      <c r="G20" s="248">
        <f ca="1">IFERROR('Input Data'!H3,"")</f>
        <v>47149</v>
      </c>
      <c r="H20" s="249">
        <f ca="1">'Input Data'!I3</f>
        <v>13</v>
      </c>
      <c r="I20" s="128">
        <f ca="1">'Input Data'!V3</f>
        <v>2.7351129363449691</v>
      </c>
      <c r="J20" s="126">
        <f ca="1">'Input Data'!J3</f>
        <v>1002.01</v>
      </c>
      <c r="K20" s="126">
        <f>'Input Data'!S3</f>
        <v>930</v>
      </c>
      <c r="L20" s="126">
        <f ca="1">'Input Data'!N3</f>
        <v>123489.07199999999</v>
      </c>
      <c r="M20" s="126">
        <f>'Input Data'!L3</f>
        <v>-28014.84</v>
      </c>
      <c r="N20" s="126">
        <f>'Input Data'!M3</f>
        <v>15000</v>
      </c>
      <c r="O20" s="250">
        <f>'Input Data'!O3</f>
        <v>0</v>
      </c>
      <c r="P20" s="251" t="str">
        <f>'Input Data'!P3</f>
        <v>FIXED 4%</v>
      </c>
      <c r="Q20" s="248">
        <f>IFERROR('Input Data'!Q3,"")</f>
        <v>46419</v>
      </c>
      <c r="R20" s="251" t="str">
        <f>'Input Data'!R3</f>
        <v>Net</v>
      </c>
      <c r="S20" s="126">
        <f ca="1">'Input Data'!T3</f>
        <v>72.009999999999991</v>
      </c>
      <c r="T20" s="127">
        <f ca="1">'Input Data'!U3</f>
        <v>7.7430107526881717E-2</v>
      </c>
      <c r="U20" s="129">
        <f ca="1">'Input Data'!W3</f>
        <v>413.5490759753593</v>
      </c>
      <c r="V20" s="251">
        <f>'Input Data'!X3</f>
        <v>0</v>
      </c>
    </row>
    <row r="21" spans="1:22" ht="15.75" customHeight="1" x14ac:dyDescent="0.35">
      <c r="A21" s="252" t="str">
        <f>'Input Data'!B11</f>
        <v>L04</v>
      </c>
      <c r="B21" s="252" t="str">
        <f>'Input Data'!C11</f>
        <v>401</v>
      </c>
      <c r="C21" s="253" t="str">
        <f ca="1">'Input Data'!D11</f>
        <v>B-W INTERNATIONAL AUSTRALIA PTY LTD</v>
      </c>
      <c r="D21" s="253" t="str">
        <f ca="1">'Input Data'!E11</f>
        <v>B-W INTERNATIONAL AUSTRALIA PTY LTD</v>
      </c>
      <c r="E21" s="125">
        <f>'Input Data'!F11</f>
        <v>214.1</v>
      </c>
      <c r="F21" s="254">
        <f ca="1">IFERROR('Input Data'!G11,"")</f>
        <v>45352</v>
      </c>
      <c r="G21" s="254">
        <f ca="1">IFERROR('Input Data'!H11,"")</f>
        <v>47177</v>
      </c>
      <c r="H21" s="255">
        <f ca="1">'Input Data'!I11</f>
        <v>5</v>
      </c>
      <c r="I21" s="124">
        <f ca="1">'Input Data'!V11</f>
        <v>2.8117727583846679</v>
      </c>
      <c r="J21" s="122">
        <f ca="1">'Input Data'!J11</f>
        <v>1135.6099999999999</v>
      </c>
      <c r="K21" s="122">
        <f>'Input Data'!S11</f>
        <v>1145</v>
      </c>
      <c r="L21" s="122">
        <f ca="1">'Input Data'!N11</f>
        <v>188930.34099999996</v>
      </c>
      <c r="M21" s="122">
        <f>'Input Data'!L11</f>
        <v>-54203.76</v>
      </c>
      <c r="N21" s="122">
        <f>'Input Data'!M11</f>
        <v>8700</v>
      </c>
      <c r="O21" s="256">
        <f>'Input Data'!O11</f>
        <v>0</v>
      </c>
      <c r="P21" s="257" t="str">
        <f>'Input Data'!P11</f>
        <v>FIXED 3.75%</v>
      </c>
      <c r="Q21" s="254">
        <f>IFERROR('Input Data'!Q11,"")</f>
        <v>46447</v>
      </c>
      <c r="R21" s="257" t="str">
        <f>'Input Data'!R11</f>
        <v>Net</v>
      </c>
      <c r="S21" s="122">
        <f ca="1">'Input Data'!T11</f>
        <v>-9.3900000000001</v>
      </c>
      <c r="T21" s="123">
        <f ca="1">'Input Data'!U11</f>
        <v>-8.2008733624455016E-3</v>
      </c>
      <c r="U21" s="125">
        <f ca="1">'Input Data'!W11</f>
        <v>602.00054757015732</v>
      </c>
      <c r="V21" s="257">
        <f>'Input Data'!X11</f>
        <v>0</v>
      </c>
    </row>
    <row r="22" spans="1:22" ht="15.75" customHeight="1" x14ac:dyDescent="0.35">
      <c r="A22" s="246" t="str">
        <f>'Input Data'!B23</f>
        <v>L10</v>
      </c>
      <c r="B22" s="246" t="str">
        <f>'Input Data'!C23</f>
        <v>1001&amp;2</v>
      </c>
      <c r="C22" s="247" t="str">
        <f ca="1">'Input Data'!D23</f>
        <v>CONNECTUS SERVICES PTY LTD</v>
      </c>
      <c r="D22" s="247" t="str">
        <f ca="1">'Input Data'!E23</f>
        <v>CONNECTUS</v>
      </c>
      <c r="E22" s="129">
        <f>'Input Data'!F23</f>
        <v>363.2</v>
      </c>
      <c r="F22" s="248">
        <f ca="1">IFERROR('Input Data'!G23,"")</f>
        <v>45261</v>
      </c>
      <c r="G22" s="248">
        <f ca="1">IFERROR('Input Data'!H23,"")</f>
        <v>47452</v>
      </c>
      <c r="H22" s="249">
        <f ca="1">'Input Data'!I23</f>
        <v>6</v>
      </c>
      <c r="I22" s="128">
        <f ca="1">'Input Data'!V23</f>
        <v>3.5646817248459959</v>
      </c>
      <c r="J22" s="126">
        <f ca="1">'Input Data'!J23</f>
        <v>1189.67</v>
      </c>
      <c r="K22" s="126">
        <f>'Input Data'!S23</f>
        <v>1200</v>
      </c>
      <c r="L22" s="126">
        <f ca="1">'Input Data'!N23</f>
        <v>317550.18400000001</v>
      </c>
      <c r="M22" s="126">
        <f>'Input Data'!L23</f>
        <v>-114537.96</v>
      </c>
      <c r="N22" s="126">
        <f>'Input Data'!M23</f>
        <v>15000</v>
      </c>
      <c r="O22" s="250">
        <f>'Input Data'!O23</f>
        <v>48</v>
      </c>
      <c r="P22" s="251" t="str">
        <f>'Input Data'!P23</f>
        <v>FIXED</v>
      </c>
      <c r="Q22" s="248">
        <f>IFERROR('Input Data'!Q23,"")</f>
        <v>46357</v>
      </c>
      <c r="R22" s="251" t="str">
        <f>'Input Data'!R23</f>
        <v>Net</v>
      </c>
      <c r="S22" s="126">
        <f ca="1">'Input Data'!T23</f>
        <v>-10.329999999999927</v>
      </c>
      <c r="T22" s="127">
        <f ca="1">'Input Data'!U23</f>
        <v>-8.6083333333332734E-3</v>
      </c>
      <c r="U22" s="129">
        <f ca="1">'Input Data'!W23</f>
        <v>1294.6924024640657</v>
      </c>
      <c r="V22" s="251">
        <f>'Input Data'!X23</f>
        <v>0</v>
      </c>
    </row>
    <row r="23" spans="1:22" ht="15.75" customHeight="1" x14ac:dyDescent="0.35">
      <c r="A23" s="252" t="str">
        <f>'Input Data'!B12</f>
        <v>L04</v>
      </c>
      <c r="B23" s="252" t="str">
        <f>'Input Data'!C12</f>
        <v>402</v>
      </c>
      <c r="C23" s="253" t="str">
        <f ca="1">'Input Data'!D12</f>
        <v>MP TRAVEL PTY LTD</v>
      </c>
      <c r="D23" s="253" t="str">
        <f ca="1">'Input Data'!E12</f>
        <v>GRAY DAWES TRAVEL</v>
      </c>
      <c r="E23" s="125">
        <f>'Input Data'!F12</f>
        <v>145.6</v>
      </c>
      <c r="F23" s="254">
        <f ca="1">IFERROR('Input Data'!G12,"")</f>
        <v>45658</v>
      </c>
      <c r="G23" s="254">
        <f ca="1">IFERROR('Input Data'!H12,"")</f>
        <v>47483</v>
      </c>
      <c r="H23" s="255">
        <f ca="1">'Input Data'!I12</f>
        <v>5</v>
      </c>
      <c r="I23" s="124">
        <f ca="1">'Input Data'!V12</f>
        <v>3.6495550992470909</v>
      </c>
      <c r="J23" s="122">
        <f ca="1">'Input Data'!J12</f>
        <v>1037.5</v>
      </c>
      <c r="K23" s="122">
        <f>'Input Data'!S12</f>
        <v>1000</v>
      </c>
      <c r="L23" s="122">
        <f ca="1">'Input Data'!N12</f>
        <v>133384.12</v>
      </c>
      <c r="M23" s="122">
        <f>'Input Data'!L12</f>
        <v>-17675.88</v>
      </c>
      <c r="N23" s="122">
        <f>'Input Data'!M12</f>
        <v>6000</v>
      </c>
      <c r="O23" s="256">
        <f>'Input Data'!O12</f>
        <v>0</v>
      </c>
      <c r="P23" s="257" t="str">
        <f>'Input Data'!P12</f>
        <v>FIXED 3.75%</v>
      </c>
      <c r="Q23" s="254">
        <f>IFERROR('Input Data'!Q12,"")</f>
        <v>46388</v>
      </c>
      <c r="R23" s="257" t="str">
        <f>'Input Data'!R12</f>
        <v>Net</v>
      </c>
      <c r="S23" s="122">
        <f ca="1">'Input Data'!T12</f>
        <v>37.5</v>
      </c>
      <c r="T23" s="123">
        <f ca="1">'Input Data'!U12</f>
        <v>3.7499999999999999E-2</v>
      </c>
      <c r="U23" s="125">
        <f ca="1">'Input Data'!W12</f>
        <v>531.37522245037644</v>
      </c>
      <c r="V23" s="257">
        <f>'Input Data'!X12</f>
        <v>0</v>
      </c>
    </row>
    <row r="24" spans="1:22" ht="15.75" customHeight="1" x14ac:dyDescent="0.35">
      <c r="A24" s="246" t="str">
        <f>'Input Data'!B22</f>
        <v>L09</v>
      </c>
      <c r="B24" s="246" t="str">
        <f>'Input Data'!C22</f>
        <v>902&amp;3</v>
      </c>
      <c r="C24" s="247" t="str">
        <f ca="1">'Input Data'!D22</f>
        <v>CAPITAL E MARKETING AND EVENTS PTY LTD</v>
      </c>
      <c r="D24" s="247" t="str">
        <f ca="1">'Input Data'!E22</f>
        <v>CAPITAL E MARKETING AND EVENTS</v>
      </c>
      <c r="E24" s="129">
        <f>'Input Data'!F22</f>
        <v>303</v>
      </c>
      <c r="F24" s="248">
        <f ca="1">IFERROR('Input Data'!G22,"")</f>
        <v>44562</v>
      </c>
      <c r="G24" s="248">
        <f ca="1">IFERROR('Input Data'!H22,"")</f>
        <v>47573</v>
      </c>
      <c r="H24" s="249">
        <f ca="1">'Input Data'!I22</f>
        <v>8.1999999999999993</v>
      </c>
      <c r="I24" s="128">
        <f ca="1">'Input Data'!V22</f>
        <v>3.8959616700889801</v>
      </c>
      <c r="J24" s="126">
        <f ca="1">'Input Data'!J22</f>
        <v>1141.25</v>
      </c>
      <c r="K24" s="126">
        <f>'Input Data'!S22</f>
        <v>1125</v>
      </c>
      <c r="L24" s="126">
        <f ca="1">'Input Data'!N22</f>
        <v>255323.07</v>
      </c>
      <c r="M24" s="126">
        <f>'Input Data'!L22</f>
        <v>-90475.68</v>
      </c>
      <c r="N24" s="126">
        <f>'Input Data'!M22</f>
        <v>9300</v>
      </c>
      <c r="O24" s="250">
        <f>'Input Data'!O22</f>
        <v>0</v>
      </c>
      <c r="P24" s="251" t="str">
        <f>'Input Data'!P22</f>
        <v>FIXED 3.75%</v>
      </c>
      <c r="Q24" s="248">
        <f>IFERROR('Input Data'!Q22,"")</f>
        <v>46478</v>
      </c>
      <c r="R24" s="251" t="str">
        <f>'Input Data'!R22</f>
        <v>Net</v>
      </c>
      <c r="S24" s="126">
        <f ca="1">'Input Data'!T22</f>
        <v>16.25</v>
      </c>
      <c r="T24" s="127">
        <f ca="1">'Input Data'!U22</f>
        <v>1.4444444444444444E-2</v>
      </c>
      <c r="U24" s="129">
        <f ca="1">'Input Data'!W22</f>
        <v>1180.476386036961</v>
      </c>
      <c r="V24" s="251">
        <f>'Input Data'!X22</f>
        <v>0</v>
      </c>
    </row>
    <row r="25" spans="1:22" ht="15.75" customHeight="1" x14ac:dyDescent="0.35">
      <c r="A25" s="252" t="str">
        <f>'Input Data'!B19</f>
        <v>L08</v>
      </c>
      <c r="B25" s="252" t="str">
        <f>'Input Data'!C19</f>
        <v>801</v>
      </c>
      <c r="C25" s="253" t="str">
        <f ca="1">'Input Data'!D19</f>
        <v>ARKANCE AUSTRALIA PTY LTD</v>
      </c>
      <c r="D25" s="253" t="str">
        <f ca="1">'Input Data'!E19</f>
        <v>ARKANCE AUSTRALIA PTY LTD</v>
      </c>
      <c r="E25" s="125">
        <f>'Input Data'!F19</f>
        <v>222</v>
      </c>
      <c r="F25" s="254">
        <f ca="1">IFERROR('Input Data'!G19,"")</f>
        <v>45931</v>
      </c>
      <c r="G25" s="254">
        <f ca="1">IFERROR('Input Data'!H19,"")</f>
        <v>47756</v>
      </c>
      <c r="H25" s="255">
        <f ca="1">'Input Data'!I19</f>
        <v>5</v>
      </c>
      <c r="I25" s="124">
        <f ca="1">'Input Data'!V19</f>
        <v>4.3969883641341543</v>
      </c>
      <c r="J25" s="122">
        <f ca="1">'Input Data'!J19</f>
        <v>1300</v>
      </c>
      <c r="K25" s="122">
        <f>'Input Data'!S19</f>
        <v>1300</v>
      </c>
      <c r="L25" s="122">
        <f ca="1">'Input Data'!N19</f>
        <v>242424</v>
      </c>
      <c r="M25" s="122">
        <f>'Input Data'!L19</f>
        <v>-46176</v>
      </c>
      <c r="N25" s="122">
        <f>'Input Data'!M19</f>
        <v>1500</v>
      </c>
      <c r="O25" s="256">
        <f>'Input Data'!O19</f>
        <v>0</v>
      </c>
      <c r="P25" s="257" t="str">
        <f>'Input Data'!P19</f>
        <v>FIXED 3.75%</v>
      </c>
      <c r="Q25" s="254">
        <f>IFERROR('Input Data'!Q19,"")</f>
        <v>46296</v>
      </c>
      <c r="R25" s="257" t="str">
        <f>'Input Data'!R19</f>
        <v>Net</v>
      </c>
      <c r="S25" s="122">
        <f ca="1">'Input Data'!T19</f>
        <v>0</v>
      </c>
      <c r="T25" s="123">
        <f ca="1">'Input Data'!U19</f>
        <v>0</v>
      </c>
      <c r="U25" s="125">
        <f ca="1">'Input Data'!W19</f>
        <v>976.13141683778224</v>
      </c>
      <c r="V25" s="257">
        <f>'Input Data'!X19</f>
        <v>0</v>
      </c>
    </row>
    <row r="26" spans="1:22" ht="15.75" customHeight="1" x14ac:dyDescent="0.35">
      <c r="A26" s="246" t="str">
        <f>'Input Data'!B4</f>
        <v>GF</v>
      </c>
      <c r="B26" s="246" t="str">
        <f>'Input Data'!C4</f>
        <v>GROUND</v>
      </c>
      <c r="C26" s="247" t="str">
        <f ca="1">'Input Data'!D4</f>
        <v>RCVRI MARTIN PLACE PTY LTD</v>
      </c>
      <c r="D26" s="247" t="str">
        <f ca="1">'Input Data'!E4</f>
        <v>RECOVERIE</v>
      </c>
      <c r="E26" s="129">
        <f>'Input Data'!F4</f>
        <v>298.3</v>
      </c>
      <c r="F26" s="248">
        <f ca="1">IFERROR('Input Data'!G4,"")</f>
        <v>45678</v>
      </c>
      <c r="G26" s="248">
        <f ca="1">IFERROR('Input Data'!H4,"")</f>
        <v>48233</v>
      </c>
      <c r="H26" s="249">
        <f ca="1">'Input Data'!I4</f>
        <v>7</v>
      </c>
      <c r="I26" s="128">
        <f ca="1">'Input Data'!V4</f>
        <v>5.7029431895961666</v>
      </c>
      <c r="J26" s="126">
        <f ca="1">'Input Data'!J4</f>
        <v>1150.52</v>
      </c>
      <c r="K26" s="126">
        <f>'Input Data'!S4</f>
        <v>1100</v>
      </c>
      <c r="L26" s="126">
        <f ca="1">'Input Data'!N4</f>
        <v>272485.79599999997</v>
      </c>
      <c r="M26" s="126">
        <f>'Input Data'!L4</f>
        <v>-70714.320000000007</v>
      </c>
      <c r="N26" s="126">
        <f>'Input Data'!M4</f>
        <v>10408.32</v>
      </c>
      <c r="O26" s="250">
        <f>'Input Data'!O4</f>
        <v>0</v>
      </c>
      <c r="P26" s="251" t="str">
        <f>'Input Data'!P4</f>
        <v>FIXED 4%</v>
      </c>
      <c r="Q26" s="248">
        <f>IFERROR('Input Data'!Q4,"")</f>
        <v>46408</v>
      </c>
      <c r="R26" s="251" t="str">
        <f>'Input Data'!R4</f>
        <v>Gross</v>
      </c>
      <c r="S26" s="126">
        <f ca="1">'Input Data'!T4</f>
        <v>50.519999999999982</v>
      </c>
      <c r="T26" s="127">
        <f ca="1">'Input Data'!U4</f>
        <v>4.5927272727272712E-2</v>
      </c>
      <c r="U26" s="129">
        <f ca="1">'Input Data'!W4</f>
        <v>1701.1879534565367</v>
      </c>
      <c r="V26" s="251">
        <f>'Input Data'!X4</f>
        <v>0</v>
      </c>
    </row>
    <row r="27" spans="1:22" ht="15.75" customHeight="1" x14ac:dyDescent="0.35">
      <c r="A27" s="232" t="str">
        <f>'Input Data'!B27</f>
        <v>L11</v>
      </c>
      <c r="B27" s="258" t="str">
        <f>'Input Data'!C27</f>
        <v>1103</v>
      </c>
      <c r="C27" s="234" t="str">
        <f ca="1">'Input Data'!D27</f>
        <v>VACANT</v>
      </c>
      <c r="D27" s="234" t="str">
        <f ca="1">'Input Data'!E27</f>
        <v/>
      </c>
      <c r="E27" s="137">
        <f>'Input Data'!F27</f>
        <v>160.30000000000001</v>
      </c>
      <c r="F27" s="235" t="str">
        <f ca="1">IFERROR('Input Data'!G27,"")</f>
        <v/>
      </c>
      <c r="G27" s="235" t="str">
        <f ca="1">IFERROR('Input Data'!H27,"")</f>
        <v/>
      </c>
      <c r="H27" s="236" t="str">
        <f ca="1">'Input Data'!I27</f>
        <v/>
      </c>
      <c r="I27" s="136">
        <f ca="1">'Input Data'!V27</f>
        <v>0</v>
      </c>
      <c r="J27" s="134">
        <f>'Input Data'!J27</f>
        <v>0</v>
      </c>
      <c r="K27" s="134">
        <f>'Input Data'!S27</f>
        <v>1060</v>
      </c>
      <c r="L27" s="134">
        <f ca="1">'Input Data'!N27</f>
        <v>0</v>
      </c>
      <c r="M27" s="134">
        <f>'Input Data'!L27</f>
        <v>0</v>
      </c>
      <c r="N27" s="134">
        <f>'Input Data'!M27</f>
        <v>0</v>
      </c>
      <c r="O27" s="237">
        <f>'Input Data'!O27</f>
        <v>0</v>
      </c>
      <c r="P27" s="238">
        <f>'Input Data'!P27</f>
        <v>0</v>
      </c>
      <c r="Q27" s="235">
        <f>IFERROR('Input Data'!Q27,"")</f>
        <v>0</v>
      </c>
      <c r="R27" s="238">
        <f>'Input Data'!R27</f>
        <v>0</v>
      </c>
      <c r="S27" s="134" t="str">
        <f>'Input Data'!T27</f>
        <v/>
      </c>
      <c r="T27" s="135" t="str">
        <f>'Input Data'!U27</f>
        <v/>
      </c>
      <c r="U27" s="137">
        <f ca="1">'Input Data'!W27</f>
        <v>0</v>
      </c>
      <c r="V27" s="259">
        <f>'Input Data'!X27</f>
        <v>0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8"/>
  <sheetViews>
    <sheetView showGridLines="0" zoomScaleNormal="100" workbookViewId="0">
      <selection activeCell="C23" sqref="C23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657" t="s">
        <v>351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</row>
    <row r="2" spans="1:15" ht="27.75" customHeight="1" x14ac:dyDescent="0.35">
      <c r="A2" s="10" t="s">
        <v>352</v>
      </c>
      <c r="B2" s="10" t="s">
        <v>176</v>
      </c>
      <c r="C2" s="10" t="s">
        <v>353</v>
      </c>
      <c r="D2" s="10" t="s">
        <v>40</v>
      </c>
      <c r="E2" s="10" t="s">
        <v>28</v>
      </c>
      <c r="F2" s="10" t="s">
        <v>354</v>
      </c>
      <c r="G2" s="10" t="s">
        <v>355</v>
      </c>
      <c r="H2" s="10" t="s">
        <v>356</v>
      </c>
      <c r="I2" s="10" t="s">
        <v>357</v>
      </c>
      <c r="J2" s="10" t="s">
        <v>358</v>
      </c>
      <c r="K2" s="10" t="s">
        <v>359</v>
      </c>
      <c r="L2" s="10" t="s">
        <v>360</v>
      </c>
      <c r="M2" s="10" t="s">
        <v>361</v>
      </c>
      <c r="N2" s="10" t="s">
        <v>362</v>
      </c>
      <c r="O2" s="10" t="s">
        <v>193</v>
      </c>
    </row>
    <row r="3" spans="1:15" ht="15.75" customHeight="1" x14ac:dyDescent="0.35">
      <c r="A3" s="68">
        <v>45931</v>
      </c>
      <c r="B3" s="69" t="s">
        <v>363</v>
      </c>
      <c r="C3" s="70" t="s">
        <v>364</v>
      </c>
      <c r="D3" s="71" t="s">
        <v>365</v>
      </c>
      <c r="E3" s="53">
        <v>193.4</v>
      </c>
      <c r="F3" s="54">
        <v>900</v>
      </c>
      <c r="G3" s="4">
        <v>3.7499999999999999E-2</v>
      </c>
      <c r="H3" s="68">
        <v>45931</v>
      </c>
      <c r="I3" s="68">
        <v>46660</v>
      </c>
      <c r="J3" s="71" t="s">
        <v>366</v>
      </c>
      <c r="K3" s="72">
        <v>0.31</v>
      </c>
      <c r="L3" s="54">
        <v>110228</v>
      </c>
      <c r="M3" s="54">
        <v>83849</v>
      </c>
      <c r="N3" s="54">
        <v>21758</v>
      </c>
      <c r="O3" s="69"/>
    </row>
    <row r="4" spans="1:15" ht="15.75" customHeight="1" x14ac:dyDescent="0.35">
      <c r="A4" s="73">
        <v>45839</v>
      </c>
      <c r="B4" s="74" t="s">
        <v>367</v>
      </c>
      <c r="C4" s="70" t="s">
        <v>364</v>
      </c>
      <c r="D4" s="75" t="s">
        <v>368</v>
      </c>
      <c r="E4" s="57">
        <v>145.6</v>
      </c>
      <c r="F4" s="58">
        <v>1000</v>
      </c>
      <c r="G4" s="76">
        <v>3.7499999999999999E-2</v>
      </c>
      <c r="H4" s="73">
        <v>45658</v>
      </c>
      <c r="I4" s="73">
        <v>47483</v>
      </c>
      <c r="J4" s="75" t="s">
        <v>369</v>
      </c>
      <c r="K4" s="77">
        <v>0.32</v>
      </c>
      <c r="L4" s="58">
        <v>144581</v>
      </c>
      <c r="M4" s="58">
        <v>88357</v>
      </c>
      <c r="N4" s="58">
        <v>0</v>
      </c>
      <c r="O4" s="74"/>
    </row>
    <row r="5" spans="1:15" ht="15.75" customHeight="1" x14ac:dyDescent="0.35">
      <c r="A5" s="68">
        <v>45678</v>
      </c>
      <c r="B5" s="69" t="s">
        <v>370</v>
      </c>
      <c r="C5" s="70" t="s">
        <v>364</v>
      </c>
      <c r="D5" s="71" t="s">
        <v>98</v>
      </c>
      <c r="E5" s="53">
        <v>298.3</v>
      </c>
      <c r="F5" s="54">
        <v>1106.27</v>
      </c>
      <c r="G5" s="4">
        <v>0.04</v>
      </c>
      <c r="H5" s="68">
        <v>45678</v>
      </c>
      <c r="I5" s="68">
        <v>48233</v>
      </c>
      <c r="J5" s="71" t="s">
        <v>371</v>
      </c>
      <c r="K5" s="72">
        <v>0.25</v>
      </c>
      <c r="L5" s="54">
        <v>82500</v>
      </c>
      <c r="M5" s="54">
        <v>495000</v>
      </c>
      <c r="N5" s="54">
        <v>0</v>
      </c>
      <c r="O5" s="69"/>
    </row>
    <row r="6" spans="1:15" ht="15.75" customHeight="1" x14ac:dyDescent="0.35">
      <c r="A6" s="73">
        <v>45292</v>
      </c>
      <c r="B6" s="74" t="s">
        <v>372</v>
      </c>
      <c r="C6" s="78" t="s">
        <v>373</v>
      </c>
      <c r="D6" s="75" t="s">
        <v>374</v>
      </c>
      <c r="E6" s="57">
        <v>303</v>
      </c>
      <c r="F6" s="58">
        <v>1100</v>
      </c>
      <c r="G6" s="76">
        <v>3.7499999999999999E-2</v>
      </c>
      <c r="H6" s="73">
        <v>44562</v>
      </c>
      <c r="I6" s="73">
        <v>47573</v>
      </c>
      <c r="J6" s="75" t="s">
        <v>369</v>
      </c>
      <c r="K6" s="77">
        <v>0.34</v>
      </c>
      <c r="L6" s="58">
        <v>0</v>
      </c>
      <c r="M6" s="58">
        <v>533280</v>
      </c>
      <c r="N6" s="58">
        <v>33330</v>
      </c>
      <c r="O6" s="74"/>
    </row>
    <row r="7" spans="1:15" ht="15.75" customHeight="1" x14ac:dyDescent="0.35">
      <c r="A7" s="71"/>
      <c r="B7" s="69" t="s">
        <v>375</v>
      </c>
      <c r="C7" s="78" t="s">
        <v>373</v>
      </c>
      <c r="D7" s="71" t="s">
        <v>376</v>
      </c>
      <c r="E7" s="53">
        <v>162.4</v>
      </c>
      <c r="F7" s="54">
        <v>1010.25</v>
      </c>
      <c r="G7" s="71"/>
      <c r="H7" s="68">
        <v>42795</v>
      </c>
      <c r="I7" s="68">
        <v>46203</v>
      </c>
      <c r="J7" s="71" t="s">
        <v>377</v>
      </c>
      <c r="K7" s="71"/>
      <c r="L7" s="54">
        <v>0</v>
      </c>
      <c r="M7" s="54">
        <v>0</v>
      </c>
      <c r="N7" s="54">
        <v>0</v>
      </c>
      <c r="O7" s="69" t="s">
        <v>378</v>
      </c>
    </row>
    <row r="8" spans="1:15" ht="15.75" customHeight="1" x14ac:dyDescent="0.35">
      <c r="A8" s="75"/>
      <c r="B8" s="74" t="s">
        <v>379</v>
      </c>
      <c r="C8" s="78" t="s">
        <v>373</v>
      </c>
      <c r="D8" s="75" t="s">
        <v>380</v>
      </c>
      <c r="E8" s="57">
        <v>52.8</v>
      </c>
      <c r="F8" s="58">
        <v>1287.3800000000001</v>
      </c>
      <c r="G8" s="76">
        <v>0.04</v>
      </c>
      <c r="H8" s="73">
        <v>44727</v>
      </c>
      <c r="I8" s="73">
        <v>46918</v>
      </c>
      <c r="J8" s="75" t="s">
        <v>381</v>
      </c>
      <c r="K8" s="77">
        <v>0.25</v>
      </c>
      <c r="L8" s="58">
        <v>0</v>
      </c>
      <c r="M8" s="58">
        <v>49183</v>
      </c>
      <c r="N8" s="58">
        <v>0</v>
      </c>
      <c r="O8" s="74" t="s">
        <v>382</v>
      </c>
    </row>
    <row r="9" spans="1:15" ht="15.75" customHeight="1" x14ac:dyDescent="0.35">
      <c r="A9" s="71"/>
      <c r="B9" s="69" t="s">
        <v>383</v>
      </c>
      <c r="C9" s="78" t="s">
        <v>373</v>
      </c>
      <c r="D9" s="71" t="s">
        <v>384</v>
      </c>
      <c r="E9" s="53">
        <v>96.3</v>
      </c>
      <c r="F9" s="54">
        <v>982.68</v>
      </c>
      <c r="G9" s="4">
        <v>3.5000000000000003E-2</v>
      </c>
      <c r="H9" s="68">
        <v>44378</v>
      </c>
      <c r="I9" s="68">
        <v>46918</v>
      </c>
      <c r="J9" s="71" t="s">
        <v>385</v>
      </c>
      <c r="K9" s="71"/>
      <c r="L9" s="54">
        <v>0</v>
      </c>
      <c r="M9" s="54">
        <v>0</v>
      </c>
      <c r="N9" s="54">
        <v>0</v>
      </c>
      <c r="O9" s="69" t="s">
        <v>386</v>
      </c>
    </row>
    <row r="12" spans="1:15" ht="19.5" customHeight="1" x14ac:dyDescent="0.35">
      <c r="A12" s="541" t="s">
        <v>387</v>
      </c>
      <c r="B12" s="530"/>
      <c r="C12" s="530"/>
    </row>
    <row r="13" spans="1:15" ht="15.75" customHeight="1" x14ac:dyDescent="0.35">
      <c r="A13" s="659" t="s">
        <v>388</v>
      </c>
      <c r="B13" s="526"/>
      <c r="C13" s="79" t="s">
        <v>389</v>
      </c>
    </row>
    <row r="14" spans="1:15" ht="15.75" customHeight="1" x14ac:dyDescent="0.35">
      <c r="A14" s="658" t="s">
        <v>390</v>
      </c>
      <c r="B14" s="526"/>
      <c r="C14" s="80" t="s">
        <v>391</v>
      </c>
    </row>
    <row r="15" spans="1:15" ht="15.75" customHeight="1" x14ac:dyDescent="0.35">
      <c r="A15" s="659" t="s">
        <v>392</v>
      </c>
      <c r="B15" s="526"/>
      <c r="C15" s="79" t="s">
        <v>393</v>
      </c>
    </row>
    <row r="16" spans="1:15" ht="15.75" customHeight="1" x14ac:dyDescent="0.35">
      <c r="A16" s="658" t="s">
        <v>394</v>
      </c>
      <c r="B16" s="526"/>
      <c r="C16" s="80" t="s">
        <v>395</v>
      </c>
    </row>
    <row r="17" spans="1:3" ht="15.75" customHeight="1" x14ac:dyDescent="0.35">
      <c r="A17" s="659" t="s">
        <v>396</v>
      </c>
      <c r="B17" s="526"/>
      <c r="C17" s="79" t="s">
        <v>397</v>
      </c>
    </row>
    <row r="18" spans="1:3" ht="15.75" customHeight="1" x14ac:dyDescent="0.35">
      <c r="A18" s="658" t="s">
        <v>398</v>
      </c>
      <c r="B18" s="526"/>
      <c r="C18" s="80" t="s">
        <v>399</v>
      </c>
    </row>
  </sheetData>
  <mergeCells count="8">
    <mergeCell ref="A18:B18"/>
    <mergeCell ref="A17:B17"/>
    <mergeCell ref="A12:C12"/>
    <mergeCell ref="A1:N1"/>
    <mergeCell ref="A16:B16"/>
    <mergeCell ref="A15:B15"/>
    <mergeCell ref="A13:B13"/>
    <mergeCell ref="A14:B1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657" t="s">
        <v>400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</row>
    <row r="2" spans="1:12" ht="15.75" customHeight="1" x14ac:dyDescent="0.35">
      <c r="A2" s="631" t="s">
        <v>401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</row>
    <row r="3" spans="1:12" ht="31.5" customHeight="1" x14ac:dyDescent="0.35">
      <c r="A3" s="10" t="s">
        <v>40</v>
      </c>
      <c r="B3" s="10" t="s">
        <v>402</v>
      </c>
      <c r="C3" s="10" t="s">
        <v>403</v>
      </c>
      <c r="D3" s="10" t="s">
        <v>83</v>
      </c>
      <c r="E3" s="10" t="s">
        <v>188</v>
      </c>
      <c r="F3" s="10" t="s">
        <v>45</v>
      </c>
      <c r="G3" s="10" t="s">
        <v>46</v>
      </c>
      <c r="H3" s="10" t="s">
        <v>404</v>
      </c>
      <c r="I3" s="10" t="s">
        <v>405</v>
      </c>
      <c r="J3" s="10" t="s">
        <v>406</v>
      </c>
      <c r="K3" s="10" t="s">
        <v>407</v>
      </c>
      <c r="L3" s="10" t="s">
        <v>406</v>
      </c>
    </row>
    <row r="4" spans="1:12" ht="15.75" customHeight="1" x14ac:dyDescent="0.35">
      <c r="A4" s="52" t="s">
        <v>200</v>
      </c>
      <c r="B4" s="11">
        <f>IFERROR(INDEX('Input Data'!F:F,MATCH(A4,'Input Data'!$C:$C,0)),"")</f>
        <v>151.19999999999999</v>
      </c>
      <c r="C4" s="6" t="str">
        <f ca="1">IFERROR(INDEX('Input Data'!D:D,MATCH(A4,'Input Data'!$C:$C,0)),"")</f>
        <v>OPULENT TWO ENTERPRISES</v>
      </c>
      <c r="D4" s="13">
        <f ca="1">IFERROR(INDEX('Input Data'!J:J,MATCH(A4,'Input Data'!$C:$C,0)),0)</f>
        <v>1002.01</v>
      </c>
      <c r="E4" s="13">
        <v>930</v>
      </c>
      <c r="F4" s="13">
        <f t="shared" ref="F4:F28" ca="1" si="0">IFERROR(D4-E4,"")</f>
        <v>72.009999999999991</v>
      </c>
      <c r="G4" s="14">
        <f t="shared" ref="G4:G28" ca="1" si="1">IFERROR((D4-E4)/E4,"")</f>
        <v>7.7430107526881717E-2</v>
      </c>
      <c r="H4" s="81">
        <v>0.23</v>
      </c>
      <c r="I4" s="81">
        <v>0.24</v>
      </c>
      <c r="J4" s="81">
        <v>0.25</v>
      </c>
      <c r="K4" s="81">
        <v>0.22</v>
      </c>
      <c r="L4" s="81">
        <v>0.25</v>
      </c>
    </row>
    <row r="5" spans="1:12" ht="15.75" customHeight="1" x14ac:dyDescent="0.35">
      <c r="A5" s="56" t="s">
        <v>205</v>
      </c>
      <c r="B5" s="16">
        <f>IFERROR(INDEX('Input Data'!F:F,MATCH(A5,'Input Data'!$C:$C,0)),"")</f>
        <v>298.3</v>
      </c>
      <c r="C5" s="67" t="str">
        <f ca="1">IFERROR(INDEX('Input Data'!D:D,MATCH(A5,'Input Data'!$C:$C,0)),"")</f>
        <v>RCVRI MARTIN PLACE PTY LTD</v>
      </c>
      <c r="D5" s="18">
        <f ca="1">IFERROR(INDEX('Input Data'!J:J,MATCH(A5,'Input Data'!$C:$C,0)),0)</f>
        <v>1150.52</v>
      </c>
      <c r="E5" s="18">
        <v>1100</v>
      </c>
      <c r="F5" s="18">
        <f t="shared" ca="1" si="0"/>
        <v>50.519999999999982</v>
      </c>
      <c r="G5" s="19">
        <f t="shared" ca="1" si="1"/>
        <v>4.5927272727272712E-2</v>
      </c>
      <c r="H5" s="82">
        <v>0.28000000000000003</v>
      </c>
      <c r="I5" s="82">
        <v>0.3</v>
      </c>
      <c r="J5" s="82">
        <v>0.31</v>
      </c>
      <c r="K5" s="82">
        <v>0.26</v>
      </c>
      <c r="L5" s="82">
        <v>0.28999999999999998</v>
      </c>
    </row>
    <row r="6" spans="1:12" ht="15.75" customHeight="1" x14ac:dyDescent="0.35">
      <c r="A6" s="52" t="s">
        <v>209</v>
      </c>
      <c r="B6" s="11">
        <f>IFERROR(INDEX('Input Data'!F:F,MATCH(A6,'Input Data'!$C:$C,0)),"")</f>
        <v>162.4</v>
      </c>
      <c r="C6" s="6" t="str">
        <f ca="1">IFERROR(INDEX('Input Data'!D:D,MATCH(A6,'Input Data'!$C:$C,0)),"")</f>
        <v>BLITZEM PTY LTD</v>
      </c>
      <c r="D6" s="13">
        <f ca="1">IFERROR(INDEX('Input Data'!J:J,MATCH(A6,'Input Data'!$C:$C,0)),0)</f>
        <v>1010.25</v>
      </c>
      <c r="E6" s="13">
        <v>1115</v>
      </c>
      <c r="F6" s="13">
        <f t="shared" ca="1" si="0"/>
        <v>-104.75</v>
      </c>
      <c r="G6" s="14">
        <f t="shared" ca="1" si="1"/>
        <v>-9.3946188340807174E-2</v>
      </c>
      <c r="H6" s="81">
        <v>0.26</v>
      </c>
      <c r="I6" s="81">
        <v>0.27</v>
      </c>
      <c r="J6" s="81">
        <v>0.28999999999999998</v>
      </c>
      <c r="K6" s="81">
        <v>0.24</v>
      </c>
      <c r="L6" s="81">
        <v>0.27</v>
      </c>
    </row>
    <row r="7" spans="1:12" ht="15.75" customHeight="1" x14ac:dyDescent="0.35">
      <c r="A7" s="56" t="s">
        <v>213</v>
      </c>
      <c r="B7" s="16">
        <f>IFERROR(INDEX('Input Data'!F:F,MATCH(A7,'Input Data'!$C:$C,0)),"")</f>
        <v>96.3</v>
      </c>
      <c r="C7" s="67" t="str">
        <f ca="1">IFERROR(INDEX('Input Data'!D:D,MATCH(A7,'Input Data'!$C:$C,0)),"")</f>
        <v>PU PRIME TRADING PTY LTD</v>
      </c>
      <c r="D7" s="18">
        <f ca="1">IFERROR(INDEX('Input Data'!J:J,MATCH(A7,'Input Data'!$C:$C,0)),0)</f>
        <v>982.68</v>
      </c>
      <c r="E7" s="18">
        <v>960</v>
      </c>
      <c r="F7" s="18">
        <f t="shared" ca="1" si="0"/>
        <v>22.67999999999995</v>
      </c>
      <c r="G7" s="19">
        <f t="shared" ca="1" si="1"/>
        <v>2.3624999999999948E-2</v>
      </c>
      <c r="H7" s="82">
        <v>0.23</v>
      </c>
      <c r="I7" s="82">
        <v>0.24</v>
      </c>
      <c r="J7" s="82">
        <v>0.25</v>
      </c>
      <c r="K7" s="82">
        <v>0.22</v>
      </c>
      <c r="L7" s="82">
        <v>0.24</v>
      </c>
    </row>
    <row r="8" spans="1:12" ht="15.75" customHeight="1" x14ac:dyDescent="0.35">
      <c r="A8" s="52" t="s">
        <v>216</v>
      </c>
      <c r="B8" s="11">
        <f>IFERROR(INDEX('Input Data'!F:F,MATCH(A8,'Input Data'!$C:$C,0)),"")</f>
        <v>98.1</v>
      </c>
      <c r="C8" s="6" t="str">
        <f ca="1">IFERROR(INDEX('Input Data'!D:D,MATCH(A8,'Input Data'!$C:$C,0)),"")</f>
        <v>TJC#1 PTY LTD</v>
      </c>
      <c r="D8" s="13">
        <f ca="1">IFERROR(INDEX('Input Data'!J:J,MATCH(A8,'Input Data'!$C:$C,0)),0)</f>
        <v>973.44</v>
      </c>
      <c r="E8" s="13">
        <v>960</v>
      </c>
      <c r="F8" s="13">
        <f t="shared" ca="1" si="0"/>
        <v>13.440000000000055</v>
      </c>
      <c r="G8" s="14">
        <f t="shared" ca="1" si="1"/>
        <v>1.4000000000000058E-2</v>
      </c>
      <c r="H8" s="81">
        <v>0.23</v>
      </c>
      <c r="I8" s="81">
        <v>0.24</v>
      </c>
      <c r="J8" s="81">
        <v>0.25</v>
      </c>
      <c r="K8" s="81">
        <v>0.22</v>
      </c>
      <c r="L8" s="81">
        <v>0.24</v>
      </c>
    </row>
    <row r="9" spans="1:12" ht="15.75" customHeight="1" x14ac:dyDescent="0.35">
      <c r="A9" s="56" t="s">
        <v>219</v>
      </c>
      <c r="B9" s="16">
        <f>IFERROR(INDEX('Input Data'!F:F,MATCH(A9,'Input Data'!$C:$C,0)),"")</f>
        <v>393.2</v>
      </c>
      <c r="C9" s="67" t="str">
        <f ca="1">IFERROR(INDEX('Input Data'!D:D,MATCH(A9,'Input Data'!$C:$C,0)),"")</f>
        <v>PRINCETON FINANCIAL SERVICES</v>
      </c>
      <c r="D9" s="18">
        <f ca="1">IFERROR(INDEX('Input Data'!J:J,MATCH(A9,'Input Data'!$C:$C,0)),0)</f>
        <v>1081.5999999999999</v>
      </c>
      <c r="E9" s="18">
        <v>1095</v>
      </c>
      <c r="F9" s="18">
        <f t="shared" ca="1" si="0"/>
        <v>-13.400000000000091</v>
      </c>
      <c r="G9" s="19">
        <f t="shared" ca="1" si="1"/>
        <v>-1.2237442922374513E-2</v>
      </c>
      <c r="H9" s="82">
        <v>0.3</v>
      </c>
      <c r="I9" s="82">
        <v>0.33</v>
      </c>
      <c r="J9" s="82">
        <v>0.35</v>
      </c>
      <c r="K9" s="82">
        <v>0.3</v>
      </c>
      <c r="L9" s="82">
        <v>0.35</v>
      </c>
    </row>
    <row r="10" spans="1:12" ht="15.75" customHeight="1" x14ac:dyDescent="0.35">
      <c r="A10" s="52" t="s">
        <v>222</v>
      </c>
      <c r="B10" s="11">
        <f>IFERROR(INDEX('Input Data'!F:F,MATCH(A10,'Input Data'!$C:$C,0)),"")</f>
        <v>164.2</v>
      </c>
      <c r="C10" s="6" t="str">
        <f ca="1">IFERROR(INDEX('Input Data'!D:D,MATCH(A10,'Input Data'!$C:$C,0)),"")</f>
        <v>IPM RESIDENTIAL PTY LTD</v>
      </c>
      <c r="D10" s="13">
        <f ca="1">IFERROR(INDEX('Input Data'!J:J,MATCH(A10,'Input Data'!$C:$C,0)),0)</f>
        <v>1172.6099999999999</v>
      </c>
      <c r="E10" s="13">
        <v>1135</v>
      </c>
      <c r="F10" s="13">
        <f t="shared" ca="1" si="0"/>
        <v>37.6099999999999</v>
      </c>
      <c r="G10" s="14">
        <f t="shared" ca="1" si="1"/>
        <v>3.3136563876651891E-2</v>
      </c>
      <c r="H10" s="81">
        <v>0.26</v>
      </c>
      <c r="I10" s="81">
        <v>0.27</v>
      </c>
      <c r="J10" s="81">
        <v>0.28999999999999998</v>
      </c>
      <c r="K10" s="81">
        <v>0.24</v>
      </c>
      <c r="L10" s="81">
        <v>0.27</v>
      </c>
    </row>
    <row r="11" spans="1:12" ht="15.75" customHeight="1" x14ac:dyDescent="0.35">
      <c r="A11" s="56" t="s">
        <v>226</v>
      </c>
      <c r="B11" s="16">
        <f>IFERROR(INDEX('Input Data'!F:F,MATCH(A11,'Input Data'!$C:$C,0)),"")</f>
        <v>193.4</v>
      </c>
      <c r="C11" s="67" t="str">
        <f ca="1">IFERROR(INDEX('Input Data'!D:D,MATCH(A11,'Input Data'!$C:$C,0)),"")</f>
        <v>BROADRIDGE (AUSTRALIA) PTY LTD</v>
      </c>
      <c r="D11" s="18">
        <f ca="1">IFERROR(INDEX('Input Data'!J:J,MATCH(A11,'Input Data'!$C:$C,0)),0)</f>
        <v>933.75</v>
      </c>
      <c r="E11" s="18">
        <v>920</v>
      </c>
      <c r="F11" s="18">
        <f t="shared" ca="1" si="0"/>
        <v>13.75</v>
      </c>
      <c r="G11" s="19">
        <f t="shared" ca="1" si="1"/>
        <v>1.4945652173913044E-2</v>
      </c>
      <c r="H11" s="82">
        <v>0.28999999999999998</v>
      </c>
      <c r="I11" s="82">
        <v>0.31</v>
      </c>
      <c r="J11" s="82">
        <v>0.34</v>
      </c>
      <c r="K11" s="82">
        <v>0.28000000000000003</v>
      </c>
      <c r="L11" s="82">
        <v>0.33</v>
      </c>
    </row>
    <row r="12" spans="1:12" ht="15.75" customHeight="1" x14ac:dyDescent="0.35">
      <c r="A12" s="52" t="s">
        <v>229</v>
      </c>
      <c r="B12" s="11">
        <f>IFERROR(INDEX('Input Data'!F:F,MATCH(A12,'Input Data'!$C:$C,0)),"")</f>
        <v>214.1</v>
      </c>
      <c r="C12" s="6" t="str">
        <f ca="1">IFERROR(INDEX('Input Data'!D:D,MATCH(A12,'Input Data'!$C:$C,0)),"")</f>
        <v>B-W INTERNATIONAL AUSTRALIA PTY LTD</v>
      </c>
      <c r="D12" s="13">
        <f ca="1">IFERROR(INDEX('Input Data'!J:J,MATCH(A12,'Input Data'!$C:$C,0)),0)</f>
        <v>1135.6099999999999</v>
      </c>
      <c r="E12" s="13">
        <v>1145</v>
      </c>
      <c r="F12" s="13">
        <f t="shared" ca="1" si="0"/>
        <v>-9.3900000000001</v>
      </c>
      <c r="G12" s="14">
        <f t="shared" ca="1" si="1"/>
        <v>-8.2008733624455016E-3</v>
      </c>
      <c r="H12" s="81">
        <v>0.28000000000000003</v>
      </c>
      <c r="I12" s="81">
        <v>0.3</v>
      </c>
      <c r="J12" s="81">
        <v>0.31</v>
      </c>
      <c r="K12" s="81">
        <v>0.26</v>
      </c>
      <c r="L12" s="81">
        <v>0.28999999999999998</v>
      </c>
    </row>
    <row r="13" spans="1:12" ht="15.75" customHeight="1" x14ac:dyDescent="0.35">
      <c r="A13" s="56" t="s">
        <v>232</v>
      </c>
      <c r="B13" s="16">
        <f>IFERROR(INDEX('Input Data'!F:F,MATCH(A13,'Input Data'!$C:$C,0)),"")</f>
        <v>145.6</v>
      </c>
      <c r="C13" s="67" t="str">
        <f ca="1">IFERROR(INDEX('Input Data'!D:D,MATCH(A13,'Input Data'!$C:$C,0)),"")</f>
        <v>MP TRAVEL PTY LTD</v>
      </c>
      <c r="D13" s="18">
        <f ca="1">IFERROR(INDEX('Input Data'!J:J,MATCH(A13,'Input Data'!$C:$C,0)),0)</f>
        <v>1037.5</v>
      </c>
      <c r="E13" s="18">
        <v>1000</v>
      </c>
      <c r="F13" s="18">
        <f t="shared" ca="1" si="0"/>
        <v>37.5</v>
      </c>
      <c r="G13" s="19">
        <f t="shared" ca="1" si="1"/>
        <v>3.7499999999999999E-2</v>
      </c>
      <c r="H13" s="82">
        <v>0.26</v>
      </c>
      <c r="I13" s="82">
        <v>0.27</v>
      </c>
      <c r="J13" s="82">
        <v>0.28999999999999998</v>
      </c>
      <c r="K13" s="82">
        <v>0.24</v>
      </c>
      <c r="L13" s="82">
        <v>0.27</v>
      </c>
    </row>
    <row r="14" spans="1:12" ht="15.75" customHeight="1" x14ac:dyDescent="0.35">
      <c r="A14" s="52" t="s">
        <v>235</v>
      </c>
      <c r="B14" s="11">
        <f>IFERROR(INDEX('Input Data'!F:F,MATCH(A14,'Input Data'!$C:$C,0)),"")</f>
        <v>212.3</v>
      </c>
      <c r="C14" s="6" t="str">
        <f ca="1">IFERROR(INDEX('Input Data'!D:D,MATCH(A14,'Input Data'!$C:$C,0)),"")</f>
        <v>MONTGOMERY INVESTMENT</v>
      </c>
      <c r="D14" s="13">
        <f ca="1">IFERROR(INDEX('Input Data'!J:J,MATCH(A14,'Input Data'!$C:$C,0)),0)</f>
        <v>1341.24</v>
      </c>
      <c r="E14" s="13">
        <v>1155</v>
      </c>
      <c r="F14" s="13">
        <f t="shared" ca="1" si="0"/>
        <v>186.24</v>
      </c>
      <c r="G14" s="14">
        <f t="shared" ca="1" si="1"/>
        <v>0.16124675324675325</v>
      </c>
      <c r="H14" s="81">
        <v>0.28000000000000003</v>
      </c>
      <c r="I14" s="81">
        <v>0.3</v>
      </c>
      <c r="J14" s="81">
        <v>0.31</v>
      </c>
      <c r="K14" s="81">
        <v>0.26</v>
      </c>
      <c r="L14" s="81">
        <v>0.28999999999999998</v>
      </c>
    </row>
    <row r="15" spans="1:12" ht="15.75" customHeight="1" x14ac:dyDescent="0.35">
      <c r="A15" s="56" t="s">
        <v>238</v>
      </c>
      <c r="B15" s="16">
        <f>IFERROR(INDEX('Input Data'!F:F,MATCH(A15,'Input Data'!$C:$C,0)),"")</f>
        <v>163.80000000000001</v>
      </c>
      <c r="C15" s="67" t="str">
        <f ca="1">IFERROR(INDEX('Input Data'!D:D,MATCH(A15,'Input Data'!$C:$C,0)),"")</f>
        <v>THREAT DEFENCE</v>
      </c>
      <c r="D15" s="18">
        <f ca="1">IFERROR(INDEX('Input Data'!J:J,MATCH(A15,'Input Data'!$C:$C,0)),0)</f>
        <v>1016.75</v>
      </c>
      <c r="E15" s="18">
        <v>1020</v>
      </c>
      <c r="F15" s="18">
        <f t="shared" ca="1" si="0"/>
        <v>-3.25</v>
      </c>
      <c r="G15" s="19">
        <f t="shared" ca="1" si="1"/>
        <v>-3.1862745098039215E-3</v>
      </c>
      <c r="H15" s="82">
        <v>0.26</v>
      </c>
      <c r="I15" s="82">
        <v>0.27</v>
      </c>
      <c r="J15" s="82">
        <v>0.28999999999999998</v>
      </c>
      <c r="K15" s="82">
        <v>0.24</v>
      </c>
      <c r="L15" s="82">
        <v>0.27</v>
      </c>
    </row>
    <row r="16" spans="1:12" ht="15.75" customHeight="1" x14ac:dyDescent="0.35">
      <c r="A16" s="52" t="s">
        <v>241</v>
      </c>
      <c r="B16" s="11">
        <f>IFERROR(INDEX('Input Data'!F:F,MATCH(A16,'Input Data'!$C:$C,0)),"")</f>
        <v>226.1</v>
      </c>
      <c r="C16" s="6" t="str">
        <f ca="1">IFERROR(INDEX('Input Data'!D:D,MATCH(A16,'Input Data'!$C:$C,0)),"")</f>
        <v>FULLCRM PTY LTD</v>
      </c>
      <c r="D16" s="13">
        <f ca="1">IFERROR(INDEX('Input Data'!J:J,MATCH(A16,'Input Data'!$C:$C,0)),0)</f>
        <v>1251.3399999999999</v>
      </c>
      <c r="E16" s="13">
        <v>1165</v>
      </c>
      <c r="F16" s="13">
        <f t="shared" ca="1" si="0"/>
        <v>86.339999999999918</v>
      </c>
      <c r="G16" s="14">
        <f t="shared" ca="1" si="1"/>
        <v>7.4111587982832544E-2</v>
      </c>
      <c r="H16" s="81">
        <v>0.28000000000000003</v>
      </c>
      <c r="I16" s="81">
        <v>0.3</v>
      </c>
      <c r="J16" s="81">
        <v>0.31</v>
      </c>
      <c r="K16" s="81">
        <v>0.26</v>
      </c>
      <c r="L16" s="81">
        <v>0.28999999999999998</v>
      </c>
    </row>
    <row r="17" spans="1:12" ht="15.75" customHeight="1" x14ac:dyDescent="0.35">
      <c r="A17" s="56" t="s">
        <v>244</v>
      </c>
      <c r="B17" s="16">
        <f>IFERROR(INDEX('Input Data'!F:F,MATCH(A17,'Input Data'!$C:$C,0)),"")</f>
        <v>152.1</v>
      </c>
      <c r="C17" s="67" t="str">
        <f ca="1">IFERROR(INDEX('Input Data'!D:D,MATCH(A17,'Input Data'!$C:$C,0)),"")</f>
        <v>VACANT</v>
      </c>
      <c r="D17" s="18">
        <f ca="1">IFERROR(INDEX('Input Data'!J:J,MATCH(A17,'Input Data'!$C:$C,0)),0)</f>
        <v>0</v>
      </c>
      <c r="E17" s="18">
        <v>1030</v>
      </c>
      <c r="F17" s="18">
        <f t="shared" ca="1" si="0"/>
        <v>-1030</v>
      </c>
      <c r="G17" s="19">
        <f t="shared" ca="1" si="1"/>
        <v>-1</v>
      </c>
      <c r="H17" s="82">
        <v>0.26</v>
      </c>
      <c r="I17" s="82">
        <v>0.27</v>
      </c>
      <c r="J17" s="82">
        <v>0.28999999999999998</v>
      </c>
      <c r="K17" s="82">
        <v>0.24</v>
      </c>
      <c r="L17" s="82">
        <v>0.27</v>
      </c>
    </row>
    <row r="18" spans="1:12" ht="15.75" customHeight="1" x14ac:dyDescent="0.35">
      <c r="A18" s="52" t="s">
        <v>247</v>
      </c>
      <c r="B18" s="11">
        <f>IFERROR(INDEX('Input Data'!F:F,MATCH(A18,'Input Data'!$C:$C,0)),"")</f>
        <v>210.5</v>
      </c>
      <c r="C18" s="6" t="str">
        <f ca="1">IFERROR(INDEX('Input Data'!D:D,MATCH(A18,'Input Data'!$C:$C,0)),"")</f>
        <v>PINPOINT TALENT PTY LTD</v>
      </c>
      <c r="D18" s="13">
        <f ca="1">IFERROR(INDEX('Input Data'!J:J,MATCH(A18,'Input Data'!$C:$C,0)),0)</f>
        <v>1173.54</v>
      </c>
      <c r="E18" s="13">
        <v>1175</v>
      </c>
      <c r="F18" s="13">
        <f t="shared" ca="1" si="0"/>
        <v>-1.4600000000000364</v>
      </c>
      <c r="G18" s="14">
        <f t="shared" ca="1" si="1"/>
        <v>-1.2425531914893927E-3</v>
      </c>
      <c r="H18" s="81">
        <v>0.28000000000000003</v>
      </c>
      <c r="I18" s="81">
        <v>0.3</v>
      </c>
      <c r="J18" s="81">
        <v>0.31</v>
      </c>
      <c r="K18" s="81">
        <v>0.26</v>
      </c>
      <c r="L18" s="81">
        <v>0.28999999999999998</v>
      </c>
    </row>
    <row r="19" spans="1:12" ht="15.75" customHeight="1" x14ac:dyDescent="0.35">
      <c r="A19" s="56" t="s">
        <v>250</v>
      </c>
      <c r="B19" s="16">
        <f>IFERROR(INDEX('Input Data'!F:F,MATCH(A19,'Input Data'!$C:$C,0)),"")</f>
        <v>163.9</v>
      </c>
      <c r="C19" s="67" t="str">
        <f ca="1">IFERROR(INDEX('Input Data'!D:D,MATCH(A19,'Input Data'!$C:$C,0)),"")</f>
        <v>SATELLITE OFFICE PTY LTD</v>
      </c>
      <c r="D19" s="18">
        <f ca="1">IFERROR(INDEX('Input Data'!J:J,MATCH(A19,'Input Data'!$C:$C,0)),0)</f>
        <v>1016.75</v>
      </c>
      <c r="E19" s="18">
        <v>1040</v>
      </c>
      <c r="F19" s="18">
        <f t="shared" ca="1" si="0"/>
        <v>-23.25</v>
      </c>
      <c r="G19" s="19">
        <f t="shared" ca="1" si="1"/>
        <v>-2.2355769230769231E-2</v>
      </c>
      <c r="H19" s="82">
        <v>0.26</v>
      </c>
      <c r="I19" s="82">
        <v>0.27</v>
      </c>
      <c r="J19" s="82">
        <v>0.28999999999999998</v>
      </c>
      <c r="K19" s="82">
        <v>0.24</v>
      </c>
      <c r="L19" s="82">
        <v>0.28999999999999998</v>
      </c>
    </row>
    <row r="20" spans="1:12" ht="15.75" customHeight="1" x14ac:dyDescent="0.35">
      <c r="A20" s="52" t="s">
        <v>253</v>
      </c>
      <c r="B20" s="11">
        <f>IFERROR(INDEX('Input Data'!F:F,MATCH(A20,'Input Data'!$C:$C,0)),"")</f>
        <v>222</v>
      </c>
      <c r="C20" s="6" t="str">
        <f ca="1">IFERROR(INDEX('Input Data'!D:D,MATCH(A20,'Input Data'!$C:$C,0)),"")</f>
        <v>ARKANCE AUSTRALIA PTY LTD</v>
      </c>
      <c r="D20" s="13">
        <f ca="1">IFERROR(INDEX('Input Data'!J:J,MATCH(A20,'Input Data'!$C:$C,0)),0)</f>
        <v>1300</v>
      </c>
      <c r="E20" s="13">
        <v>1300</v>
      </c>
      <c r="F20" s="13">
        <f t="shared" ca="1" si="0"/>
        <v>0</v>
      </c>
      <c r="G20" s="14">
        <f t="shared" ca="1" si="1"/>
        <v>0</v>
      </c>
      <c r="H20" s="81">
        <v>0.28000000000000003</v>
      </c>
      <c r="I20" s="81">
        <v>0.3</v>
      </c>
      <c r="J20" s="81">
        <v>0.31</v>
      </c>
      <c r="K20" s="81">
        <v>0.26</v>
      </c>
      <c r="L20" s="81">
        <v>0.28999999999999998</v>
      </c>
    </row>
    <row r="21" spans="1:12" ht="15.75" customHeight="1" x14ac:dyDescent="0.35">
      <c r="A21" s="56" t="s">
        <v>256</v>
      </c>
      <c r="B21" s="16">
        <f>IFERROR(INDEX('Input Data'!F:F,MATCH(A21,'Input Data'!$C:$C,0)),"")</f>
        <v>138.5</v>
      </c>
      <c r="C21" s="67" t="str">
        <f ca="1">IFERROR(INDEX('Input Data'!D:D,MATCH(A21,'Input Data'!$C:$C,0)),"")</f>
        <v>HILLIARD &amp; BERRY</v>
      </c>
      <c r="D21" s="18">
        <f ca="1">IFERROR(INDEX('Input Data'!J:J,MATCH(A21,'Input Data'!$C:$C,0)),0)</f>
        <v>843.65</v>
      </c>
      <c r="E21" s="18">
        <v>1030</v>
      </c>
      <c r="F21" s="18">
        <f t="shared" ca="1" si="0"/>
        <v>-186.35000000000002</v>
      </c>
      <c r="G21" s="19">
        <f t="shared" ca="1" si="1"/>
        <v>-0.18092233009708741</v>
      </c>
      <c r="H21" s="82">
        <v>0.26</v>
      </c>
      <c r="I21" s="82">
        <v>0.27</v>
      </c>
      <c r="J21" s="82">
        <v>0.28999999999999998</v>
      </c>
      <c r="K21" s="82">
        <v>0.24</v>
      </c>
      <c r="L21" s="82">
        <v>0.26</v>
      </c>
    </row>
    <row r="22" spans="1:12" ht="15.75" customHeight="1" x14ac:dyDescent="0.35">
      <c r="A22" s="52" t="s">
        <v>259</v>
      </c>
      <c r="B22" s="11">
        <f>IFERROR(INDEX('Input Data'!F:F,MATCH(A22,'Input Data'!$C:$C,0)),"")</f>
        <v>52.8</v>
      </c>
      <c r="C22" s="6" t="str">
        <f ca="1">IFERROR(INDEX('Input Data'!D:D,MATCH(A22,'Input Data'!$C:$C,0)),"")</f>
        <v>AITKEN INVESTMENT MANAGEMENT PTY LTD</v>
      </c>
      <c r="D22" s="13">
        <f ca="1">IFERROR(INDEX('Input Data'!J:J,MATCH(A22,'Input Data'!$C:$C,0)),0)</f>
        <v>1287.3800000000001</v>
      </c>
      <c r="E22" s="13">
        <v>1350</v>
      </c>
      <c r="F22" s="13">
        <f t="shared" ca="1" si="0"/>
        <v>-62.619999999999891</v>
      </c>
      <c r="G22" s="14">
        <f t="shared" ca="1" si="1"/>
        <v>-4.6385185185185106E-2</v>
      </c>
      <c r="H22" s="81">
        <v>0.23</v>
      </c>
      <c r="I22" s="81">
        <v>0.24</v>
      </c>
      <c r="J22" s="81">
        <v>0.25</v>
      </c>
      <c r="K22" s="81">
        <v>0.22</v>
      </c>
      <c r="L22" s="81">
        <v>0.24</v>
      </c>
    </row>
    <row r="23" spans="1:12" ht="15.75" customHeight="1" x14ac:dyDescent="0.35">
      <c r="A23" s="56" t="s">
        <v>262</v>
      </c>
      <c r="B23" s="16">
        <f>IFERROR(INDEX('Input Data'!F:F,MATCH(A23,'Input Data'!$C:$C,0)),"")</f>
        <v>303</v>
      </c>
      <c r="C23" s="67" t="str">
        <f ca="1">IFERROR(INDEX('Input Data'!D:D,MATCH(A23,'Input Data'!$C:$C,0)),"")</f>
        <v>CAPITAL E MARKETING AND EVENTS PTY LTD</v>
      </c>
      <c r="D23" s="18">
        <f ca="1">IFERROR(INDEX('Input Data'!J:J,MATCH(A23,'Input Data'!$C:$C,0)),0)</f>
        <v>1141.25</v>
      </c>
      <c r="E23" s="18">
        <v>1125</v>
      </c>
      <c r="F23" s="18">
        <f t="shared" ca="1" si="0"/>
        <v>16.25</v>
      </c>
      <c r="G23" s="19">
        <f t="shared" ca="1" si="1"/>
        <v>1.4444444444444444E-2</v>
      </c>
      <c r="H23" s="82">
        <v>0.3</v>
      </c>
      <c r="I23" s="82">
        <v>0.33</v>
      </c>
      <c r="J23" s="82">
        <v>0.35</v>
      </c>
      <c r="K23" s="82">
        <v>0.3</v>
      </c>
      <c r="L23" s="82">
        <v>0.35</v>
      </c>
    </row>
    <row r="24" spans="1:12" ht="15.75" customHeight="1" x14ac:dyDescent="0.35">
      <c r="A24" s="52" t="s">
        <v>265</v>
      </c>
      <c r="B24" s="11">
        <f>IFERROR(INDEX('Input Data'!F:F,MATCH(A24,'Input Data'!$C:$C,0)),"")</f>
        <v>363.2</v>
      </c>
      <c r="C24" s="6" t="str">
        <f ca="1">IFERROR(INDEX('Input Data'!D:D,MATCH(A24,'Input Data'!$C:$C,0)),"")</f>
        <v>CONNECTUS SERVICES PTY LTD</v>
      </c>
      <c r="D24" s="13">
        <f ca="1">IFERROR(INDEX('Input Data'!J:J,MATCH(A24,'Input Data'!$C:$C,0)),0)</f>
        <v>1189.67</v>
      </c>
      <c r="E24" s="13">
        <v>1200</v>
      </c>
      <c r="F24" s="13">
        <f t="shared" ca="1" si="0"/>
        <v>-10.329999999999927</v>
      </c>
      <c r="G24" s="14">
        <f t="shared" ca="1" si="1"/>
        <v>-8.6083333333332734E-3</v>
      </c>
      <c r="H24" s="81">
        <v>0.3</v>
      </c>
      <c r="I24" s="81">
        <v>0.33</v>
      </c>
      <c r="J24" s="81">
        <v>0.35</v>
      </c>
      <c r="K24" s="81">
        <v>0.3</v>
      </c>
      <c r="L24" s="81">
        <v>0.35</v>
      </c>
    </row>
    <row r="25" spans="1:12" ht="15.75" customHeight="1" x14ac:dyDescent="0.35">
      <c r="A25" s="56" t="s">
        <v>269</v>
      </c>
      <c r="B25" s="16">
        <f>IFERROR(INDEX('Input Data'!F:F,MATCH(A25,'Input Data'!$C:$C,0)),"")</f>
        <v>62.4</v>
      </c>
      <c r="C25" s="67" t="str">
        <f ca="1">IFERROR(INDEX('Input Data'!D:D,MATCH(A25,'Input Data'!$C:$C,0)),"")</f>
        <v>MICHAEL FLEGG PTY LTD</v>
      </c>
      <c r="D25" s="18">
        <f ca="1">IFERROR(INDEX('Input Data'!J:J,MATCH(A25,'Input Data'!$C:$C,0)),0)</f>
        <v>1368.73</v>
      </c>
      <c r="E25" s="18">
        <v>1405</v>
      </c>
      <c r="F25" s="18">
        <f t="shared" ca="1" si="0"/>
        <v>-36.269999999999982</v>
      </c>
      <c r="G25" s="19">
        <f t="shared" ca="1" si="1"/>
        <v>-2.5814946619217068E-2</v>
      </c>
      <c r="H25" s="82">
        <v>0.23</v>
      </c>
      <c r="I25" s="82">
        <v>0.24</v>
      </c>
      <c r="J25" s="82">
        <v>0.25</v>
      </c>
      <c r="K25" s="82">
        <v>0.22</v>
      </c>
      <c r="L25" s="82">
        <v>0.24</v>
      </c>
    </row>
    <row r="26" spans="1:12" ht="15.75" customHeight="1" x14ac:dyDescent="0.35">
      <c r="A26" s="52" t="s">
        <v>272</v>
      </c>
      <c r="B26" s="11">
        <f>IFERROR(INDEX('Input Data'!F:F,MATCH(A26,'Input Data'!$C:$C,0)),"")</f>
        <v>133.1</v>
      </c>
      <c r="C26" s="6" t="str">
        <f ca="1">IFERROR(INDEX('Input Data'!D:D,MATCH(A26,'Input Data'!$C:$C,0)),"")</f>
        <v>PHARMX TECHNOLOGIES LIMITED</v>
      </c>
      <c r="D26" s="13">
        <f ca="1">IFERROR(INDEX('Input Data'!J:J,MATCH(A26,'Input Data'!$C:$C,0)),0)</f>
        <v>1222.21</v>
      </c>
      <c r="E26" s="13">
        <v>1250</v>
      </c>
      <c r="F26" s="13">
        <f t="shared" ca="1" si="0"/>
        <v>-27.789999999999964</v>
      </c>
      <c r="G26" s="14">
        <f t="shared" ca="1" si="1"/>
        <v>-2.2231999999999971E-2</v>
      </c>
      <c r="H26" s="81">
        <v>0.25</v>
      </c>
      <c r="I26" s="81">
        <v>0.27</v>
      </c>
      <c r="J26" s="81">
        <v>0.28000000000000003</v>
      </c>
      <c r="K26" s="81">
        <v>0.24</v>
      </c>
      <c r="L26" s="81">
        <v>0.26</v>
      </c>
    </row>
    <row r="27" spans="1:12" ht="15.75" customHeight="1" x14ac:dyDescent="0.35">
      <c r="A27" s="56" t="s">
        <v>279</v>
      </c>
      <c r="B27" s="16">
        <f>IFERROR(INDEX('Input Data'!F:F,MATCH(A27,'Input Data'!$C:$C,0)),"")</f>
        <v>160.30000000000001</v>
      </c>
      <c r="C27" s="67" t="str">
        <f ca="1">IFERROR(INDEX('Input Data'!D:D,MATCH(A27,'Input Data'!$C:$C,0)),"")</f>
        <v>VACANT</v>
      </c>
      <c r="D27" s="18">
        <f>IFERROR(INDEX('Input Data'!J:J,MATCH(A27,'Input Data'!$C:$C,0)),0)</f>
        <v>0</v>
      </c>
      <c r="E27" s="18">
        <v>1060</v>
      </c>
      <c r="F27" s="18">
        <f t="shared" si="0"/>
        <v>-1060</v>
      </c>
      <c r="G27" s="19">
        <f t="shared" si="1"/>
        <v>-1</v>
      </c>
      <c r="H27" s="82">
        <v>0.26</v>
      </c>
      <c r="I27" s="82">
        <v>0.27</v>
      </c>
      <c r="J27" s="82">
        <v>0.28999999999999998</v>
      </c>
      <c r="K27" s="82">
        <v>0.24</v>
      </c>
      <c r="L27" s="82">
        <v>0.26</v>
      </c>
    </row>
    <row r="28" spans="1:12" ht="15.75" customHeight="1" x14ac:dyDescent="0.35">
      <c r="A28" s="52" t="s">
        <v>86</v>
      </c>
      <c r="B28" s="11">
        <f>IFERROR(INDEX('Input Data'!F:F,MATCH(A28,'Input Data'!$C:$C,0)),"")</f>
        <v>223.7</v>
      </c>
      <c r="C28" s="6" t="str">
        <f ca="1">IFERROR(INDEX('Input Data'!D:D,MATCH(A28,'Input Data'!$C:$C,0)),"")</f>
        <v>DAKOTA CORPORATION</v>
      </c>
      <c r="D28" s="13">
        <f>IFERROR(INDEX('Input Data'!J:J,MATCH(A28,'Input Data'!$C:$C,0)),0)</f>
        <v>0</v>
      </c>
      <c r="E28" s="13">
        <v>384</v>
      </c>
      <c r="F28" s="13">
        <f t="shared" si="0"/>
        <v>-384</v>
      </c>
      <c r="G28" s="14">
        <f t="shared" si="1"/>
        <v>-1</v>
      </c>
      <c r="H28" s="81">
        <v>0</v>
      </c>
      <c r="I28" s="81">
        <v>0</v>
      </c>
      <c r="J28" s="81">
        <v>0</v>
      </c>
      <c r="K28" s="81">
        <v>0</v>
      </c>
      <c r="L28" s="81">
        <v>0</v>
      </c>
    </row>
    <row r="30" spans="1:12" ht="19.5" customHeight="1" x14ac:dyDescent="0.35">
      <c r="A30" s="541" t="s">
        <v>408</v>
      </c>
      <c r="B30" s="530"/>
      <c r="C30" s="530"/>
      <c r="D30" s="83">
        <f ca="1">IFERROR(SUMIF('Input Data'!K3:K27,"&gt;0",'Input Data'!J3:J27)/SUMIF('Input Data'!K3:K27,"&gt;0",'Input Data'!F3:F27),0)</f>
        <v>5.9093369158430082</v>
      </c>
      <c r="E30" s="84">
        <v>1118.5882608695699</v>
      </c>
      <c r="F30" s="84">
        <v>-14.725652173913</v>
      </c>
      <c r="G30" s="85">
        <v>-1.3164497330291699E-2</v>
      </c>
      <c r="H30" s="60"/>
      <c r="I30" s="60"/>
      <c r="J30" s="60"/>
      <c r="K30" s="60"/>
      <c r="L30" s="60"/>
    </row>
    <row r="32" spans="1:12" ht="15" customHeight="1" x14ac:dyDescent="0.35">
      <c r="A32" s="35" t="s">
        <v>282</v>
      </c>
      <c r="B32" s="86"/>
      <c r="C32" s="87" t="s">
        <v>409</v>
      </c>
      <c r="D32" s="88"/>
      <c r="E32" s="89" t="s">
        <v>410</v>
      </c>
      <c r="F32" s="90"/>
      <c r="G32" s="91" t="s">
        <v>411</v>
      </c>
    </row>
  </sheetData>
  <mergeCells count="3">
    <mergeCell ref="A1:L1"/>
    <mergeCell ref="A2:L2"/>
    <mergeCell ref="A30:C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2"/>
  <sheetViews>
    <sheetView showGridLines="0" topLeftCell="A21" zoomScaleNormal="100" workbookViewId="0">
      <selection sqref="A1:M1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628" t="s">
        <v>412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</row>
    <row r="2" spans="1:13" ht="15.75" customHeight="1" x14ac:dyDescent="0.35">
      <c r="A2" s="661" t="s">
        <v>413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</row>
    <row r="3" spans="1:13" ht="31.5" customHeight="1" x14ac:dyDescent="0.35">
      <c r="B3" s="50" t="s">
        <v>81</v>
      </c>
      <c r="C3" s="50" t="s">
        <v>40</v>
      </c>
      <c r="D3" s="50" t="s">
        <v>328</v>
      </c>
      <c r="E3" s="50" t="s">
        <v>329</v>
      </c>
      <c r="F3" s="50" t="s">
        <v>330</v>
      </c>
      <c r="G3" s="50" t="s">
        <v>331</v>
      </c>
      <c r="H3" s="50" t="s">
        <v>414</v>
      </c>
      <c r="I3" s="50" t="s">
        <v>334</v>
      </c>
      <c r="J3" s="50" t="s">
        <v>335</v>
      </c>
      <c r="K3" s="50" t="s">
        <v>336</v>
      </c>
      <c r="L3" s="50" t="s">
        <v>337</v>
      </c>
      <c r="M3" s="50" t="s">
        <v>193</v>
      </c>
    </row>
    <row r="4" spans="1:13" ht="18" customHeight="1" x14ac:dyDescent="0.35">
      <c r="B4" s="574" t="s">
        <v>415</v>
      </c>
      <c r="C4" s="530"/>
      <c r="D4" s="530"/>
      <c r="E4" s="530"/>
      <c r="F4" s="530"/>
      <c r="G4" s="530"/>
      <c r="H4" s="530"/>
      <c r="I4" s="530"/>
      <c r="J4" s="530"/>
      <c r="K4" s="530"/>
      <c r="L4" s="530"/>
      <c r="M4" s="530"/>
    </row>
    <row r="5" spans="1:13" ht="18" customHeight="1" x14ac:dyDescent="0.35">
      <c r="B5" s="260" t="str">
        <f>'Input Data'!B26</f>
        <v>L12</v>
      </c>
      <c r="C5" s="260" t="str">
        <f>'Input Data'!C26</f>
        <v>L12</v>
      </c>
      <c r="D5" s="261" t="str">
        <f ca="1">'Input Data'!D26</f>
        <v>DAKOTA CORPORATION</v>
      </c>
      <c r="E5" s="262">
        <f>'Input Data'!F26</f>
        <v>223.7</v>
      </c>
      <c r="F5" s="263">
        <f ca="1">IFERROR('Input Data'!G26,"")</f>
        <v>42736</v>
      </c>
      <c r="G5" s="263">
        <f ca="1">IFERROR('Input Data'!H26,"")</f>
        <v>47118</v>
      </c>
      <c r="H5" s="264">
        <f ca="1">'Input Data'!V26</f>
        <v>2.6502395619438741</v>
      </c>
      <c r="I5" s="265">
        <f>'Input Data'!J26</f>
        <v>0</v>
      </c>
      <c r="J5" s="265">
        <f ca="1">'Input Data'!N26</f>
        <v>0</v>
      </c>
      <c r="K5" s="266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266">
        <f>'Input Data'!O26</f>
        <v>0</v>
      </c>
      <c r="M5" s="267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</row>
    <row r="7" spans="1:13" ht="18" customHeight="1" x14ac:dyDescent="0.35">
      <c r="B7" s="574" t="s">
        <v>416</v>
      </c>
      <c r="C7" s="530"/>
      <c r="D7" s="530"/>
      <c r="E7" s="530"/>
      <c r="F7" s="530"/>
      <c r="G7" s="530"/>
      <c r="H7" s="530"/>
      <c r="I7" s="530"/>
      <c r="J7" s="530"/>
      <c r="K7" s="530"/>
      <c r="L7" s="530"/>
      <c r="M7" s="530"/>
    </row>
    <row r="8" spans="1:13" ht="18" customHeight="1" x14ac:dyDescent="0.35">
      <c r="B8" s="240" t="str">
        <f>'Input Data'!B24</f>
        <v>L11</v>
      </c>
      <c r="C8" s="240" t="str">
        <f>'Input Data'!C24</f>
        <v>1101</v>
      </c>
      <c r="D8" s="241" t="str">
        <f ca="1">'Input Data'!D24</f>
        <v>MICHAEL FLEGG PTY LTD</v>
      </c>
      <c r="E8" s="133">
        <f>'Input Data'!F24</f>
        <v>62.4</v>
      </c>
      <c r="F8" s="242">
        <f ca="1">IFERROR('Input Data'!G24,"")</f>
        <v>44531</v>
      </c>
      <c r="G8" s="242">
        <f ca="1">IFERROR('Input Data'!H24,"")</f>
        <v>46356</v>
      </c>
      <c r="H8" s="132">
        <f ca="1">'Input Data'!V24</f>
        <v>0.56399726214921286</v>
      </c>
      <c r="I8" s="130">
        <f ca="1">'Input Data'!J24</f>
        <v>1368.73</v>
      </c>
      <c r="J8" s="130">
        <f ca="1">'Input Data'!N24</f>
        <v>85408.751999999993</v>
      </c>
      <c r="K8" s="240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240">
        <f>'Input Data'!O24</f>
        <v>0</v>
      </c>
      <c r="M8" s="245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B9" s="240" t="str">
        <f>'Input Data'!B25</f>
        <v>L11</v>
      </c>
      <c r="C9" s="240" t="str">
        <f>'Input Data'!C25</f>
        <v>1102</v>
      </c>
      <c r="D9" s="241" t="str">
        <f ca="1">'Input Data'!D25</f>
        <v>PHARMX TECHNOLOGIES LIMITED</v>
      </c>
      <c r="E9" s="133">
        <f>'Input Data'!F25</f>
        <v>133.1</v>
      </c>
      <c r="F9" s="242">
        <f ca="1">IFERROR('Input Data'!G25,"")</f>
        <v>45153</v>
      </c>
      <c r="G9" s="242">
        <f ca="1">IFERROR('Input Data'!H25,"")</f>
        <v>46248</v>
      </c>
      <c r="H9" s="132">
        <f ca="1">'Input Data'!V25</f>
        <v>0.26830937713894593</v>
      </c>
      <c r="I9" s="130">
        <f ca="1">'Input Data'!J25</f>
        <v>1222.21</v>
      </c>
      <c r="J9" s="130">
        <f ca="1">'Input Data'!N25</f>
        <v>123571.39099999997</v>
      </c>
      <c r="K9" s="240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2026</v>
      </c>
      <c r="L9" s="240">
        <f>'Input Data'!O25</f>
        <v>0</v>
      </c>
      <c r="M9" s="245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B10" s="233" t="str">
        <f>'Input Data'!B27</f>
        <v>L11</v>
      </c>
      <c r="C10" s="233" t="str">
        <f>'Input Data'!C27</f>
        <v>1103</v>
      </c>
      <c r="D10" s="234" t="str">
        <f ca="1">'Input Data'!D27</f>
        <v>VACANT</v>
      </c>
      <c r="E10" s="137">
        <f>'Input Data'!F27</f>
        <v>160.30000000000001</v>
      </c>
      <c r="F10" s="235" t="str">
        <f ca="1">IFERROR('Input Data'!G27,"")</f>
        <v/>
      </c>
      <c r="G10" s="235" t="str">
        <f ca="1">IFERROR('Input Data'!H27,"")</f>
        <v/>
      </c>
      <c r="H10" s="136">
        <f ca="1">'Input Data'!V27</f>
        <v>0</v>
      </c>
      <c r="I10" s="134">
        <f>'Input Data'!J27</f>
        <v>0</v>
      </c>
      <c r="J10" s="134">
        <f ca="1">'Input Data'!N27</f>
        <v>0</v>
      </c>
      <c r="K10" s="232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VACANT</v>
      </c>
      <c r="L10" s="232">
        <f>'Input Data'!O27</f>
        <v>0</v>
      </c>
      <c r="M10" s="238" t="str">
        <f>IF(AND('Input Data'!J27&gt;0,'Input Data'!S27&gt;0),IF(('Input Data'!J27-'Input Data'!S27)/'Input Data'!S27&gt;0.05,"▲ Above Mkt",IF(('Input Data'!J27-'Input Data'!S27)/'Input Data'!S27&lt;-0.05,"▼ Below Mkt","≈ At Market")),"—")</f>
        <v>—</v>
      </c>
    </row>
    <row r="11" spans="1:13" ht="3.75" customHeight="1" x14ac:dyDescent="0.35"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</row>
    <row r="12" spans="1:13" ht="18" customHeight="1" x14ac:dyDescent="0.35">
      <c r="B12" s="574" t="s">
        <v>417</v>
      </c>
      <c r="C12" s="530"/>
      <c r="D12" s="530"/>
      <c r="E12" s="530"/>
      <c r="F12" s="530"/>
      <c r="G12" s="530"/>
      <c r="H12" s="530"/>
      <c r="I12" s="530"/>
      <c r="J12" s="530"/>
      <c r="K12" s="530"/>
      <c r="L12" s="530"/>
      <c r="M12" s="530"/>
    </row>
    <row r="13" spans="1:13" ht="18" customHeight="1" x14ac:dyDescent="0.35">
      <c r="B13" s="268" t="str">
        <f>'Input Data'!B23</f>
        <v>L10</v>
      </c>
      <c r="C13" s="268" t="str">
        <f>'Input Data'!C23</f>
        <v>1001&amp;2</v>
      </c>
      <c r="D13" s="269" t="str">
        <f ca="1">'Input Data'!D23</f>
        <v>CONNECTUS SERVICES PTY LTD</v>
      </c>
      <c r="E13" s="270">
        <f>'Input Data'!F23</f>
        <v>363.2</v>
      </c>
      <c r="F13" s="271">
        <f ca="1">IFERROR('Input Data'!G23,"")</f>
        <v>45261</v>
      </c>
      <c r="G13" s="271">
        <f ca="1">IFERROR('Input Data'!H23,"")</f>
        <v>47452</v>
      </c>
      <c r="H13" s="272">
        <f ca="1">'Input Data'!V23</f>
        <v>3.5646817248459959</v>
      </c>
      <c r="I13" s="273">
        <f ca="1">'Input Data'!J23</f>
        <v>1189.67</v>
      </c>
      <c r="J13" s="273">
        <f ca="1">'Input Data'!N23</f>
        <v>317550.18400000001</v>
      </c>
      <c r="K13" s="268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268">
        <f>'Input Data'!O23</f>
        <v>48</v>
      </c>
      <c r="M13" s="274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</row>
    <row r="15" spans="1:13" ht="18" customHeight="1" x14ac:dyDescent="0.35">
      <c r="B15" s="574" t="s">
        <v>418</v>
      </c>
      <c r="C15" s="530"/>
      <c r="D15" s="530"/>
      <c r="E15" s="530"/>
      <c r="F15" s="530"/>
      <c r="G15" s="530"/>
      <c r="H15" s="530"/>
      <c r="I15" s="530"/>
      <c r="J15" s="530"/>
      <c r="K15" s="530"/>
      <c r="L15" s="530"/>
      <c r="M15" s="530"/>
    </row>
    <row r="16" spans="1:13" ht="18" customHeight="1" x14ac:dyDescent="0.35">
      <c r="B16" s="240" t="str">
        <f>'Input Data'!B21</f>
        <v>L09</v>
      </c>
      <c r="C16" s="240" t="str">
        <f>'Input Data'!C21</f>
        <v>901</v>
      </c>
      <c r="D16" s="241" t="str">
        <f ca="1">'Input Data'!D21</f>
        <v>AITKEN INVESTMENT MANAGEMENT PTY LTD</v>
      </c>
      <c r="E16" s="133">
        <f>'Input Data'!F21</f>
        <v>52.8</v>
      </c>
      <c r="F16" s="242">
        <f ca="1">IFERROR('Input Data'!G21,"")</f>
        <v>44727</v>
      </c>
      <c r="G16" s="242">
        <f ca="1">IFERROR('Input Data'!H21,"")</f>
        <v>47648</v>
      </c>
      <c r="H16" s="132">
        <f ca="1">'Input Data'!V21</f>
        <v>4.1013004791238874</v>
      </c>
      <c r="I16" s="130">
        <f ca="1">'Input Data'!J21</f>
        <v>1287.3800000000001</v>
      </c>
      <c r="J16" s="130">
        <f ca="1">'Input Data'!N21</f>
        <v>51579.264000000003</v>
      </c>
      <c r="K16" s="240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2030</v>
      </c>
      <c r="L16" s="240">
        <f>'Input Data'!O21</f>
        <v>0</v>
      </c>
      <c r="M16" s="245" t="str">
        <f ca="1"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2:13" ht="18" customHeight="1" x14ac:dyDescent="0.35">
      <c r="B17" s="275" t="str">
        <f>'Input Data'!B22</f>
        <v>L09</v>
      </c>
      <c r="C17" s="275" t="str">
        <f>'Input Data'!C22</f>
        <v>902&amp;3</v>
      </c>
      <c r="D17" s="276" t="str">
        <f ca="1">'Input Data'!D22</f>
        <v>CAPITAL E MARKETING AND EVENTS PTY LTD</v>
      </c>
      <c r="E17" s="277">
        <f>'Input Data'!F22</f>
        <v>303</v>
      </c>
      <c r="F17" s="278">
        <f ca="1">IFERROR('Input Data'!G22,"")</f>
        <v>44562</v>
      </c>
      <c r="G17" s="278">
        <f ca="1">IFERROR('Input Data'!H22,"")</f>
        <v>47573</v>
      </c>
      <c r="H17" s="279">
        <f ca="1">'Input Data'!V22</f>
        <v>3.8959616700889801</v>
      </c>
      <c r="I17" s="280">
        <f ca="1">'Input Data'!J22</f>
        <v>1141.25</v>
      </c>
      <c r="J17" s="280">
        <f ca="1">'Input Data'!N22</f>
        <v>255323.07</v>
      </c>
      <c r="K17" s="275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275">
        <f>'Input Data'!O22</f>
        <v>0</v>
      </c>
      <c r="M17" s="281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2:13" ht="3.75" customHeight="1" x14ac:dyDescent="0.35">
      <c r="B18" s="92"/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</row>
    <row r="19" spans="2:13" ht="18" customHeight="1" x14ac:dyDescent="0.35">
      <c r="B19" s="574" t="s">
        <v>419</v>
      </c>
      <c r="C19" s="530"/>
      <c r="D19" s="530"/>
      <c r="E19" s="530"/>
      <c r="F19" s="530"/>
      <c r="G19" s="530"/>
      <c r="H19" s="530"/>
      <c r="I19" s="530"/>
      <c r="J19" s="530"/>
      <c r="K19" s="530"/>
      <c r="L19" s="530"/>
      <c r="M19" s="530"/>
    </row>
    <row r="20" spans="2:13" ht="18" customHeight="1" x14ac:dyDescent="0.35">
      <c r="B20" s="275" t="str">
        <f>'Input Data'!B19</f>
        <v>L08</v>
      </c>
      <c r="C20" s="275" t="str">
        <f>'Input Data'!C19</f>
        <v>801</v>
      </c>
      <c r="D20" s="276" t="str">
        <f ca="1">'Input Data'!D19</f>
        <v>ARKANCE AUSTRALIA PTY LTD</v>
      </c>
      <c r="E20" s="277">
        <f>'Input Data'!F19</f>
        <v>222</v>
      </c>
      <c r="F20" s="278">
        <f ca="1">IFERROR('Input Data'!G19,"")</f>
        <v>45931</v>
      </c>
      <c r="G20" s="278">
        <f ca="1">IFERROR('Input Data'!H19,"")</f>
        <v>47756</v>
      </c>
      <c r="H20" s="279">
        <f ca="1">'Input Data'!V19</f>
        <v>4.3969883641341543</v>
      </c>
      <c r="I20" s="280">
        <f ca="1">'Input Data'!J19</f>
        <v>1300</v>
      </c>
      <c r="J20" s="280">
        <f ca="1">'Input Data'!N19</f>
        <v>242424</v>
      </c>
      <c r="K20" s="275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275">
        <f>'Input Data'!O19</f>
        <v>0</v>
      </c>
      <c r="M20" s="281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2:13" ht="18" customHeight="1" x14ac:dyDescent="0.35">
      <c r="B21" s="252" t="str">
        <f>'Input Data'!B20</f>
        <v>L08</v>
      </c>
      <c r="C21" s="252" t="str">
        <f>'Input Data'!C20</f>
        <v>802</v>
      </c>
      <c r="D21" s="253" t="str">
        <f ca="1">'Input Data'!D20</f>
        <v>HILLIARD &amp; BERRY</v>
      </c>
      <c r="E21" s="125">
        <f>'Input Data'!F20</f>
        <v>138.5</v>
      </c>
      <c r="F21" s="254">
        <f ca="1">IFERROR('Input Data'!G20,"")</f>
        <v>41654</v>
      </c>
      <c r="G21" s="254">
        <f ca="1">IFERROR('Input Data'!H20,"")</f>
        <v>46965</v>
      </c>
      <c r="H21" s="124">
        <f ca="1">'Input Data'!V20</f>
        <v>2.2313483915126624</v>
      </c>
      <c r="I21" s="122">
        <f ca="1">'Input Data'!J20</f>
        <v>843.65</v>
      </c>
      <c r="J21" s="122">
        <f ca="1">'Input Data'!N20</f>
        <v>116845.52499999999</v>
      </c>
      <c r="K21" s="252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252">
        <f>'Input Data'!O20</f>
        <v>0</v>
      </c>
      <c r="M21" s="257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2:13" ht="3.75" customHeight="1" x14ac:dyDescent="0.35"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</row>
    <row r="23" spans="2:13" ht="18" customHeight="1" x14ac:dyDescent="0.35">
      <c r="B23" s="574" t="s">
        <v>420</v>
      </c>
      <c r="C23" s="530"/>
      <c r="D23" s="530"/>
      <c r="E23" s="530"/>
      <c r="F23" s="530"/>
      <c r="G23" s="530"/>
      <c r="H23" s="530"/>
      <c r="I23" s="530"/>
      <c r="J23" s="530"/>
      <c r="K23" s="530"/>
      <c r="L23" s="530"/>
      <c r="M23" s="530"/>
    </row>
    <row r="24" spans="2:13" ht="18" customHeight="1" x14ac:dyDescent="0.35">
      <c r="B24" s="282" t="str">
        <f>'Input Data'!B17</f>
        <v>L07</v>
      </c>
      <c r="C24" s="282" t="str">
        <f>'Input Data'!C17</f>
        <v>701</v>
      </c>
      <c r="D24" s="283" t="str">
        <f ca="1">'Input Data'!D17</f>
        <v>PINPOINT TALENT PTY LTD</v>
      </c>
      <c r="E24" s="284">
        <f>'Input Data'!F17</f>
        <v>210.5</v>
      </c>
      <c r="F24" s="285">
        <f ca="1">IFERROR('Input Data'!G17,"")</f>
        <v>45145</v>
      </c>
      <c r="G24" s="285">
        <f ca="1">IFERROR('Input Data'!H17,"")</f>
        <v>46605</v>
      </c>
      <c r="H24" s="286">
        <f ca="1">'Input Data'!V17</f>
        <v>1.2457221081451062</v>
      </c>
      <c r="I24" s="287">
        <f ca="1">'Input Data'!J17</f>
        <v>1173.54</v>
      </c>
      <c r="J24" s="287">
        <f ca="1">'Input Data'!N17</f>
        <v>178512.44999999998</v>
      </c>
      <c r="K24" s="282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282">
        <f>'Input Data'!O17</f>
        <v>0</v>
      </c>
      <c r="M24" s="288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2:13" ht="18" customHeight="1" x14ac:dyDescent="0.35">
      <c r="B25" s="252" t="str">
        <f>'Input Data'!B18</f>
        <v>L07</v>
      </c>
      <c r="C25" s="252" t="str">
        <f>'Input Data'!C18</f>
        <v>702</v>
      </c>
      <c r="D25" s="253" t="str">
        <f ca="1">'Input Data'!D18</f>
        <v>SATELLITE OFFICE PTY LTD</v>
      </c>
      <c r="E25" s="125">
        <f>'Input Data'!F18</f>
        <v>163.9</v>
      </c>
      <c r="F25" s="254">
        <f ca="1">IFERROR('Input Data'!G18,"")</f>
        <v>45444</v>
      </c>
      <c r="G25" s="254">
        <f ca="1">IFERROR('Input Data'!H18,"")</f>
        <v>46904</v>
      </c>
      <c r="H25" s="124">
        <f ca="1">'Input Data'!V18</f>
        <v>2.0643394934976045</v>
      </c>
      <c r="I25" s="122">
        <f ca="1">'Input Data'!J18</f>
        <v>1016.75</v>
      </c>
      <c r="J25" s="122">
        <f ca="1">'Input Data'!N18</f>
        <v>126383.76500000001</v>
      </c>
      <c r="K25" s="252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252">
        <f>'Input Data'!O18</f>
        <v>24</v>
      </c>
      <c r="M25" s="257" t="str">
        <f ca="1"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2:13" ht="3.75" customHeight="1" x14ac:dyDescent="0.35"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</row>
    <row r="27" spans="2:13" ht="18" customHeight="1" x14ac:dyDescent="0.35">
      <c r="B27" s="574" t="s">
        <v>421</v>
      </c>
      <c r="C27" s="530"/>
      <c r="D27" s="530"/>
      <c r="E27" s="530"/>
      <c r="F27" s="530"/>
      <c r="G27" s="530"/>
      <c r="H27" s="530"/>
      <c r="I27" s="530"/>
      <c r="J27" s="530"/>
      <c r="K27" s="530"/>
      <c r="L27" s="530"/>
      <c r="M27" s="530"/>
    </row>
    <row r="28" spans="2:13" ht="18" customHeight="1" x14ac:dyDescent="0.35">
      <c r="B28" s="282" t="str">
        <f>'Input Data'!B15</f>
        <v>L06</v>
      </c>
      <c r="C28" s="282" t="str">
        <f>'Input Data'!C15</f>
        <v>601</v>
      </c>
      <c r="D28" s="283" t="str">
        <f ca="1">'Input Data'!D15</f>
        <v>FULLCRM PTY LTD</v>
      </c>
      <c r="E28" s="284">
        <f>'Input Data'!F15</f>
        <v>226.1</v>
      </c>
      <c r="F28" s="285">
        <f ca="1">IFERROR('Input Data'!G15,"")</f>
        <v>44531</v>
      </c>
      <c r="G28" s="285">
        <f ca="1">IFERROR('Input Data'!H15,"")</f>
        <v>46418</v>
      </c>
      <c r="H28" s="286">
        <f ca="1">'Input Data'!V15</f>
        <v>0.73374401095140318</v>
      </c>
      <c r="I28" s="287">
        <f ca="1">'Input Data'!J15</f>
        <v>1251.3399999999999</v>
      </c>
      <c r="J28" s="287">
        <f ca="1">'Input Data'!N15</f>
        <v>251183.53399999999</v>
      </c>
      <c r="K28" s="282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282">
        <f>'Input Data'!O15</f>
        <v>0</v>
      </c>
      <c r="M28" s="288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2:13" ht="18" customHeight="1" x14ac:dyDescent="0.35">
      <c r="B29" s="240" t="str">
        <f>'Input Data'!B16</f>
        <v>L06</v>
      </c>
      <c r="C29" s="240" t="str">
        <f>'Input Data'!C16</f>
        <v>602</v>
      </c>
      <c r="D29" s="241" t="str">
        <f ca="1">'Input Data'!D16</f>
        <v>VACANT</v>
      </c>
      <c r="E29" s="133">
        <f>'Input Data'!F16</f>
        <v>152.1</v>
      </c>
      <c r="F29" s="242" t="str">
        <f ca="1">IFERROR('Input Data'!G16,"")</f>
        <v/>
      </c>
      <c r="G29" s="242" t="str">
        <f ca="1">IFERROR('Input Data'!H16,"")</f>
        <v/>
      </c>
      <c r="H29" s="132">
        <f ca="1">'Input Data'!V16</f>
        <v>0</v>
      </c>
      <c r="I29" s="130">
        <f ca="1">'Input Data'!J16</f>
        <v>0</v>
      </c>
      <c r="J29" s="130">
        <f ca="1">'Input Data'!N16</f>
        <v>0</v>
      </c>
      <c r="K29" s="240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240">
        <f>'Input Data'!O16</f>
        <v>0</v>
      </c>
      <c r="M29" s="245" t="str">
        <f ca="1"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2:13" ht="3.75" customHeight="1" x14ac:dyDescent="0.35"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</row>
    <row r="31" spans="2:13" ht="18" customHeight="1" x14ac:dyDescent="0.35">
      <c r="B31" s="574" t="s">
        <v>422</v>
      </c>
      <c r="C31" s="530"/>
      <c r="D31" s="530"/>
      <c r="E31" s="530"/>
      <c r="F31" s="530"/>
      <c r="G31" s="530"/>
      <c r="H31" s="530"/>
      <c r="I31" s="530"/>
      <c r="J31" s="530"/>
      <c r="K31" s="530"/>
      <c r="L31" s="530"/>
      <c r="M31" s="530"/>
    </row>
    <row r="32" spans="2:13" ht="18" customHeight="1" x14ac:dyDescent="0.35">
      <c r="B32" s="282" t="str">
        <f>'Input Data'!B13</f>
        <v>L05</v>
      </c>
      <c r="C32" s="282" t="str">
        <f>'Input Data'!C13</f>
        <v>501</v>
      </c>
      <c r="D32" s="283" t="str">
        <f ca="1">'Input Data'!D13</f>
        <v>MONTGOMERY INVESTMENT</v>
      </c>
      <c r="E32" s="284">
        <f>'Input Data'!F13</f>
        <v>212.3</v>
      </c>
      <c r="F32" s="285">
        <f ca="1">IFERROR('Input Data'!G13,"")</f>
        <v>43770</v>
      </c>
      <c r="G32" s="285">
        <f ca="1">IFERROR('Input Data'!H13,"")</f>
        <v>46691</v>
      </c>
      <c r="H32" s="286">
        <f ca="1">'Input Data'!V13</f>
        <v>1.4811772758384667</v>
      </c>
      <c r="I32" s="287">
        <f ca="1">'Input Data'!J13</f>
        <v>1341.24</v>
      </c>
      <c r="J32" s="287">
        <f ca="1">'Input Data'!N13</f>
        <v>235383.49200000003</v>
      </c>
      <c r="K32" s="282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282">
        <f>'Input Data'!O13</f>
        <v>36</v>
      </c>
      <c r="M32" s="288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2:13" ht="18" customHeight="1" x14ac:dyDescent="0.35">
      <c r="B33" s="282" t="str">
        <f>'Input Data'!B14</f>
        <v>L05</v>
      </c>
      <c r="C33" s="282" t="str">
        <f>'Input Data'!C14</f>
        <v>502</v>
      </c>
      <c r="D33" s="283" t="str">
        <f ca="1">'Input Data'!D14</f>
        <v>THREAT DEFENCE</v>
      </c>
      <c r="E33" s="284">
        <f>'Input Data'!F14</f>
        <v>163.80000000000001</v>
      </c>
      <c r="F33" s="285">
        <f ca="1">IFERROR('Input Data'!G14,"")</f>
        <v>45474</v>
      </c>
      <c r="G33" s="285">
        <f ca="1">IFERROR('Input Data'!H14,"")</f>
        <v>46568</v>
      </c>
      <c r="H33" s="286">
        <f ca="1">'Input Data'!V14</f>
        <v>1.1444216290212184</v>
      </c>
      <c r="I33" s="287">
        <f ca="1">'Input Data'!J14</f>
        <v>1016.75</v>
      </c>
      <c r="J33" s="287">
        <f ca="1">'Input Data'!N14</f>
        <v>124807.41000000003</v>
      </c>
      <c r="K33" s="282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282">
        <f>'Input Data'!O14</f>
        <v>0</v>
      </c>
      <c r="M33" s="288" t="str">
        <f ca="1"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2:13" ht="3.75" customHeight="1" x14ac:dyDescent="0.35"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</row>
    <row r="35" spans="2:13" ht="18" customHeight="1" x14ac:dyDescent="0.35">
      <c r="B35" s="574" t="s">
        <v>423</v>
      </c>
      <c r="C35" s="530"/>
      <c r="D35" s="530"/>
      <c r="E35" s="530"/>
      <c r="F35" s="530"/>
      <c r="G35" s="530"/>
      <c r="H35" s="530"/>
      <c r="I35" s="530"/>
      <c r="J35" s="530"/>
      <c r="K35" s="530"/>
      <c r="L35" s="530"/>
      <c r="M35" s="530"/>
    </row>
    <row r="36" spans="2:13" ht="18" customHeight="1" x14ac:dyDescent="0.35">
      <c r="B36" s="268" t="str">
        <f>'Input Data'!B11</f>
        <v>L04</v>
      </c>
      <c r="C36" s="268" t="str">
        <f>'Input Data'!C11</f>
        <v>401</v>
      </c>
      <c r="D36" s="269" t="str">
        <f ca="1">'Input Data'!D11</f>
        <v>B-W INTERNATIONAL AUSTRALIA PTY LTD</v>
      </c>
      <c r="E36" s="270">
        <f>'Input Data'!F11</f>
        <v>214.1</v>
      </c>
      <c r="F36" s="271">
        <f ca="1">IFERROR('Input Data'!G11,"")</f>
        <v>45352</v>
      </c>
      <c r="G36" s="271">
        <f ca="1">IFERROR('Input Data'!H11,"")</f>
        <v>47177</v>
      </c>
      <c r="H36" s="272">
        <f ca="1">'Input Data'!V11</f>
        <v>2.8117727583846679</v>
      </c>
      <c r="I36" s="273">
        <f ca="1">'Input Data'!J11</f>
        <v>1135.6099999999999</v>
      </c>
      <c r="J36" s="273">
        <f ca="1">'Input Data'!N11</f>
        <v>188930.34099999996</v>
      </c>
      <c r="K36" s="268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268">
        <f>'Input Data'!O11</f>
        <v>0</v>
      </c>
      <c r="M36" s="274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2:13" ht="18" customHeight="1" x14ac:dyDescent="0.35">
      <c r="B37" s="268" t="str">
        <f>'Input Data'!B12</f>
        <v>L04</v>
      </c>
      <c r="C37" s="268" t="str">
        <f>'Input Data'!C12</f>
        <v>402</v>
      </c>
      <c r="D37" s="269" t="str">
        <f ca="1">'Input Data'!D12</f>
        <v>MP TRAVEL PTY LTD</v>
      </c>
      <c r="E37" s="270">
        <f>'Input Data'!F12</f>
        <v>145.6</v>
      </c>
      <c r="F37" s="271">
        <f ca="1">IFERROR('Input Data'!G12,"")</f>
        <v>45658</v>
      </c>
      <c r="G37" s="271">
        <f ca="1">IFERROR('Input Data'!H12,"")</f>
        <v>47483</v>
      </c>
      <c r="H37" s="272">
        <f ca="1">'Input Data'!V12</f>
        <v>3.6495550992470909</v>
      </c>
      <c r="I37" s="273">
        <f ca="1">'Input Data'!J12</f>
        <v>1037.5</v>
      </c>
      <c r="J37" s="273">
        <f ca="1">'Input Data'!N12</f>
        <v>133384.12</v>
      </c>
      <c r="K37" s="268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268">
        <f>'Input Data'!O12</f>
        <v>0</v>
      </c>
      <c r="M37" s="274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2:13" ht="3.75" customHeight="1" x14ac:dyDescent="0.35"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</row>
    <row r="39" spans="2:13" ht="18" customHeight="1" x14ac:dyDescent="0.35">
      <c r="B39" s="574" t="s">
        <v>424</v>
      </c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</row>
    <row r="40" spans="2:13" ht="18" customHeight="1" x14ac:dyDescent="0.35">
      <c r="B40" s="282" t="str">
        <f>'Input Data'!B9</f>
        <v>L03</v>
      </c>
      <c r="C40" s="282" t="str">
        <f>'Input Data'!C9</f>
        <v>301&amp;2</v>
      </c>
      <c r="D40" s="283" t="str">
        <f ca="1">'Input Data'!D9</f>
        <v>IPM RESIDENTIAL PTY LTD</v>
      </c>
      <c r="E40" s="284">
        <f>'Input Data'!F9</f>
        <v>164.2</v>
      </c>
      <c r="F40" s="285">
        <f ca="1">IFERROR('Input Data'!G9,"")</f>
        <v>44713</v>
      </c>
      <c r="G40" s="285">
        <f ca="1">IFERROR('Input Data'!H9,"")</f>
        <v>46538</v>
      </c>
      <c r="H40" s="286">
        <f ca="1">'Input Data'!V9</f>
        <v>1.0622861054072552</v>
      </c>
      <c r="I40" s="287">
        <f ca="1">'Input Data'!J9</f>
        <v>1172.6099999999999</v>
      </c>
      <c r="J40" s="287">
        <f ca="1">'Input Data'!N9</f>
        <v>177025.60199999998</v>
      </c>
      <c r="K40" s="282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282">
        <f>'Input Data'!O9</f>
        <v>2</v>
      </c>
      <c r="M40" s="288" t="str">
        <f ca="1">IF(AND('Input Data'!J9&gt;0,'Input Data'!S9&gt;0),IF(('Input Data'!J9-'Input Data'!S9)/'Input Data'!S9&gt;0.05,"▲ Above Mkt",IF(('Input Data'!J9-'Input Data'!S9)/'Input Data'!S9&lt;-0.05,"▼ Below Mkt","≈ At Market")),"—")</f>
        <v>≈ At Market</v>
      </c>
    </row>
    <row r="41" spans="2:13" ht="18" customHeight="1" x14ac:dyDescent="0.35">
      <c r="B41" s="252" t="str">
        <f>'Input Data'!B10</f>
        <v>L03</v>
      </c>
      <c r="C41" s="252" t="str">
        <f>'Input Data'!C10</f>
        <v>303&amp;4</v>
      </c>
      <c r="D41" s="253" t="str">
        <f ca="1">'Input Data'!D10</f>
        <v>BROADRIDGE (AUSTRALIA) PTY LTD</v>
      </c>
      <c r="E41" s="125">
        <f>'Input Data'!F10</f>
        <v>193.4</v>
      </c>
      <c r="F41" s="254">
        <f ca="1">IFERROR('Input Data'!G10,"")</f>
        <v>45566</v>
      </c>
      <c r="G41" s="254">
        <f ca="1">IFERROR('Input Data'!H10,"")</f>
        <v>47026</v>
      </c>
      <c r="H41" s="124">
        <f ca="1">'Input Data'!V10</f>
        <v>2.3983572895277208</v>
      </c>
      <c r="I41" s="122">
        <f ca="1">'Input Data'!J10</f>
        <v>933.75</v>
      </c>
      <c r="J41" s="122">
        <f ca="1">'Input Data'!N10</f>
        <v>159625.04999999999</v>
      </c>
      <c r="K41" s="252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252">
        <f>'Input Data'!O10</f>
        <v>0</v>
      </c>
      <c r="M41" s="257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2:13" ht="3.75" customHeight="1" x14ac:dyDescent="0.35"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</row>
    <row r="43" spans="2:13" ht="18" customHeight="1" x14ac:dyDescent="0.35">
      <c r="B43" s="574" t="s">
        <v>425</v>
      </c>
      <c r="C43" s="530"/>
      <c r="D43" s="530"/>
      <c r="E43" s="530"/>
      <c r="F43" s="530"/>
      <c r="G43" s="530"/>
      <c r="H43" s="530"/>
      <c r="I43" s="530"/>
      <c r="J43" s="530"/>
      <c r="K43" s="530"/>
      <c r="L43" s="530"/>
      <c r="M43" s="530"/>
    </row>
    <row r="44" spans="2:13" ht="18" customHeight="1" x14ac:dyDescent="0.35">
      <c r="B44" s="252" t="str">
        <f>'Input Data'!B8</f>
        <v>L02</v>
      </c>
      <c r="C44" s="252" t="str">
        <f>'Input Data'!C8</f>
        <v>WHOLE</v>
      </c>
      <c r="D44" s="253" t="str">
        <f ca="1">'Input Data'!D8</f>
        <v>PRINCETON FINANCIAL SERVICES</v>
      </c>
      <c r="E44" s="125">
        <f>'Input Data'!F8</f>
        <v>393.2</v>
      </c>
      <c r="F44" s="254">
        <f ca="1">IFERROR('Input Data'!G8,"")</f>
        <v>45292</v>
      </c>
      <c r="G44" s="254">
        <f ca="1">IFERROR('Input Data'!H8,"")</f>
        <v>47118</v>
      </c>
      <c r="H44" s="124">
        <f ca="1">'Input Data'!V8</f>
        <v>2.6502395619438741</v>
      </c>
      <c r="I44" s="122">
        <f ca="1">'Input Data'!J8</f>
        <v>1081.5999999999999</v>
      </c>
      <c r="J44" s="122">
        <f ca="1">'Input Data'!N8</f>
        <v>401703.31999999995</v>
      </c>
      <c r="K44" s="252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252">
        <f>'Input Data'!O8</f>
        <v>0</v>
      </c>
      <c r="M44" s="257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2:13" ht="3.75" customHeight="1" x14ac:dyDescent="0.35"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</row>
    <row r="46" spans="2:13" ht="18" customHeight="1" x14ac:dyDescent="0.35">
      <c r="B46" s="574" t="s">
        <v>426</v>
      </c>
      <c r="C46" s="530"/>
      <c r="D46" s="530"/>
      <c r="E46" s="530"/>
      <c r="F46" s="530"/>
      <c r="G46" s="530"/>
      <c r="H46" s="530"/>
      <c r="I46" s="530"/>
      <c r="J46" s="530"/>
      <c r="K46" s="530"/>
      <c r="L46" s="530"/>
      <c r="M46" s="530"/>
    </row>
    <row r="47" spans="2:13" ht="18" customHeight="1" x14ac:dyDescent="0.35">
      <c r="B47" s="240" t="str">
        <f>'Input Data'!B5</f>
        <v>L01</v>
      </c>
      <c r="C47" s="240" t="str">
        <f>'Input Data'!C5</f>
        <v>101&amp;2</v>
      </c>
      <c r="D47" s="241" t="str">
        <f ca="1">'Input Data'!D5</f>
        <v>BLITZEM PTY LTD</v>
      </c>
      <c r="E47" s="133">
        <f>'Input Data'!F5</f>
        <v>162.4</v>
      </c>
      <c r="F47" s="242">
        <f ca="1">IFERROR('Input Data'!G5,"")</f>
        <v>42795</v>
      </c>
      <c r="G47" s="242">
        <f ca="1">IFERROR('Input Data'!H5,"")</f>
        <v>46203</v>
      </c>
      <c r="H47" s="132">
        <f ca="1">'Input Data'!V5</f>
        <v>0.14510609171800137</v>
      </c>
      <c r="I47" s="130">
        <f ca="1">'Input Data'!J5</f>
        <v>1010.25</v>
      </c>
      <c r="J47" s="130">
        <f ca="1">'Input Data'!N5</f>
        <v>164064.6</v>
      </c>
      <c r="K47" s="240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2026</v>
      </c>
      <c r="L47" s="240">
        <f>'Input Data'!O5</f>
        <v>0</v>
      </c>
      <c r="M47" s="245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2:13" ht="18" customHeight="1" x14ac:dyDescent="0.35">
      <c r="B48" s="252" t="str">
        <f>'Input Data'!B6</f>
        <v>L01</v>
      </c>
      <c r="C48" s="252" t="str">
        <f>'Input Data'!C6</f>
        <v>103</v>
      </c>
      <c r="D48" s="253" t="str">
        <f ca="1">'Input Data'!D6</f>
        <v>PU PRIME TRADING PTY LTD</v>
      </c>
      <c r="E48" s="125">
        <f>'Input Data'!F6</f>
        <v>96.3</v>
      </c>
      <c r="F48" s="254">
        <f ca="1">IFERROR('Input Data'!G6,"")</f>
        <v>44378</v>
      </c>
      <c r="G48" s="254">
        <f ca="1">IFERROR('Input Data'!H6,"")</f>
        <v>46918</v>
      </c>
      <c r="H48" s="124">
        <f ca="1">'Input Data'!V6</f>
        <v>2.1026694045174539</v>
      </c>
      <c r="I48" s="122">
        <f ca="1">'Input Data'!J6</f>
        <v>982.68</v>
      </c>
      <c r="J48" s="122">
        <f ca="1">'Input Data'!N6</f>
        <v>89173.043999999994</v>
      </c>
      <c r="K48" s="252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252">
        <f>'Input Data'!O6</f>
        <v>0</v>
      </c>
      <c r="M48" s="257" t="str">
        <f ca="1">IF(AND('Input Data'!J6&gt;0,'Input Data'!S6&gt;0),IF(('Input Data'!J6-'Input Data'!S6)/'Input Data'!S6&gt;0.05,"▲ Above Mkt",IF(('Input Data'!J6-'Input Data'!S6)/'Input Data'!S6&lt;-0.05,"▼ Below Mkt","≈ At Market")),"—")</f>
        <v>≈ At Market</v>
      </c>
    </row>
    <row r="49" spans="2:13" ht="18" customHeight="1" x14ac:dyDescent="0.35">
      <c r="B49" s="240" t="str">
        <f>'Input Data'!B7</f>
        <v>L01</v>
      </c>
      <c r="C49" s="240" t="str">
        <f>'Input Data'!C7</f>
        <v>104</v>
      </c>
      <c r="D49" s="241" t="str">
        <f ca="1">'Input Data'!D7</f>
        <v>TJC#1 PTY LTD</v>
      </c>
      <c r="E49" s="133">
        <f>'Input Data'!F7</f>
        <v>98.1</v>
      </c>
      <c r="F49" s="242">
        <f ca="1">IFERROR('Input Data'!G7,"")</f>
        <v>45139</v>
      </c>
      <c r="G49" s="242">
        <f ca="1">IFERROR('Input Data'!H7,"")</f>
        <v>46234</v>
      </c>
      <c r="H49" s="132">
        <f ca="1">'Input Data'!V7</f>
        <v>0.2299794661190965</v>
      </c>
      <c r="I49" s="130">
        <f ca="1">'Input Data'!J7</f>
        <v>973.44</v>
      </c>
      <c r="J49" s="130">
        <f ca="1">'Input Data'!N7</f>
        <v>76070.66399999999</v>
      </c>
      <c r="K49" s="240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2026</v>
      </c>
      <c r="L49" s="240">
        <f>'Input Data'!O7</f>
        <v>0</v>
      </c>
      <c r="M49" s="245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2:13" ht="3.75" customHeight="1" x14ac:dyDescent="0.35"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</row>
    <row r="51" spans="2:13" ht="18" customHeight="1" x14ac:dyDescent="0.35">
      <c r="B51" s="574" t="s">
        <v>427</v>
      </c>
      <c r="C51" s="530"/>
      <c r="D51" s="530"/>
      <c r="E51" s="530"/>
      <c r="F51" s="530"/>
      <c r="G51" s="530"/>
      <c r="H51" s="530"/>
      <c r="I51" s="530"/>
      <c r="J51" s="530"/>
      <c r="K51" s="530"/>
      <c r="L51" s="530"/>
      <c r="M51" s="530"/>
    </row>
    <row r="52" spans="2:13" ht="18" customHeight="1" x14ac:dyDescent="0.35">
      <c r="B52" s="289" t="str">
        <f>'Input Data'!B4</f>
        <v>GF</v>
      </c>
      <c r="C52" s="289" t="str">
        <f>'Input Data'!C4</f>
        <v>GROUND</v>
      </c>
      <c r="D52" s="290" t="str">
        <f ca="1">'Input Data'!D4</f>
        <v>RCVRI MARTIN PLACE PTY LTD</v>
      </c>
      <c r="E52" s="291">
        <f>'Input Data'!F4</f>
        <v>298.3</v>
      </c>
      <c r="F52" s="292">
        <f ca="1">IFERROR('Input Data'!G4,"")</f>
        <v>45678</v>
      </c>
      <c r="G52" s="292">
        <f ca="1">IFERROR('Input Data'!H4,"")</f>
        <v>48233</v>
      </c>
      <c r="H52" s="293">
        <f ca="1">'Input Data'!V4</f>
        <v>5.7029431895961666</v>
      </c>
      <c r="I52" s="294">
        <f ca="1">'Input Data'!J4</f>
        <v>1150.52</v>
      </c>
      <c r="J52" s="294">
        <f ca="1">'Input Data'!N4</f>
        <v>272485.79599999997</v>
      </c>
      <c r="K52" s="289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289">
        <f>'Input Data'!O4</f>
        <v>0</v>
      </c>
      <c r="M52" s="295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2:13" ht="3.75" customHeight="1" x14ac:dyDescent="0.35"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</row>
    <row r="54" spans="2:13" ht="18" customHeight="1" x14ac:dyDescent="0.35">
      <c r="B54" s="574" t="s">
        <v>428</v>
      </c>
      <c r="C54" s="530"/>
      <c r="D54" s="530"/>
      <c r="E54" s="530"/>
      <c r="F54" s="530"/>
      <c r="G54" s="530"/>
      <c r="H54" s="530"/>
      <c r="I54" s="530"/>
      <c r="J54" s="530"/>
      <c r="K54" s="530"/>
      <c r="L54" s="530"/>
      <c r="M54" s="530"/>
    </row>
    <row r="55" spans="2:13" ht="18" customHeight="1" x14ac:dyDescent="0.35">
      <c r="B55" s="268" t="str">
        <f>'Input Data'!B3</f>
        <v>BSMT</v>
      </c>
      <c r="C55" s="268" t="str">
        <f>'Input Data'!C3</f>
        <v>LWR GROUND</v>
      </c>
      <c r="D55" s="269" t="str">
        <f ca="1">'Input Data'!D3</f>
        <v>OPULENT TWO ENTERPRISES</v>
      </c>
      <c r="E55" s="270">
        <f>'Input Data'!F3</f>
        <v>151.19999999999999</v>
      </c>
      <c r="F55" s="271">
        <f ca="1">IFERROR('Input Data'!G3,"")</f>
        <v>42401</v>
      </c>
      <c r="G55" s="271">
        <f ca="1">IFERROR('Input Data'!H3,"")</f>
        <v>47149</v>
      </c>
      <c r="H55" s="272">
        <f ca="1">'Input Data'!V3</f>
        <v>2.7351129363449691</v>
      </c>
      <c r="I55" s="273">
        <f ca="1">'Input Data'!J3</f>
        <v>1002.01</v>
      </c>
      <c r="J55" s="273">
        <f ca="1">'Input Data'!N3</f>
        <v>123489.07199999999</v>
      </c>
      <c r="K55" s="268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268">
        <f>'Input Data'!O3</f>
        <v>0</v>
      </c>
      <c r="M55" s="274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2:13" ht="3.75" customHeight="1" x14ac:dyDescent="0.35"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</row>
    <row r="57" spans="2:13" ht="7.5" customHeight="1" x14ac:dyDescent="0.35"/>
    <row r="58" spans="2:13" ht="18" customHeight="1" x14ac:dyDescent="0.35">
      <c r="B58" s="574" t="s">
        <v>429</v>
      </c>
      <c r="C58" s="530"/>
      <c r="D58" s="530"/>
      <c r="E58" s="530"/>
      <c r="F58" s="530"/>
      <c r="G58" s="530"/>
      <c r="H58" s="530"/>
      <c r="I58" s="530"/>
      <c r="J58" s="530"/>
      <c r="K58" s="530"/>
      <c r="L58" s="530"/>
      <c r="M58" s="530"/>
    </row>
    <row r="59" spans="2:13" ht="13.5" customHeight="1" x14ac:dyDescent="0.35">
      <c r="B59" s="93"/>
      <c r="C59" s="94"/>
      <c r="D59" s="90"/>
      <c r="E59" s="95"/>
      <c r="F59" s="88"/>
      <c r="G59" s="96"/>
      <c r="H59" s="86"/>
      <c r="I59" s="97"/>
    </row>
    <row r="60" spans="2:13" ht="24" customHeight="1" x14ac:dyDescent="0.35">
      <c r="B60" s="98" t="s">
        <v>430</v>
      </c>
      <c r="C60" s="99" t="s">
        <v>431</v>
      </c>
      <c r="D60" s="100" t="s">
        <v>432</v>
      </c>
      <c r="E60" s="101" t="s">
        <v>433</v>
      </c>
      <c r="F60" s="102" t="s">
        <v>434</v>
      </c>
      <c r="G60" s="103" t="s">
        <v>435</v>
      </c>
      <c r="H60" s="104" t="s">
        <v>280</v>
      </c>
      <c r="I60" s="105" t="s">
        <v>436</v>
      </c>
    </row>
    <row r="62" spans="2:13" ht="18" customHeight="1" x14ac:dyDescent="0.35">
      <c r="B62" s="660" t="s">
        <v>437</v>
      </c>
      <c r="C62" s="530"/>
      <c r="D62" s="530"/>
      <c r="E62" s="530"/>
      <c r="F62" s="530"/>
      <c r="G62" s="530"/>
      <c r="H62" s="530"/>
      <c r="I62" s="530"/>
      <c r="J62" s="530"/>
      <c r="K62" s="530"/>
      <c r="L62" s="530"/>
      <c r="M62" s="530"/>
    </row>
  </sheetData>
  <mergeCells count="18">
    <mergeCell ref="A1:M1"/>
    <mergeCell ref="B19:M19"/>
    <mergeCell ref="B51:M51"/>
    <mergeCell ref="B31:M31"/>
    <mergeCell ref="B23:M23"/>
    <mergeCell ref="B46:M46"/>
    <mergeCell ref="B27:M27"/>
    <mergeCell ref="B35:M35"/>
    <mergeCell ref="B4:M4"/>
    <mergeCell ref="A2:M2"/>
    <mergeCell ref="B43:M43"/>
    <mergeCell ref="B12:M12"/>
    <mergeCell ref="B39:M39"/>
    <mergeCell ref="B54:M54"/>
    <mergeCell ref="B62:M62"/>
    <mergeCell ref="B15:M15"/>
    <mergeCell ref="B58:M58"/>
    <mergeCell ref="B7:M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7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30" customWidth="1"/>
    <col min="15" max="15" width="1.54296875" customWidth="1"/>
  </cols>
  <sheetData>
    <row r="1" spans="1:14" ht="30" customHeight="1" x14ac:dyDescent="0.35">
      <c r="A1" s="628" t="s">
        <v>438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</row>
    <row r="2" spans="1:14" ht="15.75" customHeight="1" x14ac:dyDescent="0.35">
      <c r="A2" s="661" t="s">
        <v>439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  <c r="N2" s="524"/>
    </row>
    <row r="3" spans="1:14" ht="7.5" customHeight="1" x14ac:dyDescent="0.35"/>
    <row r="4" spans="1:14" ht="19.5" customHeight="1" x14ac:dyDescent="0.35">
      <c r="B4" s="620" t="s">
        <v>440</v>
      </c>
      <c r="C4" s="530"/>
      <c r="D4" s="530"/>
      <c r="E4" s="530"/>
      <c r="F4" s="530"/>
      <c r="G4" s="530"/>
      <c r="H4" s="530"/>
      <c r="I4" s="530"/>
      <c r="J4" s="530"/>
      <c r="K4" s="530"/>
      <c r="L4" s="530"/>
      <c r="M4" s="530"/>
    </row>
    <row r="5" spans="1:14" ht="21.75" customHeight="1" x14ac:dyDescent="0.35">
      <c r="B5" s="663" t="s">
        <v>441</v>
      </c>
      <c r="C5" s="526"/>
      <c r="E5" s="663" t="s">
        <v>442</v>
      </c>
      <c r="F5" s="526"/>
      <c r="H5" s="663" t="s">
        <v>443</v>
      </c>
      <c r="I5" s="526"/>
      <c r="K5" s="663" t="s">
        <v>444</v>
      </c>
      <c r="L5" s="526"/>
    </row>
    <row r="6" spans="1:14" ht="21.75" customHeight="1" x14ac:dyDescent="0.35">
      <c r="B6" s="662" t="s">
        <v>445</v>
      </c>
      <c r="C6" s="526"/>
      <c r="E6" s="662" t="s">
        <v>445</v>
      </c>
      <c r="F6" s="526"/>
      <c r="H6" s="662" t="s">
        <v>445</v>
      </c>
      <c r="I6" s="526"/>
      <c r="K6" s="662" t="s">
        <v>446</v>
      </c>
      <c r="L6" s="526"/>
    </row>
    <row r="7" spans="1:14" ht="7.5" customHeight="1" x14ac:dyDescent="0.35"/>
    <row r="8" spans="1:14" ht="19.5" customHeight="1" x14ac:dyDescent="0.35">
      <c r="B8" s="574" t="s">
        <v>447</v>
      </c>
      <c r="C8" s="530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0"/>
    </row>
    <row r="9" spans="1:14" ht="36" customHeight="1" x14ac:dyDescent="0.35">
      <c r="B9" s="50" t="s">
        <v>81</v>
      </c>
      <c r="C9" s="50" t="s">
        <v>40</v>
      </c>
      <c r="D9" s="50" t="s">
        <v>176</v>
      </c>
      <c r="E9" s="50" t="s">
        <v>331</v>
      </c>
      <c r="F9" s="50" t="s">
        <v>448</v>
      </c>
      <c r="G9" s="50" t="s">
        <v>449</v>
      </c>
      <c r="H9" s="50" t="s">
        <v>450</v>
      </c>
      <c r="I9" s="50" t="s">
        <v>451</v>
      </c>
      <c r="J9" s="50" t="s">
        <v>452</v>
      </c>
      <c r="K9" s="50" t="s">
        <v>453</v>
      </c>
      <c r="L9" s="50" t="s">
        <v>454</v>
      </c>
      <c r="M9" s="50" t="s">
        <v>455</v>
      </c>
      <c r="N9" s="50" t="s">
        <v>456</v>
      </c>
    </row>
    <row r="10" spans="1:14" ht="19.5" customHeight="1" x14ac:dyDescent="0.35">
      <c r="B10" s="3" t="s">
        <v>99</v>
      </c>
      <c r="C10" s="3" t="s">
        <v>99</v>
      </c>
      <c r="D10" s="6" t="str">
        <f ca="1">IFERROR(INDEX('Input Data'!D:D,MATCH("LWR GROUND",'Input Data'!$C:$C,0)),"")</f>
        <v>OPULENT TWO ENTERPRISES</v>
      </c>
      <c r="E10" s="12">
        <f ca="1">IFERROR(INDEX('Input Data'!H:H,MATCH("LWR GROUND",'Input Data'!$C:$C,0)),"")</f>
        <v>47149</v>
      </c>
      <c r="F10" s="3" t="s">
        <v>457</v>
      </c>
      <c r="G10" s="3" t="s">
        <v>458</v>
      </c>
      <c r="H10" s="51"/>
      <c r="I10" s="106">
        <f>IFERROR(H10/INDEX('Input Data'!F:F,MATCH("LWR GROUND",'Input Data'!$C:$C,0)),"")</f>
        <v>0</v>
      </c>
      <c r="J10" s="51"/>
      <c r="K10" s="3" t="s">
        <v>459</v>
      </c>
      <c r="L10" s="3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3" t="s">
        <v>460</v>
      </c>
      <c r="N10" s="107" t="s">
        <v>461</v>
      </c>
    </row>
    <row r="11" spans="1:14" ht="19.5" customHeight="1" x14ac:dyDescent="0.35">
      <c r="B11" s="15" t="s">
        <v>98</v>
      </c>
      <c r="C11" s="15" t="s">
        <v>98</v>
      </c>
      <c r="D11" s="67" t="str">
        <f ca="1">IFERROR(INDEX('Input Data'!D:D,MATCH("GROUND",'Input Data'!$C:$C,0)),"")</f>
        <v>RCVRI MARTIN PLACE PTY LTD</v>
      </c>
      <c r="E11" s="17">
        <f ca="1">IFERROR(INDEX('Input Data'!H:H,MATCH("GROUND",'Input Data'!$C:$C,0)),"")</f>
        <v>48233</v>
      </c>
      <c r="F11" s="15" t="s">
        <v>462</v>
      </c>
      <c r="G11" s="15" t="s">
        <v>458</v>
      </c>
      <c r="H11" s="51"/>
      <c r="I11" s="106">
        <f>IFERROR(H11/INDEX('Input Data'!F:F,MATCH("GROUND",'Input Data'!$C:$C,0)),"")</f>
        <v>0</v>
      </c>
      <c r="J11" s="51"/>
      <c r="K11" s="15" t="s">
        <v>459</v>
      </c>
      <c r="L11" s="15" t="str">
        <f t="shared" ca="1" si="0"/>
        <v>Not Due</v>
      </c>
      <c r="M11" s="15" t="s">
        <v>460</v>
      </c>
      <c r="N11" s="108" t="s">
        <v>463</v>
      </c>
    </row>
    <row r="12" spans="1:14" ht="19.5" customHeight="1" x14ac:dyDescent="0.35">
      <c r="B12" s="20" t="s">
        <v>97</v>
      </c>
      <c r="C12" s="20" t="s">
        <v>209</v>
      </c>
      <c r="D12" s="61" t="str">
        <f ca="1">IFERROR(INDEX('Input Data'!D:D,MATCH("101&amp;2",'Input Data'!$C:$C,0)),"")</f>
        <v>BLITZEM PTY LTD</v>
      </c>
      <c r="E12" s="22">
        <f ca="1">IFERROR(INDEX('Input Data'!H:H,MATCH("101&amp;2",'Input Data'!$C:$C,0)),"")</f>
        <v>46203</v>
      </c>
      <c r="F12" s="20" t="s">
        <v>457</v>
      </c>
      <c r="G12" s="20" t="s">
        <v>458</v>
      </c>
      <c r="H12" s="51"/>
      <c r="I12" s="106">
        <f>IFERROR(H12/INDEX('Input Data'!F:F,MATCH("101&amp;2",'Input Data'!$C:$C,0)),"")</f>
        <v>0</v>
      </c>
      <c r="J12" s="51"/>
      <c r="K12" s="20" t="s">
        <v>459</v>
      </c>
      <c r="L12" s="20" t="str">
        <f t="shared" ca="1" si="0"/>
        <v>Due &lt; 6 Mths</v>
      </c>
      <c r="M12" s="20" t="s">
        <v>460</v>
      </c>
      <c r="N12" s="109" t="s">
        <v>464</v>
      </c>
    </row>
    <row r="13" spans="1:14" ht="19.5" customHeight="1" x14ac:dyDescent="0.35">
      <c r="B13" s="15" t="s">
        <v>97</v>
      </c>
      <c r="C13" s="15" t="s">
        <v>213</v>
      </c>
      <c r="D13" s="67" t="str">
        <f ca="1">IFERROR(INDEX('Input Data'!D:D,MATCH("103",'Input Data'!$C:$C,0)),"")</f>
        <v>PU PRIME TRADING PTY LTD</v>
      </c>
      <c r="E13" s="17">
        <f ca="1">IFERROR(INDEX('Input Data'!H:H,MATCH("103",'Input Data'!$C:$C,0)),"")</f>
        <v>46918</v>
      </c>
      <c r="F13" s="15" t="s">
        <v>457</v>
      </c>
      <c r="G13" s="15" t="s">
        <v>458</v>
      </c>
      <c r="H13" s="51"/>
      <c r="I13" s="106">
        <f>IFERROR(H13/INDEX('Input Data'!F:F,MATCH("103",'Input Data'!$C:$C,0)),"")</f>
        <v>0</v>
      </c>
      <c r="J13" s="51"/>
      <c r="K13" s="15" t="s">
        <v>459</v>
      </c>
      <c r="L13" s="15" t="str">
        <f t="shared" ca="1" si="0"/>
        <v>Not Due</v>
      </c>
      <c r="M13" s="15" t="s">
        <v>460</v>
      </c>
      <c r="N13" s="108" t="s">
        <v>465</v>
      </c>
    </row>
    <row r="14" spans="1:14" ht="19.5" customHeight="1" x14ac:dyDescent="0.35">
      <c r="B14" s="20" t="s">
        <v>97</v>
      </c>
      <c r="C14" s="20" t="s">
        <v>216</v>
      </c>
      <c r="D14" s="61" t="str">
        <f ca="1">IFERROR(INDEX('Input Data'!D:D,MATCH("104",'Input Data'!$C:$C,0)),"")</f>
        <v>TJC#1 PTY LTD</v>
      </c>
      <c r="E14" s="22">
        <f ca="1">IFERROR(INDEX('Input Data'!H:H,MATCH("104",'Input Data'!$C:$C,0)),"")</f>
        <v>46234</v>
      </c>
      <c r="F14" s="20" t="s">
        <v>457</v>
      </c>
      <c r="G14" s="20" t="s">
        <v>458</v>
      </c>
      <c r="H14" s="51"/>
      <c r="I14" s="106">
        <f>IFERROR(H14/INDEX('Input Data'!F:F,MATCH("104",'Input Data'!$C:$C,0)),"")</f>
        <v>0</v>
      </c>
      <c r="J14" s="51"/>
      <c r="K14" s="20" t="s">
        <v>459</v>
      </c>
      <c r="L14" s="20" t="str">
        <f t="shared" ca="1" si="0"/>
        <v>Due &lt; 6 Mths</v>
      </c>
      <c r="M14" s="20" t="s">
        <v>460</v>
      </c>
      <c r="N14" s="109" t="s">
        <v>466</v>
      </c>
    </row>
    <row r="15" spans="1:14" ht="19.5" customHeight="1" x14ac:dyDescent="0.35">
      <c r="B15" s="15" t="s">
        <v>96</v>
      </c>
      <c r="C15" s="15" t="s">
        <v>219</v>
      </c>
      <c r="D15" s="67" t="str">
        <f ca="1">IFERROR(INDEX('Input Data'!D:D,MATCH("WHOLE",'Input Data'!$C:$C,0)),"")</f>
        <v>PRINCETON FINANCIAL SERVICES</v>
      </c>
      <c r="E15" s="17">
        <f ca="1">IFERROR(INDEX('Input Data'!H:H,MATCH("WHOLE",'Input Data'!$C:$C,0)),"")</f>
        <v>47118</v>
      </c>
      <c r="F15" s="15" t="s">
        <v>462</v>
      </c>
      <c r="G15" s="15" t="s">
        <v>458</v>
      </c>
      <c r="H15" s="51"/>
      <c r="I15" s="106">
        <f>IFERROR(H15/INDEX('Input Data'!F:F,MATCH("WHOLE",'Input Data'!$C:$C,0)),"")</f>
        <v>0</v>
      </c>
      <c r="J15" s="51"/>
      <c r="K15" s="15" t="s">
        <v>459</v>
      </c>
      <c r="L15" s="15" t="str">
        <f t="shared" ca="1" si="0"/>
        <v>Not Due</v>
      </c>
      <c r="M15" s="15" t="s">
        <v>460</v>
      </c>
      <c r="N15" s="108" t="s">
        <v>467</v>
      </c>
    </row>
    <row r="16" spans="1:14" ht="19.5" customHeight="1" x14ac:dyDescent="0.35">
      <c r="B16" s="3" t="s">
        <v>95</v>
      </c>
      <c r="C16" s="3" t="s">
        <v>222</v>
      </c>
      <c r="D16" s="6" t="str">
        <f ca="1">IFERROR(INDEX('Input Data'!D:D,MATCH("301&amp;2",'Input Data'!$C:$C,0)),"")</f>
        <v>IPM RESIDENTIAL PTY LTD</v>
      </c>
      <c r="E16" s="12">
        <f ca="1">IFERROR(INDEX('Input Data'!H:H,MATCH("301&amp;2",'Input Data'!$C:$C,0)),"")</f>
        <v>46538</v>
      </c>
      <c r="F16" s="3" t="s">
        <v>457</v>
      </c>
      <c r="G16" s="3" t="s">
        <v>458</v>
      </c>
      <c r="H16" s="51"/>
      <c r="I16" s="106">
        <f>IFERROR(H16/INDEX('Input Data'!F:F,MATCH("301&amp;2",'Input Data'!$C:$C,0)),"")</f>
        <v>0</v>
      </c>
      <c r="J16" s="51"/>
      <c r="K16" s="3" t="s">
        <v>459</v>
      </c>
      <c r="L16" s="3" t="str">
        <f t="shared" ca="1" si="0"/>
        <v>Not Due</v>
      </c>
      <c r="M16" s="3" t="s">
        <v>460</v>
      </c>
      <c r="N16" s="107" t="s">
        <v>468</v>
      </c>
    </row>
    <row r="17" spans="2:14" ht="19.5" customHeight="1" x14ac:dyDescent="0.35">
      <c r="B17" s="15" t="s">
        <v>95</v>
      </c>
      <c r="C17" s="15" t="s">
        <v>226</v>
      </c>
      <c r="D17" s="67" t="str">
        <f ca="1">IFERROR(INDEX('Input Data'!D:D,MATCH("303&amp;4",'Input Data'!$C:$C,0)),"")</f>
        <v>BROADRIDGE (AUSTRALIA) PTY LTD</v>
      </c>
      <c r="E17" s="17">
        <f ca="1">IFERROR(INDEX('Input Data'!H:H,MATCH("303&amp;4",'Input Data'!$C:$C,0)),"")</f>
        <v>47026</v>
      </c>
      <c r="F17" s="15" t="s">
        <v>457</v>
      </c>
      <c r="G17" s="15" t="s">
        <v>458</v>
      </c>
      <c r="H17" s="51"/>
      <c r="I17" s="106">
        <f>IFERROR(H17/INDEX('Input Data'!F:F,MATCH("303&amp;4",'Input Data'!$C:$C,0)),"")</f>
        <v>0</v>
      </c>
      <c r="J17" s="51"/>
      <c r="K17" s="15" t="s">
        <v>459</v>
      </c>
      <c r="L17" s="15" t="str">
        <f t="shared" ca="1" si="0"/>
        <v>Not Due</v>
      </c>
      <c r="M17" s="15" t="s">
        <v>460</v>
      </c>
      <c r="N17" s="108" t="s">
        <v>469</v>
      </c>
    </row>
    <row r="18" spans="2:14" ht="19.5" customHeight="1" x14ac:dyDescent="0.35">
      <c r="B18" s="3" t="s">
        <v>94</v>
      </c>
      <c r="C18" s="3" t="s">
        <v>229</v>
      </c>
      <c r="D18" s="6" t="str">
        <f ca="1">IFERROR(INDEX('Input Data'!D:D,MATCH("401",'Input Data'!$C:$C,0)),"")</f>
        <v>B-W INTERNATIONAL AUSTRALIA PTY LTD</v>
      </c>
      <c r="E18" s="12">
        <f ca="1">IFERROR(INDEX('Input Data'!H:H,MATCH("401",'Input Data'!$C:$C,0)),"")</f>
        <v>47177</v>
      </c>
      <c r="F18" s="3" t="s">
        <v>457</v>
      </c>
      <c r="G18" s="3" t="s">
        <v>458</v>
      </c>
      <c r="H18" s="51"/>
      <c r="I18" s="106">
        <f>IFERROR(H18/INDEX('Input Data'!F:F,MATCH("401",'Input Data'!$C:$C,0)),"")</f>
        <v>0</v>
      </c>
      <c r="J18" s="51"/>
      <c r="K18" s="3" t="s">
        <v>459</v>
      </c>
      <c r="L18" s="3" t="str">
        <f t="shared" ca="1" si="0"/>
        <v>Not Due</v>
      </c>
      <c r="M18" s="3" t="s">
        <v>460</v>
      </c>
      <c r="N18" s="107" t="s">
        <v>470</v>
      </c>
    </row>
    <row r="19" spans="2:14" ht="19.5" customHeight="1" x14ac:dyDescent="0.35">
      <c r="B19" s="15" t="s">
        <v>94</v>
      </c>
      <c r="C19" s="15" t="s">
        <v>232</v>
      </c>
      <c r="D19" s="67" t="str">
        <f ca="1">IFERROR(INDEX('Input Data'!D:D,MATCH("402",'Input Data'!$C:$C,0)),"")</f>
        <v>MP TRAVEL PTY LTD</v>
      </c>
      <c r="E19" s="17">
        <f ca="1">IFERROR(INDEX('Input Data'!H:H,MATCH("402",'Input Data'!$C:$C,0)),"")</f>
        <v>47483</v>
      </c>
      <c r="F19" s="15" t="s">
        <v>457</v>
      </c>
      <c r="G19" s="15" t="s">
        <v>458</v>
      </c>
      <c r="H19" s="51"/>
      <c r="I19" s="106">
        <f>IFERROR(H19/INDEX('Input Data'!F:F,MATCH("402",'Input Data'!$C:$C,0)),"")</f>
        <v>0</v>
      </c>
      <c r="J19" s="51"/>
      <c r="K19" s="15" t="s">
        <v>459</v>
      </c>
      <c r="L19" s="15" t="str">
        <f t="shared" ca="1" si="0"/>
        <v>Not Due</v>
      </c>
      <c r="M19" s="15" t="s">
        <v>460</v>
      </c>
      <c r="N19" s="108" t="s">
        <v>471</v>
      </c>
    </row>
    <row r="20" spans="2:14" ht="19.5" customHeight="1" x14ac:dyDescent="0.35">
      <c r="B20" s="3" t="s">
        <v>93</v>
      </c>
      <c r="C20" s="3" t="s">
        <v>235</v>
      </c>
      <c r="D20" s="6" t="str">
        <f ca="1">IFERROR(INDEX('Input Data'!D:D,MATCH("501",'Input Data'!$C:$C,0)),"")</f>
        <v>MONTGOMERY INVESTMENT</v>
      </c>
      <c r="E20" s="12">
        <f ca="1">IFERROR(INDEX('Input Data'!H:H,MATCH("501",'Input Data'!$C:$C,0)),"")</f>
        <v>46691</v>
      </c>
      <c r="F20" s="3" t="s">
        <v>457</v>
      </c>
      <c r="G20" s="3" t="s">
        <v>458</v>
      </c>
      <c r="H20" s="51"/>
      <c r="I20" s="106">
        <f>IFERROR(H20/INDEX('Input Data'!F:F,MATCH("501",'Input Data'!$C:$C,0)),"")</f>
        <v>0</v>
      </c>
      <c r="J20" s="51"/>
      <c r="K20" s="3" t="s">
        <v>459</v>
      </c>
      <c r="L20" s="3" t="str">
        <f t="shared" ca="1" si="0"/>
        <v>Not Due</v>
      </c>
      <c r="M20" s="3" t="s">
        <v>460</v>
      </c>
      <c r="N20" s="107" t="s">
        <v>472</v>
      </c>
    </row>
    <row r="21" spans="2:14" ht="19.5" customHeight="1" x14ac:dyDescent="0.35">
      <c r="B21" s="15" t="s">
        <v>93</v>
      </c>
      <c r="C21" s="15" t="s">
        <v>238</v>
      </c>
      <c r="D21" s="67" t="str">
        <f ca="1">IFERROR(INDEX('Input Data'!D:D,MATCH("502",'Input Data'!$C:$C,0)),"")</f>
        <v>THREAT DEFENCE</v>
      </c>
      <c r="E21" s="17">
        <f ca="1">IFERROR(INDEX('Input Data'!H:H,MATCH("502",'Input Data'!$C:$C,0)),"")</f>
        <v>46568</v>
      </c>
      <c r="F21" s="15" t="s">
        <v>457</v>
      </c>
      <c r="G21" s="15" t="s">
        <v>458</v>
      </c>
      <c r="H21" s="51"/>
      <c r="I21" s="106">
        <f>IFERROR(H21/INDEX('Input Data'!F:F,MATCH("502",'Input Data'!$C:$C,0)),"")</f>
        <v>0</v>
      </c>
      <c r="J21" s="51"/>
      <c r="K21" s="15" t="s">
        <v>459</v>
      </c>
      <c r="L21" s="15" t="str">
        <f t="shared" ca="1" si="0"/>
        <v>Not Due</v>
      </c>
      <c r="M21" s="15" t="s">
        <v>460</v>
      </c>
      <c r="N21" s="108" t="s">
        <v>473</v>
      </c>
    </row>
    <row r="22" spans="2:14" ht="19.5" customHeight="1" x14ac:dyDescent="0.35">
      <c r="B22" s="51" t="s">
        <v>92</v>
      </c>
      <c r="C22" s="51" t="s">
        <v>241</v>
      </c>
      <c r="D22" s="110" t="str">
        <f ca="1">IFERROR(INDEX('Input Data'!D:D,MATCH("601",'Input Data'!$C:$C,0)),"")</f>
        <v>FULLCRM PTY LTD</v>
      </c>
      <c r="E22" s="2">
        <f ca="1">IFERROR(INDEX('Input Data'!H:H,MATCH("601",'Input Data'!$C:$C,0)),"")</f>
        <v>46418</v>
      </c>
      <c r="F22" s="51" t="s">
        <v>457</v>
      </c>
      <c r="G22" s="51" t="s">
        <v>458</v>
      </c>
      <c r="H22" s="51"/>
      <c r="I22" s="106">
        <f>IFERROR(H22/INDEX('Input Data'!F:F,MATCH("601",'Input Data'!$C:$C,0)),"")</f>
        <v>0</v>
      </c>
      <c r="J22" s="51"/>
      <c r="K22" s="51" t="s">
        <v>459</v>
      </c>
      <c r="L22" s="51" t="str">
        <f t="shared" ca="1" si="0"/>
        <v>Due &lt; 12 Mths</v>
      </c>
      <c r="M22" s="51" t="s">
        <v>460</v>
      </c>
      <c r="N22" s="111" t="s">
        <v>474</v>
      </c>
    </row>
    <row r="23" spans="2:14" ht="19.5" customHeight="1" x14ac:dyDescent="0.35">
      <c r="B23" s="20" t="s">
        <v>92</v>
      </c>
      <c r="C23" s="20" t="s">
        <v>244</v>
      </c>
      <c r="D23" s="61" t="str">
        <f ca="1">IFERROR(INDEX('Input Data'!D:D,MATCH("602",'Input Data'!$C:$C,0)),"")</f>
        <v>VACANT</v>
      </c>
      <c r="E23" s="22" t="str">
        <f ca="1">IFERROR(INDEX('Input Data'!H:H,MATCH("602",'Input Data'!$C:$C,0)),"")</f>
        <v/>
      </c>
      <c r="F23" s="20" t="s">
        <v>457</v>
      </c>
      <c r="G23" s="20" t="s">
        <v>458</v>
      </c>
      <c r="H23" s="508">
        <v>14000</v>
      </c>
      <c r="I23" s="106">
        <f>IFERROR(H23/INDEX('Input Data'!F:F,MATCH("602",'Input Data'!$C:$C,0)),"")</f>
        <v>92.044707429322813</v>
      </c>
      <c r="J23" s="2">
        <v>46146</v>
      </c>
      <c r="K23" s="20" t="s">
        <v>459</v>
      </c>
      <c r="L23" s="20" t="str">
        <f t="shared" ca="1" si="0"/>
        <v>N/A</v>
      </c>
      <c r="M23" s="20" t="s">
        <v>460</v>
      </c>
      <c r="N23" s="109" t="s">
        <v>475</v>
      </c>
    </row>
    <row r="24" spans="2:14" ht="19.5" customHeight="1" x14ac:dyDescent="0.35">
      <c r="B24" s="3" t="s">
        <v>91</v>
      </c>
      <c r="C24" s="3" t="s">
        <v>247</v>
      </c>
      <c r="D24" s="6" t="str">
        <f ca="1">IFERROR(INDEX('Input Data'!D:D,MATCH("701",'Input Data'!$C:$C,0)),"")</f>
        <v>PINPOINT TALENT PTY LTD</v>
      </c>
      <c r="E24" s="12">
        <f ca="1">IFERROR(INDEX('Input Data'!H:H,MATCH("701",'Input Data'!$C:$C,0)),"")</f>
        <v>46605</v>
      </c>
      <c r="F24" s="3" t="s">
        <v>457</v>
      </c>
      <c r="G24" s="3" t="s">
        <v>458</v>
      </c>
      <c r="H24" s="51"/>
      <c r="I24" s="106">
        <f>IFERROR(H24/INDEX('Input Data'!F:F,MATCH("701",'Input Data'!$C:$C,0)),"")</f>
        <v>0</v>
      </c>
      <c r="J24" s="51"/>
      <c r="K24" s="3" t="s">
        <v>459</v>
      </c>
      <c r="L24" s="3" t="str">
        <f t="shared" ca="1" si="0"/>
        <v>Not Due</v>
      </c>
      <c r="M24" s="3" t="s">
        <v>460</v>
      </c>
      <c r="N24" s="107" t="s">
        <v>476</v>
      </c>
    </row>
    <row r="25" spans="2:14" ht="19.5" customHeight="1" x14ac:dyDescent="0.35">
      <c r="B25" s="15" t="s">
        <v>91</v>
      </c>
      <c r="C25" s="15" t="s">
        <v>250</v>
      </c>
      <c r="D25" s="67" t="str">
        <f ca="1">IFERROR(INDEX('Input Data'!D:D,MATCH("702",'Input Data'!$C:$C,0)),"")</f>
        <v>SATELLITE OFFICE PTY LTD</v>
      </c>
      <c r="E25" s="17">
        <f ca="1">IFERROR(INDEX('Input Data'!H:H,MATCH("702",'Input Data'!$C:$C,0)),"")</f>
        <v>46904</v>
      </c>
      <c r="F25" s="15" t="s">
        <v>457</v>
      </c>
      <c r="G25" s="15" t="s">
        <v>458</v>
      </c>
      <c r="H25" s="51"/>
      <c r="I25" s="106">
        <f>IFERROR(H25/INDEX('Input Data'!F:F,MATCH("702",'Input Data'!$C:$C,0)),"")</f>
        <v>0</v>
      </c>
      <c r="J25" s="51"/>
      <c r="K25" s="15" t="s">
        <v>459</v>
      </c>
      <c r="L25" s="15" t="str">
        <f t="shared" ca="1" si="0"/>
        <v>Not Due</v>
      </c>
      <c r="M25" s="15" t="s">
        <v>460</v>
      </c>
      <c r="N25" s="108" t="s">
        <v>471</v>
      </c>
    </row>
    <row r="26" spans="2:14" ht="19.5" customHeight="1" x14ac:dyDescent="0.35">
      <c r="B26" s="3" t="s">
        <v>90</v>
      </c>
      <c r="C26" s="3" t="s">
        <v>253</v>
      </c>
      <c r="D26" s="6" t="str">
        <f ca="1">IFERROR(INDEX('Input Data'!D:D,MATCH("801",'Input Data'!$C:$C,0)),"")</f>
        <v>ARKANCE AUSTRALIA PTY LTD</v>
      </c>
      <c r="E26" s="12">
        <f ca="1">IFERROR(INDEX('Input Data'!H:H,MATCH("801",'Input Data'!$C:$C,0)),"")</f>
        <v>47756</v>
      </c>
      <c r="F26" s="3" t="s">
        <v>462</v>
      </c>
      <c r="G26" s="3" t="s">
        <v>458</v>
      </c>
      <c r="H26" s="51"/>
      <c r="I26" s="106">
        <f>IFERROR(H26/INDEX('Input Data'!F:F,MATCH("801",'Input Data'!$C:$C,0)),"")</f>
        <v>0</v>
      </c>
      <c r="J26" s="51"/>
      <c r="K26" s="3" t="s">
        <v>459</v>
      </c>
      <c r="L26" s="3" t="str">
        <f t="shared" ca="1" si="0"/>
        <v>Not Due</v>
      </c>
      <c r="M26" s="3" t="s">
        <v>460</v>
      </c>
      <c r="N26" s="107" t="s">
        <v>477</v>
      </c>
    </row>
    <row r="27" spans="2:14" ht="19.5" customHeight="1" x14ac:dyDescent="0.35">
      <c r="B27" s="15" t="s">
        <v>90</v>
      </c>
      <c r="C27" s="15" t="s">
        <v>256</v>
      </c>
      <c r="D27" s="67" t="str">
        <f ca="1">IFERROR(INDEX('Input Data'!D:D,MATCH("802",'Input Data'!$C:$C,0)),"")</f>
        <v>HILLIARD &amp; BERRY</v>
      </c>
      <c r="E27" s="17">
        <f ca="1">IFERROR(INDEX('Input Data'!H:H,MATCH("802",'Input Data'!$C:$C,0)),"")</f>
        <v>46965</v>
      </c>
      <c r="F27" s="15" t="s">
        <v>457</v>
      </c>
      <c r="G27" s="15" t="s">
        <v>458</v>
      </c>
      <c r="H27" s="51"/>
      <c r="I27" s="106">
        <f>IFERROR(H27/INDEX('Input Data'!F:F,MATCH("802",'Input Data'!$C:$C,0)),"")</f>
        <v>0</v>
      </c>
      <c r="J27" s="51"/>
      <c r="K27" s="15" t="s">
        <v>459</v>
      </c>
      <c r="L27" s="15" t="str">
        <f t="shared" ca="1" si="0"/>
        <v>Not Due</v>
      </c>
      <c r="M27" s="15" t="s">
        <v>460</v>
      </c>
      <c r="N27" s="108" t="s">
        <v>478</v>
      </c>
    </row>
    <row r="28" spans="2:14" ht="19.5" customHeight="1" x14ac:dyDescent="0.35">
      <c r="B28" s="49" t="s">
        <v>89</v>
      </c>
      <c r="C28" s="49" t="s">
        <v>259</v>
      </c>
      <c r="D28" s="66" t="str">
        <f ca="1">IFERROR(INDEX('Input Data'!D:D,MATCH("901",'Input Data'!$C:$C,0)),"")</f>
        <v>AITKEN INVESTMENT MANAGEMENT PTY LTD</v>
      </c>
      <c r="E28" s="65">
        <f ca="1">IFERROR(INDEX('Input Data'!H:H,MATCH("901",'Input Data'!$C:$C,0)),"")</f>
        <v>47648</v>
      </c>
      <c r="F28" s="49" t="s">
        <v>457</v>
      </c>
      <c r="G28" s="49" t="s">
        <v>458</v>
      </c>
      <c r="H28" s="51"/>
      <c r="I28" s="106">
        <f>IFERROR(H28/INDEX('Input Data'!F:F,MATCH("901",'Input Data'!$C:$C,0)),"")</f>
        <v>0</v>
      </c>
      <c r="J28" s="51"/>
      <c r="K28" s="49" t="s">
        <v>459</v>
      </c>
      <c r="L28" s="49" t="str">
        <f t="shared" ca="1" si="0"/>
        <v>Not Due</v>
      </c>
      <c r="M28" s="49" t="s">
        <v>460</v>
      </c>
      <c r="N28" s="112" t="s">
        <v>479</v>
      </c>
    </row>
    <row r="29" spans="2:14" ht="19.5" customHeight="1" x14ac:dyDescent="0.35">
      <c r="B29" s="15" t="s">
        <v>89</v>
      </c>
      <c r="C29" s="15" t="s">
        <v>262</v>
      </c>
      <c r="D29" s="67" t="str">
        <f ca="1">IFERROR(INDEX('Input Data'!D:D,MATCH("902&amp;3",'Input Data'!$C:$C,0)),"")</f>
        <v>CAPITAL E MARKETING AND EVENTS PTY LTD</v>
      </c>
      <c r="E29" s="17">
        <f ca="1">IFERROR(INDEX('Input Data'!H:H,MATCH("902&amp;3",'Input Data'!$C:$C,0)),"")</f>
        <v>47573</v>
      </c>
      <c r="F29" s="15" t="s">
        <v>462</v>
      </c>
      <c r="G29" s="15" t="s">
        <v>458</v>
      </c>
      <c r="H29" s="51"/>
      <c r="I29" s="106">
        <f>IFERROR(H29/INDEX('Input Data'!F:F,MATCH("902&amp;3",'Input Data'!$C:$C,0)),"")</f>
        <v>0</v>
      </c>
      <c r="J29" s="51"/>
      <c r="K29" s="15" t="s">
        <v>459</v>
      </c>
      <c r="L29" s="15" t="str">
        <f t="shared" ca="1" si="0"/>
        <v>Not Due</v>
      </c>
      <c r="M29" s="15" t="s">
        <v>460</v>
      </c>
      <c r="N29" s="108" t="s">
        <v>480</v>
      </c>
    </row>
    <row r="30" spans="2:14" ht="19.5" customHeight="1" x14ac:dyDescent="0.35">
      <c r="B30" s="3" t="s">
        <v>88</v>
      </c>
      <c r="C30" s="3" t="s">
        <v>265</v>
      </c>
      <c r="D30" s="6" t="str">
        <f ca="1">IFERROR(INDEX('Input Data'!D:D,MATCH("1001&amp;2",'Input Data'!$C:$C,0)),"")</f>
        <v>CONNECTUS SERVICES PTY LTD</v>
      </c>
      <c r="E30" s="12">
        <f ca="1">IFERROR(INDEX('Input Data'!H:H,MATCH("1001&amp;2",'Input Data'!$C:$C,0)),"")</f>
        <v>47452</v>
      </c>
      <c r="F30" s="3" t="s">
        <v>462</v>
      </c>
      <c r="G30" s="3" t="s">
        <v>458</v>
      </c>
      <c r="H30" s="51"/>
      <c r="I30" s="106">
        <f>IFERROR(H30/INDEX('Input Data'!F:F,MATCH("1001&amp;2",'Input Data'!$C:$C,0)),"")</f>
        <v>0</v>
      </c>
      <c r="J30" s="51"/>
      <c r="K30" s="3" t="s">
        <v>459</v>
      </c>
      <c r="L30" s="3" t="str">
        <f t="shared" ca="1" si="0"/>
        <v>Not Due</v>
      </c>
      <c r="M30" s="3" t="s">
        <v>460</v>
      </c>
      <c r="N30" s="107" t="s">
        <v>481</v>
      </c>
    </row>
    <row r="31" spans="2:14" ht="19.5" customHeight="1" x14ac:dyDescent="0.35">
      <c r="B31" s="51" t="s">
        <v>87</v>
      </c>
      <c r="C31" s="51" t="s">
        <v>269</v>
      </c>
      <c r="D31" s="110" t="str">
        <f ca="1">IFERROR(INDEX('Input Data'!D:D,MATCH("1101",'Input Data'!$C:$C,0)),"")</f>
        <v>MICHAEL FLEGG PTY LTD</v>
      </c>
      <c r="E31" s="2">
        <f ca="1">IFERROR(INDEX('Input Data'!H:H,MATCH("1101",'Input Data'!$C:$C,0)),"")</f>
        <v>46356</v>
      </c>
      <c r="F31" s="51" t="s">
        <v>457</v>
      </c>
      <c r="G31" s="51" t="s">
        <v>458</v>
      </c>
      <c r="H31" s="51"/>
      <c r="I31" s="106">
        <f>IFERROR(H31/INDEX('Input Data'!F:F,MATCH("1101",'Input Data'!$C:$C,0)),"")</f>
        <v>0</v>
      </c>
      <c r="J31" s="51"/>
      <c r="K31" s="51" t="s">
        <v>459</v>
      </c>
      <c r="L31" s="51" t="str">
        <f t="shared" ca="1" si="0"/>
        <v>Due &lt; 12 Mths</v>
      </c>
      <c r="M31" s="51" t="s">
        <v>460</v>
      </c>
      <c r="N31" s="111" t="s">
        <v>482</v>
      </c>
    </row>
    <row r="32" spans="2:14" ht="19.5" customHeight="1" x14ac:dyDescent="0.35">
      <c r="B32" s="20" t="s">
        <v>87</v>
      </c>
      <c r="C32" s="20" t="s">
        <v>272</v>
      </c>
      <c r="D32" s="61" t="str">
        <f ca="1">IFERROR(INDEX('Input Data'!D:D,MATCH("1102",'Input Data'!$C:$C,0)),"")</f>
        <v>PHARMX TECHNOLOGIES LIMITED</v>
      </c>
      <c r="E32" s="22">
        <f ca="1">IFERROR(INDEX('Input Data'!H:H,MATCH("1102",'Input Data'!$C:$C,0)),"")</f>
        <v>46248</v>
      </c>
      <c r="F32" s="20" t="s">
        <v>457</v>
      </c>
      <c r="G32" s="20" t="s">
        <v>458</v>
      </c>
      <c r="H32" s="51"/>
      <c r="I32" s="106">
        <f>IFERROR(H32/INDEX('Input Data'!F:F,MATCH("1102",'Input Data'!$C:$C,0)),"")</f>
        <v>0</v>
      </c>
      <c r="J32" s="51"/>
      <c r="K32" s="20" t="s">
        <v>459</v>
      </c>
      <c r="L32" s="20" t="str">
        <f t="shared" ca="1" si="0"/>
        <v>Due &lt; 6 Mths</v>
      </c>
      <c r="M32" s="20" t="s">
        <v>460</v>
      </c>
      <c r="N32" s="109" t="s">
        <v>483</v>
      </c>
    </row>
    <row r="33" spans="2:14" ht="19.5" customHeight="1" x14ac:dyDescent="0.35">
      <c r="B33" s="64" t="s">
        <v>87</v>
      </c>
      <c r="C33" s="64" t="s">
        <v>279</v>
      </c>
      <c r="D33" s="62" t="str">
        <f ca="1">IFERROR(INDEX('Input Data'!D:D,MATCH("1103",'Input Data'!$C:$C,0)),"")</f>
        <v>VACANT</v>
      </c>
      <c r="E33" s="64" t="s">
        <v>108</v>
      </c>
      <c r="F33" s="64" t="s">
        <v>108</v>
      </c>
      <c r="G33" s="64" t="s">
        <v>108</v>
      </c>
      <c r="H33" s="51"/>
      <c r="I33" s="106">
        <f>IFERROR(H33/INDEX('Input Data'!F:F,MATCH("1103",'Input Data'!$C:$C,0)),"")</f>
        <v>0</v>
      </c>
      <c r="J33" s="51"/>
      <c r="K33" s="64" t="s">
        <v>459</v>
      </c>
      <c r="L33" s="64" t="str">
        <f t="shared" ca="1" si="0"/>
        <v>N/A</v>
      </c>
      <c r="M33" s="64" t="s">
        <v>460</v>
      </c>
      <c r="N33" s="113" t="s">
        <v>484</v>
      </c>
    </row>
    <row r="34" spans="2:14" ht="19.5" customHeight="1" x14ac:dyDescent="0.35">
      <c r="B34" s="64" t="s">
        <v>86</v>
      </c>
      <c r="C34" s="64" t="s">
        <v>86</v>
      </c>
      <c r="D34" s="62" t="str">
        <f ca="1">IFERROR(INDEX('Input Data'!D:D,MATCH("L12",'Input Data'!$C:$C,0)),"")</f>
        <v>DAKOTA CORPORATION</v>
      </c>
      <c r="E34" s="63">
        <v>45291</v>
      </c>
      <c r="F34" s="64" t="s">
        <v>276</v>
      </c>
      <c r="G34" s="64" t="s">
        <v>276</v>
      </c>
      <c r="H34" s="51"/>
      <c r="I34" s="106">
        <f>IFERROR(H34/INDEX('Input Data'!F:F,MATCH("L12",'Input Data'!$C:$C,0)),"")</f>
        <v>0</v>
      </c>
      <c r="J34" s="51"/>
      <c r="K34" s="64" t="s">
        <v>459</v>
      </c>
      <c r="L34" s="64" t="str">
        <f t="shared" ca="1" si="0"/>
        <v>Overdue</v>
      </c>
      <c r="M34" s="64" t="s">
        <v>460</v>
      </c>
      <c r="N34" s="113" t="s">
        <v>485</v>
      </c>
    </row>
    <row r="36" spans="2:14" ht="19.5" customHeight="1" x14ac:dyDescent="0.35">
      <c r="B36" s="620" t="s">
        <v>486</v>
      </c>
      <c r="C36" s="530"/>
      <c r="D36" s="530"/>
      <c r="E36" s="530"/>
      <c r="F36" s="530"/>
      <c r="G36" s="530"/>
      <c r="H36" s="530"/>
      <c r="I36" s="530"/>
      <c r="J36" s="530"/>
      <c r="K36" s="530"/>
      <c r="L36" s="530"/>
      <c r="M36" s="530"/>
      <c r="N36" s="530"/>
    </row>
    <row r="37" spans="2:14" ht="18" customHeight="1" x14ac:dyDescent="0.35">
      <c r="B37" s="36"/>
      <c r="C37" s="664" t="s">
        <v>487</v>
      </c>
      <c r="D37" s="530"/>
      <c r="E37" s="38"/>
      <c r="F37" s="664" t="s">
        <v>488</v>
      </c>
      <c r="G37" s="530"/>
      <c r="H37" s="114"/>
      <c r="I37" s="664" t="s">
        <v>489</v>
      </c>
      <c r="J37" s="530"/>
      <c r="K37" s="39"/>
      <c r="L37" s="664" t="s">
        <v>490</v>
      </c>
      <c r="M37" s="530"/>
    </row>
  </sheetData>
  <mergeCells count="17">
    <mergeCell ref="C37:D37"/>
    <mergeCell ref="E5:F5"/>
    <mergeCell ref="K5:L5"/>
    <mergeCell ref="H5:I5"/>
    <mergeCell ref="I37:J37"/>
    <mergeCell ref="L37:M37"/>
    <mergeCell ref="K6:L6"/>
    <mergeCell ref="B6:C6"/>
    <mergeCell ref="F37:G37"/>
    <mergeCell ref="B36:N36"/>
    <mergeCell ref="E6:F6"/>
    <mergeCell ref="H6:I6"/>
    <mergeCell ref="B8:N8"/>
    <mergeCell ref="A1:N1"/>
    <mergeCell ref="B5:C5"/>
    <mergeCell ref="A2:N2"/>
    <mergeCell ref="B4:M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628" t="s">
        <v>491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  <c r="O1" s="524"/>
    </row>
    <row r="2" spans="1:16" ht="15.75" customHeight="1" x14ac:dyDescent="0.35">
      <c r="A2" s="661" t="s">
        <v>492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  <c r="N2" s="524"/>
      <c r="O2" s="524"/>
    </row>
    <row r="3" spans="1:16" ht="7.5" customHeight="1" x14ac:dyDescent="0.35"/>
    <row r="4" spans="1:16" ht="19.5" customHeight="1" x14ac:dyDescent="0.35">
      <c r="B4" s="620" t="s">
        <v>493</v>
      </c>
      <c r="C4" s="530"/>
      <c r="D4" s="530"/>
      <c r="E4" s="530"/>
      <c r="F4" s="530"/>
      <c r="G4" s="530"/>
      <c r="H4" s="530"/>
      <c r="I4" s="530"/>
      <c r="J4" s="530"/>
      <c r="K4" s="530"/>
      <c r="L4" s="530"/>
      <c r="M4" s="530"/>
      <c r="N4" s="530"/>
    </row>
    <row r="5" spans="1:16" ht="21.75" customHeight="1" x14ac:dyDescent="0.35">
      <c r="B5" s="663" t="s">
        <v>494</v>
      </c>
      <c r="C5" s="526"/>
      <c r="D5" s="663" t="s">
        <v>495</v>
      </c>
      <c r="E5" s="526"/>
      <c r="F5" s="663" t="s">
        <v>496</v>
      </c>
      <c r="G5" s="526"/>
      <c r="H5" s="663" t="s">
        <v>497</v>
      </c>
      <c r="I5" s="526"/>
      <c r="J5" s="663" t="s">
        <v>498</v>
      </c>
      <c r="K5" s="526"/>
      <c r="L5" s="663" t="s">
        <v>499</v>
      </c>
      <c r="M5" s="526"/>
    </row>
    <row r="6" spans="1:16" ht="21.75" customHeight="1" x14ac:dyDescent="0.35">
      <c r="B6" s="662" t="s">
        <v>108</v>
      </c>
      <c r="C6" s="526"/>
      <c r="D6" s="662" t="s">
        <v>108</v>
      </c>
      <c r="E6" s="526"/>
      <c r="F6" s="662" t="s">
        <v>108</v>
      </c>
      <c r="G6" s="526"/>
      <c r="H6" s="662" t="s">
        <v>108</v>
      </c>
      <c r="I6" s="526"/>
      <c r="J6" s="662" t="s">
        <v>108</v>
      </c>
      <c r="K6" s="526"/>
      <c r="L6" s="662" t="s">
        <v>108</v>
      </c>
      <c r="M6" s="526"/>
    </row>
    <row r="7" spans="1:16" ht="7.5" customHeight="1" x14ac:dyDescent="0.35"/>
    <row r="8" spans="1:16" ht="19.5" customHeight="1" x14ac:dyDescent="0.35">
      <c r="B8" s="574" t="s">
        <v>500</v>
      </c>
      <c r="C8" s="530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0"/>
      <c r="O8" s="530"/>
    </row>
    <row r="9" spans="1:16" ht="36" customHeight="1" x14ac:dyDescent="0.35">
      <c r="B9" s="50" t="s">
        <v>81</v>
      </c>
      <c r="C9" s="50" t="s">
        <v>40</v>
      </c>
      <c r="D9" s="50" t="s">
        <v>501</v>
      </c>
      <c r="E9" s="50" t="s">
        <v>329</v>
      </c>
      <c r="F9" s="50" t="s">
        <v>502</v>
      </c>
      <c r="G9" s="50" t="s">
        <v>194</v>
      </c>
      <c r="H9" s="50" t="s">
        <v>503</v>
      </c>
      <c r="I9" s="50" t="s">
        <v>451</v>
      </c>
      <c r="J9" s="50" t="s">
        <v>504</v>
      </c>
      <c r="K9" s="50" t="s">
        <v>505</v>
      </c>
      <c r="L9" s="50" t="s">
        <v>506</v>
      </c>
      <c r="M9" s="50" t="s">
        <v>507</v>
      </c>
      <c r="N9" s="50" t="s">
        <v>508</v>
      </c>
      <c r="O9" s="50" t="s">
        <v>509</v>
      </c>
      <c r="P9" s="50" t="s">
        <v>510</v>
      </c>
    </row>
    <row r="10" spans="1:16" ht="19.5" customHeight="1" x14ac:dyDescent="0.35">
      <c r="B10" s="71" t="s">
        <v>87</v>
      </c>
      <c r="C10" s="115" t="s">
        <v>279</v>
      </c>
      <c r="D10" s="6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VACANT (Vacant)</v>
      </c>
      <c r="E10" s="11">
        <f>IFERROR(INDEX('Input Data'!F:F,MATCH("1103",'Input Data'!$C:$C,0)),"")</f>
        <v>160.30000000000001</v>
      </c>
      <c r="F10" s="116"/>
      <c r="G10" s="116" t="s">
        <v>511</v>
      </c>
      <c r="H10" s="116"/>
      <c r="I10" s="106">
        <f t="shared" ref="I10:I15" si="0">IFERROR(H10/E10,"")</f>
        <v>0</v>
      </c>
      <c r="J10" s="116"/>
      <c r="K10" s="106">
        <f t="shared" ref="K10:K15" si="1">IFERROR(H10-J10,"")</f>
        <v>0</v>
      </c>
      <c r="L10" s="117"/>
      <c r="M10" s="116"/>
      <c r="N10" s="106">
        <f>IFERROR(INDEX('Input Data'!S:S,MATCH("1103",'Input Data'!$C:$C,0)),"")</f>
        <v>1060</v>
      </c>
      <c r="O10" s="116"/>
      <c r="P10" s="117"/>
    </row>
    <row r="11" spans="1:16" ht="19.5" customHeight="1" x14ac:dyDescent="0.35">
      <c r="B11" s="75" t="s">
        <v>92</v>
      </c>
      <c r="C11" s="118" t="s">
        <v>244</v>
      </c>
      <c r="D11" s="67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6">
        <f>IFERROR(INDEX('Input Data'!F:F,MATCH("602",'Input Data'!$C:$C,0)),"")</f>
        <v>152.1</v>
      </c>
      <c r="F11" s="505">
        <v>46146</v>
      </c>
      <c r="G11" s="506" t="s">
        <v>512</v>
      </c>
      <c r="H11" s="503">
        <v>13970</v>
      </c>
      <c r="I11" s="106">
        <f t="shared" si="0"/>
        <v>91.847468770545703</v>
      </c>
      <c r="J11" s="116"/>
      <c r="K11" s="106">
        <f t="shared" si="1"/>
        <v>13970</v>
      </c>
      <c r="L11" s="500" t="s">
        <v>513</v>
      </c>
      <c r="M11" s="116"/>
      <c r="N11" s="106">
        <f>IFERROR(INDEX('Input Data'!S:S,MATCH("602",'Input Data'!$C:$C,0)),"")</f>
        <v>1030</v>
      </c>
      <c r="O11" s="116"/>
      <c r="P11" s="117"/>
    </row>
    <row r="12" spans="1:16" ht="19.5" customHeight="1" x14ac:dyDescent="0.35">
      <c r="B12" s="71" t="s">
        <v>97</v>
      </c>
      <c r="C12" s="115" t="s">
        <v>209</v>
      </c>
      <c r="D12" s="6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30/06/26)</v>
      </c>
      <c r="E12" s="11">
        <f>IFERROR(INDEX('Input Data'!F:F,MATCH("101&amp;2",'Input Data'!$C:$C,0)),"")</f>
        <v>162.4</v>
      </c>
      <c r="F12" s="507">
        <v>46148</v>
      </c>
      <c r="G12" s="506" t="s">
        <v>512</v>
      </c>
      <c r="H12" s="504">
        <v>231499.4</v>
      </c>
      <c r="I12" s="106">
        <f t="shared" si="0"/>
        <v>1425.4889162561576</v>
      </c>
      <c r="J12" s="502">
        <f>1200*E12</f>
        <v>194880</v>
      </c>
      <c r="K12" s="106">
        <f t="shared" si="1"/>
        <v>36619.399999999994</v>
      </c>
      <c r="L12" s="501" t="s">
        <v>514</v>
      </c>
      <c r="M12" s="116"/>
      <c r="N12" s="106">
        <f>IFERROR(INDEX('Input Data'!S:S,MATCH("101&amp;2",'Input Data'!$C:$C,0)),"")</f>
        <v>1115</v>
      </c>
      <c r="O12" s="116"/>
      <c r="P12" s="117"/>
    </row>
    <row r="13" spans="1:16" ht="19.5" customHeight="1" x14ac:dyDescent="0.35">
      <c r="B13" s="75" t="s">
        <v>97</v>
      </c>
      <c r="C13" s="118" t="s">
        <v>216</v>
      </c>
      <c r="D13" s="67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31/07/26)</v>
      </c>
      <c r="E13" s="16">
        <f>IFERROR(INDEX('Input Data'!F:F,MATCH("104",'Input Data'!$C:$C,0)),"")</f>
        <v>98.1</v>
      </c>
      <c r="F13" s="116"/>
      <c r="G13" s="116" t="s">
        <v>511</v>
      </c>
      <c r="H13" s="116"/>
      <c r="I13" s="106">
        <f t="shared" si="0"/>
        <v>0</v>
      </c>
      <c r="J13" s="116"/>
      <c r="K13" s="106">
        <f t="shared" si="1"/>
        <v>0</v>
      </c>
      <c r="L13" s="117"/>
      <c r="M13" s="116"/>
      <c r="N13" s="106">
        <f>IFERROR(INDEX('Input Data'!S:S,MATCH("104",'Input Data'!$C:$C,0)),"")</f>
        <v>960</v>
      </c>
      <c r="O13" s="116"/>
      <c r="P13" s="117"/>
    </row>
    <row r="14" spans="1:16" ht="19.5" customHeight="1" x14ac:dyDescent="0.35">
      <c r="B14" s="71" t="s">
        <v>87</v>
      </c>
      <c r="C14" s="115" t="s">
        <v>272</v>
      </c>
      <c r="D14" s="6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PHARMX TECHNOLOGIES LIMITED (Exp: 14/08/26)</v>
      </c>
      <c r="E14" s="11">
        <f>IFERROR(INDEX('Input Data'!F:F,MATCH("1102",'Input Data'!$C:$C,0)),"")</f>
        <v>133.1</v>
      </c>
      <c r="F14" s="116"/>
      <c r="G14" s="116" t="s">
        <v>511</v>
      </c>
      <c r="H14" s="116"/>
      <c r="I14" s="106">
        <f t="shared" si="0"/>
        <v>0</v>
      </c>
      <c r="J14" s="116"/>
      <c r="K14" s="106">
        <f t="shared" si="1"/>
        <v>0</v>
      </c>
      <c r="L14" s="117"/>
      <c r="M14" s="116"/>
      <c r="N14" s="106">
        <f>IFERROR(INDEX('Input Data'!S:S,MATCH("1102",'Input Data'!$C:$C,0)),"")</f>
        <v>1250</v>
      </c>
      <c r="O14" s="116"/>
      <c r="P14" s="117"/>
    </row>
    <row r="15" spans="1:16" ht="19.5" customHeight="1" x14ac:dyDescent="0.35">
      <c r="B15" s="75" t="s">
        <v>87</v>
      </c>
      <c r="C15" s="118" t="s">
        <v>269</v>
      </c>
      <c r="D15" s="67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6">
        <f>IFERROR(INDEX('Input Data'!F:F,MATCH("1101",'Input Data'!$C:$C,0)),"")</f>
        <v>62.4</v>
      </c>
      <c r="F15" s="116"/>
      <c r="G15" s="116" t="s">
        <v>511</v>
      </c>
      <c r="H15" s="116"/>
      <c r="I15" s="106">
        <f t="shared" si="0"/>
        <v>0</v>
      </c>
      <c r="J15" s="116"/>
      <c r="K15" s="106">
        <f t="shared" si="1"/>
        <v>0</v>
      </c>
      <c r="L15" s="117"/>
      <c r="M15" s="116"/>
      <c r="N15" s="106">
        <f>IFERROR(INDEX('Input Data'!S:S,MATCH("1101",'Input Data'!$C:$C,0)),"")</f>
        <v>1405</v>
      </c>
      <c r="O15" s="116"/>
      <c r="P15" s="117"/>
    </row>
    <row r="16" spans="1:16" ht="19.5" customHeight="1" x14ac:dyDescent="0.35">
      <c r="B16" s="7"/>
      <c r="C16" s="7"/>
      <c r="D16" s="7"/>
      <c r="E16" s="119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</row>
    <row r="17" spans="2:16" ht="19.5" customHeight="1" x14ac:dyDescent="0.35">
      <c r="B17" s="7"/>
      <c r="C17" s="7"/>
      <c r="D17" s="7"/>
      <c r="E17" s="119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</row>
    <row r="18" spans="2:16" ht="19.5" customHeight="1" x14ac:dyDescent="0.35">
      <c r="B18" s="7"/>
      <c r="C18" s="7"/>
      <c r="D18" s="7"/>
      <c r="E18" s="119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</row>
    <row r="19" spans="2:16" ht="19.5" customHeight="1" x14ac:dyDescent="0.35">
      <c r="B19" s="7"/>
      <c r="C19" s="7"/>
      <c r="D19" s="7"/>
      <c r="E19" s="119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</row>
    <row r="20" spans="2:16" ht="19.5" customHeight="1" x14ac:dyDescent="0.35">
      <c r="B20" s="7"/>
      <c r="C20" s="7"/>
      <c r="D20" s="7"/>
      <c r="E20" s="119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</row>
    <row r="21" spans="2:16" ht="19.5" customHeight="1" x14ac:dyDescent="0.35">
      <c r="B21" s="7"/>
      <c r="C21" s="7"/>
      <c r="D21" s="7"/>
      <c r="E21" s="119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</row>
    <row r="22" spans="2:16" ht="19.5" customHeight="1" x14ac:dyDescent="0.35">
      <c r="B22" s="7"/>
      <c r="C22" s="7"/>
      <c r="D22" s="7"/>
      <c r="E22" s="119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</row>
    <row r="23" spans="2:16" ht="19.5" customHeight="1" x14ac:dyDescent="0.35">
      <c r="B23" s="7"/>
      <c r="C23" s="7"/>
      <c r="D23" s="7"/>
      <c r="E23" s="119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</row>
    <row r="26" spans="2:16" ht="19.5" customHeight="1" x14ac:dyDescent="0.35">
      <c r="B26" s="620" t="s">
        <v>515</v>
      </c>
      <c r="C26" s="530"/>
      <c r="D26" s="530"/>
      <c r="E26" s="530"/>
      <c r="F26" s="530"/>
      <c r="G26" s="530"/>
      <c r="H26" s="530"/>
      <c r="I26" s="530"/>
      <c r="J26" s="530"/>
      <c r="K26" s="530"/>
      <c r="L26" s="530"/>
      <c r="M26" s="530"/>
      <c r="N26" s="530"/>
      <c r="O26" s="530"/>
    </row>
    <row r="27" spans="2:16" ht="18" customHeight="1" x14ac:dyDescent="0.35">
      <c r="B27" s="120" t="s">
        <v>516</v>
      </c>
      <c r="C27" s="40" t="s">
        <v>517</v>
      </c>
      <c r="D27" s="40" t="s">
        <v>518</v>
      </c>
      <c r="E27" s="40" t="s">
        <v>519</v>
      </c>
      <c r="F27" s="667" t="s">
        <v>193</v>
      </c>
      <c r="G27" s="530"/>
      <c r="H27" s="530"/>
      <c r="I27" s="530"/>
      <c r="J27" s="530"/>
      <c r="K27" s="530"/>
      <c r="L27" s="530"/>
      <c r="M27" s="530"/>
      <c r="N27" s="530"/>
      <c r="O27" s="526"/>
    </row>
    <row r="28" spans="2:16" ht="18" customHeight="1" x14ac:dyDescent="0.35">
      <c r="B28" s="67" t="s">
        <v>520</v>
      </c>
      <c r="C28" s="15" t="s">
        <v>521</v>
      </c>
      <c r="D28" s="15" t="s">
        <v>522</v>
      </c>
      <c r="E28" s="15" t="s">
        <v>523</v>
      </c>
      <c r="F28" s="666" t="s">
        <v>524</v>
      </c>
      <c r="G28" s="530"/>
      <c r="H28" s="530"/>
      <c r="I28" s="530"/>
      <c r="J28" s="530"/>
      <c r="K28" s="530"/>
      <c r="L28" s="530"/>
      <c r="M28" s="530"/>
      <c r="N28" s="530"/>
      <c r="O28" s="526"/>
    </row>
    <row r="29" spans="2:16" ht="18" customHeight="1" x14ac:dyDescent="0.35">
      <c r="B29" s="6" t="s">
        <v>525</v>
      </c>
      <c r="C29" s="3" t="s">
        <v>526</v>
      </c>
      <c r="D29" s="3" t="s">
        <v>527</v>
      </c>
      <c r="E29" s="3" t="s">
        <v>528</v>
      </c>
      <c r="F29" s="665" t="s">
        <v>529</v>
      </c>
      <c r="G29" s="530"/>
      <c r="H29" s="530"/>
      <c r="I29" s="530"/>
      <c r="J29" s="530"/>
      <c r="K29" s="530"/>
      <c r="L29" s="530"/>
      <c r="M29" s="530"/>
      <c r="N29" s="530"/>
      <c r="O29" s="526"/>
    </row>
    <row r="30" spans="2:16" ht="18" customHeight="1" x14ac:dyDescent="0.35">
      <c r="B30" s="67" t="s">
        <v>530</v>
      </c>
      <c r="C30" s="15" t="s">
        <v>531</v>
      </c>
      <c r="D30" s="15" t="s">
        <v>532</v>
      </c>
      <c r="E30" s="15" t="s">
        <v>533</v>
      </c>
      <c r="F30" s="666" t="s">
        <v>534</v>
      </c>
      <c r="G30" s="530"/>
      <c r="H30" s="530"/>
      <c r="I30" s="530"/>
      <c r="J30" s="530"/>
      <c r="K30" s="530"/>
      <c r="L30" s="530"/>
      <c r="M30" s="530"/>
      <c r="N30" s="530"/>
      <c r="O30" s="526"/>
    </row>
    <row r="31" spans="2:16" ht="18" customHeight="1" x14ac:dyDescent="0.35">
      <c r="B31" s="6" t="s">
        <v>535</v>
      </c>
      <c r="C31" s="3" t="s">
        <v>532</v>
      </c>
      <c r="D31" s="3" t="s">
        <v>536</v>
      </c>
      <c r="E31" s="3" t="s">
        <v>537</v>
      </c>
      <c r="F31" s="665" t="s">
        <v>538</v>
      </c>
      <c r="G31" s="530"/>
      <c r="H31" s="530"/>
      <c r="I31" s="530"/>
      <c r="J31" s="530"/>
      <c r="K31" s="530"/>
      <c r="L31" s="530"/>
      <c r="M31" s="530"/>
      <c r="N31" s="530"/>
      <c r="O31" s="526"/>
    </row>
    <row r="32" spans="2:16" ht="18" customHeight="1" x14ac:dyDescent="0.35">
      <c r="B32" s="67" t="s">
        <v>539</v>
      </c>
      <c r="C32" s="15" t="s">
        <v>540</v>
      </c>
      <c r="D32" s="15" t="s">
        <v>541</v>
      </c>
      <c r="E32" s="15" t="s">
        <v>542</v>
      </c>
      <c r="F32" s="666" t="s">
        <v>543</v>
      </c>
      <c r="G32" s="530"/>
      <c r="H32" s="530"/>
      <c r="I32" s="530"/>
      <c r="J32" s="530"/>
      <c r="K32" s="530"/>
      <c r="L32" s="530"/>
      <c r="M32" s="530"/>
      <c r="N32" s="530"/>
      <c r="O32" s="526"/>
    </row>
    <row r="33" spans="2:15" ht="18" customHeight="1" x14ac:dyDescent="0.35">
      <c r="B33" s="6" t="s">
        <v>544</v>
      </c>
      <c r="C33" s="3" t="s">
        <v>545</v>
      </c>
      <c r="D33" s="3" t="s">
        <v>546</v>
      </c>
      <c r="E33" s="3" t="s">
        <v>533</v>
      </c>
      <c r="F33" s="665" t="s">
        <v>534</v>
      </c>
      <c r="G33" s="530"/>
      <c r="H33" s="530"/>
      <c r="I33" s="530"/>
      <c r="J33" s="530"/>
      <c r="K33" s="530"/>
      <c r="L33" s="530"/>
      <c r="M33" s="530"/>
      <c r="N33" s="530"/>
      <c r="O33" s="526"/>
    </row>
    <row r="34" spans="2:15" ht="18" customHeight="1" x14ac:dyDescent="0.35">
      <c r="B34" s="67" t="s">
        <v>547</v>
      </c>
      <c r="C34" s="15" t="s">
        <v>548</v>
      </c>
      <c r="D34" s="15" t="s">
        <v>549</v>
      </c>
      <c r="E34" s="15" t="s">
        <v>550</v>
      </c>
      <c r="F34" s="666" t="s">
        <v>551</v>
      </c>
      <c r="G34" s="530"/>
      <c r="H34" s="530"/>
      <c r="I34" s="530"/>
      <c r="J34" s="530"/>
      <c r="K34" s="530"/>
      <c r="L34" s="530"/>
      <c r="M34" s="530"/>
      <c r="N34" s="530"/>
      <c r="O34" s="526"/>
    </row>
    <row r="35" spans="2:15" ht="18" customHeight="1" x14ac:dyDescent="0.35">
      <c r="B35" s="6" t="s">
        <v>552</v>
      </c>
      <c r="C35" s="3" t="s">
        <v>553</v>
      </c>
      <c r="D35" s="3" t="s">
        <v>554</v>
      </c>
      <c r="E35" s="3" t="s">
        <v>555</v>
      </c>
      <c r="F35" s="665" t="s">
        <v>556</v>
      </c>
      <c r="G35" s="530"/>
      <c r="H35" s="530"/>
      <c r="I35" s="530"/>
      <c r="J35" s="530"/>
      <c r="K35" s="530"/>
      <c r="L35" s="530"/>
      <c r="M35" s="530"/>
      <c r="N35" s="530"/>
      <c r="O35" s="526"/>
    </row>
  </sheetData>
  <mergeCells count="26">
    <mergeCell ref="F5:G5"/>
    <mergeCell ref="L5:M5"/>
    <mergeCell ref="B26:O26"/>
    <mergeCell ref="F28:O28"/>
    <mergeCell ref="F31:O31"/>
    <mergeCell ref="F27:O27"/>
    <mergeCell ref="J5:K5"/>
    <mergeCell ref="F6:G6"/>
    <mergeCell ref="D6:E6"/>
    <mergeCell ref="F29:O29"/>
    <mergeCell ref="F35:O35"/>
    <mergeCell ref="F32:O32"/>
    <mergeCell ref="B5:C5"/>
    <mergeCell ref="D5:E5"/>
    <mergeCell ref="A1:O1"/>
    <mergeCell ref="H5:I5"/>
    <mergeCell ref="F34:O34"/>
    <mergeCell ref="B8:O8"/>
    <mergeCell ref="F30:O30"/>
    <mergeCell ref="B6:C6"/>
    <mergeCell ref="F33:O33"/>
    <mergeCell ref="L6:M6"/>
    <mergeCell ref="A2:O2"/>
    <mergeCell ref="H6:I6"/>
    <mergeCell ref="J6:K6"/>
    <mergeCell ref="B4:N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151"/>
  <sheetViews>
    <sheetView showGridLines="0" topLeftCell="A115" zoomScale="90" zoomScaleNormal="90" workbookViewId="0">
      <selection activeCell="D151" sqref="D151:G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695" t="s">
        <v>557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  <c r="N1" s="524"/>
      <c r="O1" s="524"/>
      <c r="P1" s="524"/>
      <c r="Q1" s="524"/>
      <c r="R1" s="524"/>
      <c r="S1" s="524"/>
      <c r="T1" s="524"/>
      <c r="U1" s="524"/>
      <c r="V1" s="524"/>
      <c r="W1" s="524"/>
      <c r="X1" s="524"/>
      <c r="Y1" s="524"/>
      <c r="Z1" s="524"/>
      <c r="AA1" s="524"/>
      <c r="AB1" s="524"/>
      <c r="AC1" s="524"/>
      <c r="AD1" s="524"/>
      <c r="AE1" s="524"/>
    </row>
    <row r="2" spans="1:31" ht="15" customHeight="1" x14ac:dyDescent="0.35">
      <c r="A2" s="661" t="s">
        <v>558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  <c r="N2" s="524"/>
      <c r="O2" s="524"/>
      <c r="P2" s="524"/>
      <c r="Q2" s="524"/>
      <c r="R2" s="524"/>
      <c r="S2" s="524"/>
      <c r="T2" s="524"/>
      <c r="U2" s="524"/>
      <c r="V2" s="524"/>
      <c r="W2" s="524"/>
      <c r="X2" s="524"/>
      <c r="Y2" s="524"/>
      <c r="Z2" s="524"/>
      <c r="AA2" s="524"/>
      <c r="AB2" s="524"/>
      <c r="AC2" s="524"/>
      <c r="AD2" s="524"/>
      <c r="AE2" s="524"/>
    </row>
    <row r="3" spans="1:31" ht="21.75" customHeight="1" x14ac:dyDescent="0.35">
      <c r="B3" s="40" t="s">
        <v>81</v>
      </c>
      <c r="C3" s="50" t="s">
        <v>559</v>
      </c>
      <c r="D3" s="582" t="s">
        <v>560</v>
      </c>
      <c r="E3" s="530"/>
      <c r="F3" s="530"/>
      <c r="G3" s="530"/>
      <c r="H3" s="530"/>
      <c r="I3" s="530"/>
      <c r="J3" s="530"/>
      <c r="K3" s="530"/>
      <c r="L3" s="530"/>
      <c r="M3" s="530"/>
      <c r="N3" s="530"/>
      <c r="O3" s="530"/>
      <c r="P3" s="530"/>
      <c r="Q3" s="530"/>
      <c r="R3" s="530"/>
      <c r="S3" s="530"/>
      <c r="T3" s="530"/>
      <c r="U3" s="530"/>
      <c r="V3" s="530"/>
      <c r="W3" s="530"/>
      <c r="X3" s="530"/>
      <c r="Y3" s="530"/>
      <c r="Z3" s="530"/>
      <c r="AA3" s="530"/>
      <c r="AB3" s="530"/>
      <c r="AC3" s="530"/>
      <c r="AD3" s="530"/>
    </row>
    <row r="4" spans="1:31" ht="6.75" customHeight="1" x14ac:dyDescent="0.35">
      <c r="B4" s="121"/>
      <c r="C4" s="121"/>
      <c r="D4" s="715"/>
      <c r="E4" s="716"/>
      <c r="F4" s="716"/>
      <c r="G4" s="716"/>
      <c r="H4" s="716"/>
      <c r="I4" s="716"/>
      <c r="J4" s="716"/>
      <c r="K4" s="716"/>
      <c r="L4" s="716"/>
      <c r="M4" s="716"/>
      <c r="N4" s="716"/>
      <c r="O4" s="716"/>
      <c r="P4" s="716"/>
      <c r="Q4" s="716"/>
      <c r="R4" s="716"/>
      <c r="S4" s="716"/>
      <c r="T4" s="716"/>
      <c r="U4" s="716"/>
      <c r="V4" s="716"/>
      <c r="W4" s="716"/>
      <c r="X4" s="716"/>
      <c r="Y4" s="716"/>
      <c r="Z4" s="716"/>
      <c r="AA4" s="716"/>
      <c r="AB4" s="716"/>
      <c r="AC4" s="716"/>
      <c r="AD4" s="716"/>
    </row>
    <row r="5" spans="1:31" ht="19.5" customHeight="1" x14ac:dyDescent="0.35">
      <c r="B5" s="668" t="s">
        <v>561</v>
      </c>
      <c r="C5" s="682">
        <f>SUMIF('Input Data'!B:B,"L12",'Input Data'!F:F)</f>
        <v>223.7</v>
      </c>
      <c r="D5" s="677" t="str">
        <f ca="1">IFERROR(INDEX('Input Data'!D:D,MATCH("L12",'Input Data'!$C:$C,0)),"VACANT")</f>
        <v>DAKOTA CORPORATION</v>
      </c>
      <c r="E5" s="530"/>
      <c r="F5" s="530"/>
      <c r="G5" s="530"/>
      <c r="H5" s="530"/>
      <c r="I5" s="530"/>
      <c r="J5" s="530"/>
      <c r="K5" s="530"/>
      <c r="L5" s="530"/>
      <c r="M5" s="530"/>
      <c r="N5" s="530"/>
      <c r="O5" s="530"/>
      <c r="P5" s="530"/>
      <c r="Q5" s="530"/>
      <c r="R5" s="530"/>
      <c r="S5" s="530"/>
      <c r="T5" s="530"/>
      <c r="U5" s="530"/>
      <c r="V5" s="530"/>
      <c r="W5" s="530"/>
      <c r="X5" s="530"/>
      <c r="Y5" s="530"/>
      <c r="Z5" s="530"/>
      <c r="AA5" s="530"/>
      <c r="AB5" s="530"/>
      <c r="AC5" s="530"/>
      <c r="AD5" s="530"/>
    </row>
    <row r="6" spans="1:31" ht="15" customHeight="1" x14ac:dyDescent="0.35">
      <c r="B6" s="669"/>
      <c r="C6" s="683"/>
      <c r="D6" s="699" t="str">
        <f>"Suite "&amp;"L12"</f>
        <v>Suite L12</v>
      </c>
      <c r="E6" s="530"/>
      <c r="F6" s="530"/>
      <c r="G6" s="530"/>
      <c r="H6" s="530"/>
      <c r="I6" s="530"/>
      <c r="J6" s="530"/>
      <c r="K6" s="530"/>
      <c r="L6" s="530"/>
      <c r="M6" s="530"/>
      <c r="N6" s="530"/>
      <c r="O6" s="530"/>
      <c r="P6" s="530"/>
      <c r="Q6" s="530"/>
      <c r="R6" s="530"/>
      <c r="S6" s="530"/>
      <c r="T6" s="530"/>
      <c r="U6" s="530"/>
      <c r="V6" s="530"/>
      <c r="W6" s="530"/>
      <c r="X6" s="530"/>
      <c r="Y6" s="530"/>
      <c r="Z6" s="530"/>
      <c r="AA6" s="530"/>
      <c r="AB6" s="530"/>
      <c r="AC6" s="530"/>
      <c r="AD6" s="530"/>
    </row>
    <row r="7" spans="1:31" ht="15" customHeight="1" x14ac:dyDescent="0.35">
      <c r="B7" s="669"/>
      <c r="C7" s="683"/>
      <c r="D7" s="699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</row>
    <row r="8" spans="1:31" ht="15" customHeight="1" x14ac:dyDescent="0.35">
      <c r="B8" s="669"/>
      <c r="C8" s="683"/>
      <c r="D8" s="699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530"/>
      <c r="F8" s="530"/>
      <c r="G8" s="530"/>
      <c r="H8" s="530"/>
      <c r="I8" s="530"/>
      <c r="J8" s="530"/>
      <c r="K8" s="530"/>
      <c r="L8" s="530"/>
      <c r="M8" s="530"/>
      <c r="N8" s="530"/>
      <c r="O8" s="530"/>
      <c r="P8" s="530"/>
      <c r="Q8" s="530"/>
      <c r="R8" s="530"/>
      <c r="S8" s="530"/>
      <c r="T8" s="530"/>
      <c r="U8" s="530"/>
      <c r="V8" s="530"/>
      <c r="W8" s="530"/>
      <c r="X8" s="530"/>
      <c r="Y8" s="530"/>
      <c r="Z8" s="530"/>
      <c r="AA8" s="530"/>
      <c r="AB8" s="530"/>
      <c r="AC8" s="530"/>
      <c r="AD8" s="530"/>
    </row>
    <row r="9" spans="1:31" ht="15" customHeight="1" x14ac:dyDescent="0.35">
      <c r="B9" s="669"/>
      <c r="C9" s="683"/>
      <c r="D9" s="699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530"/>
      <c r="F9" s="530"/>
      <c r="G9" s="530"/>
      <c r="H9" s="530"/>
      <c r="I9" s="530"/>
      <c r="J9" s="530"/>
      <c r="K9" s="530"/>
      <c r="L9" s="530"/>
      <c r="M9" s="530"/>
      <c r="N9" s="530"/>
      <c r="O9" s="530"/>
      <c r="P9" s="530"/>
      <c r="Q9" s="530"/>
      <c r="R9" s="530"/>
      <c r="S9" s="530"/>
      <c r="T9" s="530"/>
      <c r="U9" s="530"/>
      <c r="V9" s="530"/>
      <c r="W9" s="530"/>
      <c r="X9" s="530"/>
      <c r="Y9" s="530"/>
      <c r="Z9" s="530"/>
      <c r="AA9" s="530"/>
      <c r="AB9" s="530"/>
      <c r="AC9" s="530"/>
      <c r="AD9" s="530"/>
    </row>
    <row r="10" spans="1:31" ht="15" customHeight="1" x14ac:dyDescent="0.35">
      <c r="B10" s="669"/>
      <c r="C10" s="683"/>
      <c r="D10" s="699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530"/>
      <c r="F10" s="530"/>
      <c r="G10" s="530"/>
      <c r="H10" s="530"/>
      <c r="I10" s="530"/>
      <c r="J10" s="530"/>
      <c r="K10" s="530"/>
      <c r="L10" s="530"/>
      <c r="M10" s="530"/>
      <c r="N10" s="530"/>
      <c r="O10" s="530"/>
      <c r="P10" s="530"/>
      <c r="Q10" s="530"/>
      <c r="R10" s="530"/>
      <c r="S10" s="530"/>
      <c r="T10" s="530"/>
      <c r="U10" s="530"/>
      <c r="V10" s="530"/>
      <c r="W10" s="530"/>
      <c r="X10" s="530"/>
      <c r="Y10" s="530"/>
      <c r="Z10" s="530"/>
      <c r="AA10" s="530"/>
      <c r="AB10" s="530"/>
      <c r="AC10" s="530"/>
      <c r="AD10" s="530"/>
    </row>
    <row r="11" spans="1:31" ht="15" customHeight="1" x14ac:dyDescent="0.35">
      <c r="B11" s="669"/>
      <c r="C11" s="683"/>
      <c r="D11" s="699" t="str">
        <f ca="1">IFERROR(IF((INDEX('Input Data'!H:H,MATCH("L12",'Input Data'!$C:$C,0))-TODAY())&gt;0,TEXT((INDEX('Input Data'!H:H,MATCH("L12",'Input Data'!$C:$C,0))-TODAY())/365.25,"0.0")&amp;" yrs remaining","⚠ EXPIRED"),"—")</f>
        <v>2.7 yrs remaining</v>
      </c>
      <c r="E11" s="530"/>
      <c r="F11" s="530"/>
      <c r="G11" s="530"/>
      <c r="H11" s="530"/>
      <c r="I11" s="530"/>
      <c r="J11" s="530"/>
      <c r="K11" s="530"/>
      <c r="L11" s="530"/>
      <c r="M11" s="530"/>
      <c r="N11" s="530"/>
      <c r="O11" s="530"/>
      <c r="P11" s="530"/>
      <c r="Q11" s="530"/>
      <c r="R11" s="530"/>
      <c r="S11" s="530"/>
      <c r="T11" s="530"/>
      <c r="U11" s="530"/>
      <c r="V11" s="530"/>
      <c r="W11" s="530"/>
      <c r="X11" s="530"/>
      <c r="Y11" s="530"/>
      <c r="Z11" s="530"/>
      <c r="AA11" s="530"/>
      <c r="AB11" s="530"/>
      <c r="AC11" s="530"/>
      <c r="AD11" s="530"/>
    </row>
    <row r="12" spans="1:31" ht="15" customHeight="1" x14ac:dyDescent="0.35">
      <c r="B12" s="669"/>
      <c r="C12" s="683"/>
      <c r="D12" s="699" t="str">
        <f>""</f>
        <v/>
      </c>
      <c r="E12" s="530"/>
      <c r="F12" s="530"/>
      <c r="G12" s="530"/>
      <c r="H12" s="530"/>
      <c r="I12" s="530"/>
      <c r="J12" s="530"/>
      <c r="K12" s="530"/>
      <c r="L12" s="530"/>
      <c r="M12" s="530"/>
      <c r="N12" s="530"/>
      <c r="O12" s="530"/>
      <c r="P12" s="530"/>
      <c r="Q12" s="530"/>
      <c r="R12" s="530"/>
      <c r="S12" s="530"/>
      <c r="T12" s="530"/>
      <c r="U12" s="530"/>
      <c r="V12" s="530"/>
      <c r="W12" s="530"/>
      <c r="X12" s="530"/>
      <c r="Y12" s="530"/>
      <c r="Z12" s="530"/>
      <c r="AA12" s="530"/>
      <c r="AB12" s="530"/>
      <c r="AC12" s="530"/>
      <c r="AD12" s="530"/>
    </row>
    <row r="13" spans="1:31" ht="3.75" customHeight="1" x14ac:dyDescent="0.35">
      <c r="B13" s="669"/>
      <c r="C13" s="683"/>
      <c r="D13" s="714" t="str">
        <f>""</f>
        <v/>
      </c>
      <c r="E13" s="530"/>
      <c r="F13" s="530"/>
      <c r="G13" s="530"/>
      <c r="H13" s="530"/>
      <c r="I13" s="530"/>
      <c r="J13" s="530"/>
      <c r="K13" s="530"/>
      <c r="L13" s="530"/>
      <c r="M13" s="530"/>
      <c r="N13" s="530"/>
      <c r="O13" s="530"/>
      <c r="P13" s="530"/>
      <c r="Q13" s="530"/>
      <c r="R13" s="530"/>
      <c r="S13" s="530"/>
      <c r="T13" s="530"/>
      <c r="U13" s="530"/>
      <c r="V13" s="530"/>
      <c r="W13" s="530"/>
      <c r="X13" s="530"/>
      <c r="Y13" s="530"/>
      <c r="Z13" s="530"/>
      <c r="AA13" s="530"/>
      <c r="AB13" s="530"/>
      <c r="AC13" s="530"/>
      <c r="AD13" s="530"/>
    </row>
    <row r="14" spans="1:31" ht="15" customHeight="1" x14ac:dyDescent="0.35">
      <c r="B14" s="92"/>
      <c r="C14" s="92"/>
    </row>
    <row r="15" spans="1:31" ht="19.5" customHeight="1" x14ac:dyDescent="0.35">
      <c r="B15" s="668" t="s">
        <v>562</v>
      </c>
      <c r="C15" s="682">
        <f>SUMIF('Input Data'!B:B,"L11",'Input Data'!F:F)</f>
        <v>355.8</v>
      </c>
      <c r="D15" s="700" t="str">
        <f ca="1">IFERROR(INDEX('Input Data'!D:D,MATCH("1101",'Input Data'!$C:$C,0)),"VACANT")</f>
        <v>MICHAEL FLEGG PTY LTD</v>
      </c>
      <c r="E15" s="530"/>
      <c r="F15" s="530"/>
      <c r="G15" s="530"/>
      <c r="H15" s="530"/>
      <c r="I15" s="530"/>
      <c r="J15" s="713" t="str">
        <f ca="1">IFERROR(INDEX('Input Data'!D:D,MATCH("1102",'Input Data'!$C:$C,0)),"VACANT")</f>
        <v>PHARMX TECHNOLOGIES LIMITED</v>
      </c>
      <c r="K15" s="530"/>
      <c r="L15" s="530"/>
      <c r="M15" s="530"/>
      <c r="N15" s="530"/>
      <c r="O15" s="530"/>
      <c r="P15" s="530"/>
      <c r="Q15" s="530"/>
      <c r="R15" s="530"/>
      <c r="S15" s="530"/>
      <c r="T15" s="701" t="str">
        <f ca="1">IFERROR(INDEX('Input Data'!D:D,MATCH("1103",'Input Data'!$C:$C,0)),"VACANT")</f>
        <v>VACANT</v>
      </c>
      <c r="U15" s="530"/>
      <c r="V15" s="530"/>
      <c r="W15" s="530"/>
      <c r="X15" s="530"/>
      <c r="Y15" s="530"/>
      <c r="Z15" s="530"/>
      <c r="AA15" s="530"/>
      <c r="AB15" s="530"/>
      <c r="AC15" s="530"/>
      <c r="AD15" s="530"/>
    </row>
    <row r="16" spans="1:31" ht="15" customHeight="1" x14ac:dyDescent="0.35">
      <c r="B16" s="669"/>
      <c r="C16" s="683"/>
      <c r="D16" s="681" t="str">
        <f>"Suite "&amp;"1101"</f>
        <v>Suite 1101</v>
      </c>
      <c r="E16" s="530"/>
      <c r="F16" s="530"/>
      <c r="G16" s="530"/>
      <c r="H16" s="530"/>
      <c r="I16" s="530"/>
      <c r="J16" s="690" t="str">
        <f>"Suite "&amp;"1102"</f>
        <v>Suite 1102</v>
      </c>
      <c r="K16" s="530"/>
      <c r="L16" s="530"/>
      <c r="M16" s="530"/>
      <c r="N16" s="530"/>
      <c r="O16" s="530"/>
      <c r="P16" s="530"/>
      <c r="Q16" s="530"/>
      <c r="R16" s="530"/>
      <c r="S16" s="530"/>
      <c r="T16" s="680" t="str">
        <f>"Suite "&amp;"1103"</f>
        <v>Suite 1103</v>
      </c>
      <c r="U16" s="530"/>
      <c r="V16" s="530"/>
      <c r="W16" s="530"/>
      <c r="X16" s="530"/>
      <c r="Y16" s="530"/>
      <c r="Z16" s="530"/>
      <c r="AA16" s="530"/>
      <c r="AB16" s="530"/>
      <c r="AC16" s="530"/>
      <c r="AD16" s="530"/>
    </row>
    <row r="17" spans="2:30" ht="15" customHeight="1" x14ac:dyDescent="0.35">
      <c r="B17" s="669"/>
      <c r="C17" s="683"/>
      <c r="D17" s="681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530"/>
      <c r="F17" s="530"/>
      <c r="G17" s="530"/>
      <c r="H17" s="530"/>
      <c r="I17" s="530"/>
      <c r="J17" s="690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530"/>
      <c r="L17" s="530"/>
      <c r="M17" s="530"/>
      <c r="N17" s="530"/>
      <c r="O17" s="530"/>
      <c r="P17" s="530"/>
      <c r="Q17" s="530"/>
      <c r="R17" s="530"/>
      <c r="S17" s="530"/>
      <c r="T17" s="680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530"/>
      <c r="V17" s="530"/>
      <c r="W17" s="530"/>
      <c r="X17" s="530"/>
      <c r="Y17" s="530"/>
      <c r="Z17" s="530"/>
      <c r="AA17" s="530"/>
      <c r="AB17" s="530"/>
      <c r="AC17" s="530"/>
      <c r="AD17" s="530"/>
    </row>
    <row r="18" spans="2:30" ht="15" customHeight="1" x14ac:dyDescent="0.35">
      <c r="B18" s="669"/>
      <c r="C18" s="683"/>
      <c r="D18" s="681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530"/>
      <c r="F18" s="530"/>
      <c r="G18" s="530"/>
      <c r="H18" s="530"/>
      <c r="I18" s="530"/>
      <c r="J18" s="690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$1,222  |  Incent: $293.80</v>
      </c>
      <c r="K18" s="530"/>
      <c r="L18" s="530"/>
      <c r="M18" s="530"/>
      <c r="N18" s="530"/>
      <c r="O18" s="530"/>
      <c r="P18" s="530"/>
      <c r="Q18" s="530"/>
      <c r="R18" s="530"/>
      <c r="S18" s="530"/>
      <c r="T18" s="680" t="str">
        <f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$0  |  Incent: nil</v>
      </c>
      <c r="U18" s="530"/>
      <c r="V18" s="530"/>
      <c r="W18" s="530"/>
      <c r="X18" s="530"/>
      <c r="Y18" s="530"/>
      <c r="Z18" s="530"/>
      <c r="AA18" s="530"/>
      <c r="AB18" s="530"/>
      <c r="AC18" s="530"/>
      <c r="AD18" s="530"/>
    </row>
    <row r="19" spans="2:30" ht="15" customHeight="1" x14ac:dyDescent="0.35">
      <c r="B19" s="669"/>
      <c r="C19" s="683"/>
      <c r="D19" s="681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530"/>
      <c r="F19" s="530"/>
      <c r="G19" s="530"/>
      <c r="H19" s="530"/>
      <c r="I19" s="530"/>
      <c r="J19" s="690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$123,571 pa</v>
      </c>
      <c r="K19" s="530"/>
      <c r="L19" s="530"/>
      <c r="M19" s="530"/>
      <c r="N19" s="530"/>
      <c r="O19" s="530"/>
      <c r="P19" s="530"/>
      <c r="Q19" s="530"/>
      <c r="R19" s="530"/>
      <c r="S19" s="530"/>
      <c r="T19" s="680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$0 pa</v>
      </c>
      <c r="U19" s="530"/>
      <c r="V19" s="530"/>
      <c r="W19" s="530"/>
      <c r="X19" s="530"/>
      <c r="Y19" s="530"/>
      <c r="Z19" s="530"/>
      <c r="AA19" s="530"/>
      <c r="AB19" s="530"/>
      <c r="AC19" s="530"/>
      <c r="AD19" s="530"/>
    </row>
    <row r="20" spans="2:30" ht="15" customHeight="1" x14ac:dyDescent="0.35">
      <c r="B20" s="669"/>
      <c r="C20" s="683"/>
      <c r="D20" s="681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530"/>
      <c r="F20" s="530"/>
      <c r="G20" s="530"/>
      <c r="H20" s="530"/>
      <c r="I20" s="530"/>
      <c r="J20" s="690" t="str">
        <f ca="1">IFERROR("Start: "&amp;TEXT(INDEX('Input Data'!G:G,MATCH("1102",'Input Data'!$C:$C,0)),"DD/MM/YY")&amp;"  →  Expiry: "&amp;TEXT(INDEX('Input Data'!H:H,MATCH("1102",'Input Data'!$C:$C,0)),"DD/MM/YY"),"—")</f>
        <v>Start: 15/08/23  →  Expiry: 14/08/26</v>
      </c>
      <c r="K20" s="530"/>
      <c r="L20" s="530"/>
      <c r="M20" s="530"/>
      <c r="N20" s="530"/>
      <c r="O20" s="530"/>
      <c r="P20" s="530"/>
      <c r="Q20" s="530"/>
      <c r="R20" s="530"/>
      <c r="S20" s="530"/>
      <c r="T20" s="691" t="str">
        <f ca="1">IFERROR("Start: "&amp;TEXT(INDEX('Input Data'!G:G,MATCH("1103",'Input Data'!$C:$C,0)),"DD/MM/YY")&amp;"  →  Expiry: "&amp;TEXT(INDEX('Input Data'!H:H,MATCH("1103",'Input Data'!$C:$C,0)),"DD/MM/YY"),"—")</f>
        <v xml:space="preserve">Start:   →  Expiry: </v>
      </c>
      <c r="U20" s="530"/>
      <c r="V20" s="530"/>
      <c r="W20" s="530"/>
      <c r="X20" s="530"/>
      <c r="Y20" s="530"/>
      <c r="Z20" s="530"/>
      <c r="AA20" s="530"/>
      <c r="AB20" s="530"/>
      <c r="AC20" s="530"/>
      <c r="AD20" s="530"/>
    </row>
    <row r="21" spans="2:30" ht="15" customHeight="1" x14ac:dyDescent="0.35">
      <c r="B21" s="669"/>
      <c r="C21" s="683"/>
      <c r="D21" s="681" t="str">
        <f ca="1">IFERROR(IF((INDEX('Input Data'!H:H,MATCH("1101",'Input Data'!$C:$C,0))-TODAY())&gt;0,TEXT((INDEX('Input Data'!H:H,MATCH("1101",'Input Data'!$C:$C,0))-TODAY())/365.25,"0.0")&amp;" yrs remaining","⚠ EXPIRED"),"—")</f>
        <v>0.6 yrs remaining</v>
      </c>
      <c r="E21" s="530"/>
      <c r="F21" s="530"/>
      <c r="G21" s="530"/>
      <c r="H21" s="530"/>
      <c r="I21" s="530"/>
      <c r="J21" s="690" t="str">
        <f ca="1">IFERROR(IF((INDEX('Input Data'!H:H,MATCH("1102",'Input Data'!$C:$C,0))-TODAY())&gt;0,TEXT((INDEX('Input Data'!H:H,MATCH("1102",'Input Data'!$C:$C,0))-TODAY())/365.25,"0.0")&amp;" yrs remaining","⚠ EXPIRED"),"—")</f>
        <v>0.3 yrs remaining</v>
      </c>
      <c r="K21" s="530"/>
      <c r="L21" s="530"/>
      <c r="M21" s="530"/>
      <c r="N21" s="530"/>
      <c r="O21" s="530"/>
      <c r="P21" s="530"/>
      <c r="Q21" s="530"/>
      <c r="R21" s="530"/>
      <c r="S21" s="530"/>
      <c r="T21" s="680" t="str">
        <f ca="1">IFERROR(IF((INDEX('Input Data'!H:H,MATCH("1103",'Input Data'!$C:$C,0))-TODAY())&gt;0,TEXT((INDEX('Input Data'!H:H,MATCH("1103",'Input Data'!$C:$C,0))-TODAY())/365.25,"0.0")&amp;" yrs remaining","⚠ EXPIRED"),"—")</f>
        <v>—</v>
      </c>
      <c r="U21" s="530"/>
      <c r="V21" s="530"/>
      <c r="W21" s="530"/>
      <c r="X21" s="530"/>
      <c r="Y21" s="530"/>
      <c r="Z21" s="530"/>
      <c r="AA21" s="530"/>
      <c r="AB21" s="530"/>
      <c r="AC21" s="530"/>
      <c r="AD21" s="530"/>
    </row>
    <row r="22" spans="2:30" ht="15" customHeight="1" x14ac:dyDescent="0.35">
      <c r="B22" s="669"/>
      <c r="C22" s="683"/>
      <c r="D22" s="681" t="str">
        <f>""</f>
        <v/>
      </c>
      <c r="E22" s="530"/>
      <c r="F22" s="530"/>
      <c r="G22" s="530"/>
      <c r="H22" s="530"/>
      <c r="I22" s="530"/>
      <c r="J22" s="690" t="str">
        <f>""</f>
        <v/>
      </c>
      <c r="K22" s="530"/>
      <c r="L22" s="530"/>
      <c r="M22" s="530"/>
      <c r="N22" s="530"/>
      <c r="O22" s="530"/>
      <c r="P22" s="530"/>
      <c r="Q22" s="530"/>
      <c r="R22" s="530"/>
      <c r="S22" s="530"/>
      <c r="T22" s="680" t="str">
        <f>""</f>
        <v/>
      </c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</row>
    <row r="23" spans="2:30" ht="3.75" customHeight="1" x14ac:dyDescent="0.35">
      <c r="B23" s="669"/>
      <c r="C23" s="683"/>
      <c r="D23" s="673" t="str">
        <f>""</f>
        <v/>
      </c>
      <c r="E23" s="530"/>
      <c r="F23" s="530"/>
      <c r="G23" s="530"/>
      <c r="H23" s="530"/>
      <c r="I23" s="530"/>
      <c r="J23" s="686" t="str">
        <f>""</f>
        <v/>
      </c>
      <c r="K23" s="530"/>
      <c r="L23" s="530"/>
      <c r="M23" s="530"/>
      <c r="N23" s="530"/>
      <c r="O23" s="530"/>
      <c r="P23" s="530"/>
      <c r="Q23" s="530"/>
      <c r="R23" s="530"/>
      <c r="S23" s="530"/>
      <c r="T23" s="705" t="str">
        <f>""</f>
        <v/>
      </c>
      <c r="U23" s="530"/>
      <c r="V23" s="530"/>
      <c r="W23" s="530"/>
      <c r="X23" s="530"/>
      <c r="Y23" s="530"/>
      <c r="Z23" s="530"/>
      <c r="AA23" s="530"/>
      <c r="AB23" s="530"/>
      <c r="AC23" s="530"/>
      <c r="AD23" s="530"/>
    </row>
    <row r="24" spans="2:30" ht="15" customHeight="1" x14ac:dyDescent="0.35">
      <c r="B24" s="92"/>
      <c r="C24" s="92"/>
    </row>
    <row r="25" spans="2:30" ht="19.5" customHeight="1" x14ac:dyDescent="0.35">
      <c r="B25" s="668" t="s">
        <v>563</v>
      </c>
      <c r="C25" s="682">
        <f>SUMIF('Input Data'!B:B,"L10",'Input Data'!F:F)</f>
        <v>363.2</v>
      </c>
      <c r="D25" s="672" t="str">
        <f ca="1">IFERROR(INDEX('Input Data'!D:D,MATCH("1001&amp;2",'Input Data'!$C:$C,0)),"VACANT")</f>
        <v>CONNECTUS SERVICES PTY LTD</v>
      </c>
      <c r="E25" s="530"/>
      <c r="F25" s="530"/>
      <c r="G25" s="530"/>
      <c r="H25" s="530"/>
      <c r="I25" s="530"/>
      <c r="J25" s="530"/>
      <c r="K25" s="530"/>
      <c r="L25" s="530"/>
      <c r="M25" s="530"/>
      <c r="N25" s="530"/>
      <c r="O25" s="530"/>
      <c r="P25" s="530"/>
      <c r="Q25" s="530"/>
      <c r="R25" s="530"/>
      <c r="S25" s="530"/>
      <c r="T25" s="530"/>
      <c r="U25" s="530"/>
      <c r="V25" s="530"/>
      <c r="W25" s="530"/>
      <c r="X25" s="530"/>
      <c r="Y25" s="530"/>
      <c r="Z25" s="530"/>
      <c r="AA25" s="530"/>
      <c r="AB25" s="530"/>
      <c r="AC25" s="530"/>
      <c r="AD25" s="530"/>
    </row>
    <row r="26" spans="2:30" ht="15" customHeight="1" x14ac:dyDescent="0.35">
      <c r="B26" s="669"/>
      <c r="C26" s="683"/>
      <c r="D26" s="678" t="str">
        <f>"Suite "&amp;"1001&amp;2"</f>
        <v>Suite 1001&amp;2</v>
      </c>
      <c r="E26" s="530"/>
      <c r="F26" s="530"/>
      <c r="G26" s="530"/>
      <c r="H26" s="530"/>
      <c r="I26" s="530"/>
      <c r="J26" s="530"/>
      <c r="K26" s="530"/>
      <c r="L26" s="530"/>
      <c r="M26" s="530"/>
      <c r="N26" s="530"/>
      <c r="O26" s="530"/>
      <c r="P26" s="530"/>
      <c r="Q26" s="530"/>
      <c r="R26" s="530"/>
      <c r="S26" s="530"/>
      <c r="T26" s="530"/>
      <c r="U26" s="530"/>
      <c r="V26" s="530"/>
      <c r="W26" s="530"/>
      <c r="X26" s="530"/>
      <c r="Y26" s="530"/>
      <c r="Z26" s="530"/>
      <c r="AA26" s="530"/>
      <c r="AB26" s="530"/>
      <c r="AC26" s="530"/>
      <c r="AD26" s="530"/>
    </row>
    <row r="27" spans="2:30" ht="15" customHeight="1" x14ac:dyDescent="0.35">
      <c r="B27" s="669"/>
      <c r="C27" s="683"/>
      <c r="D27" s="678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530"/>
      <c r="F27" s="530"/>
      <c r="G27" s="530"/>
      <c r="H27" s="530"/>
      <c r="I27" s="530"/>
      <c r="J27" s="530"/>
      <c r="K27" s="530"/>
      <c r="L27" s="530"/>
      <c r="M27" s="530"/>
      <c r="N27" s="530"/>
      <c r="O27" s="530"/>
      <c r="P27" s="530"/>
      <c r="Q27" s="530"/>
      <c r="R27" s="530"/>
      <c r="S27" s="530"/>
      <c r="T27" s="530"/>
      <c r="U27" s="530"/>
      <c r="V27" s="530"/>
      <c r="W27" s="530"/>
      <c r="X27" s="530"/>
      <c r="Y27" s="530"/>
      <c r="Z27" s="530"/>
      <c r="AA27" s="530"/>
      <c r="AB27" s="530"/>
      <c r="AC27" s="530"/>
      <c r="AD27" s="530"/>
    </row>
    <row r="28" spans="2:30" ht="15" customHeight="1" x14ac:dyDescent="0.35">
      <c r="B28" s="669"/>
      <c r="C28" s="683"/>
      <c r="D28" s="678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530"/>
      <c r="F28" s="530"/>
      <c r="G28" s="530"/>
      <c r="H28" s="530"/>
      <c r="I28" s="530"/>
      <c r="J28" s="530"/>
      <c r="K28" s="530"/>
      <c r="L28" s="530"/>
      <c r="M28" s="530"/>
      <c r="N28" s="530"/>
      <c r="O28" s="530"/>
      <c r="P28" s="530"/>
      <c r="Q28" s="530"/>
      <c r="R28" s="530"/>
      <c r="S28" s="530"/>
      <c r="T28" s="530"/>
      <c r="U28" s="530"/>
      <c r="V28" s="530"/>
      <c r="W28" s="530"/>
      <c r="X28" s="530"/>
      <c r="Y28" s="530"/>
      <c r="Z28" s="530"/>
      <c r="AA28" s="530"/>
      <c r="AB28" s="530"/>
      <c r="AC28" s="530"/>
      <c r="AD28" s="530"/>
    </row>
    <row r="29" spans="2:30" ht="15" customHeight="1" x14ac:dyDescent="0.35">
      <c r="B29" s="669"/>
      <c r="C29" s="683"/>
      <c r="D29" s="678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530"/>
      <c r="F29" s="530"/>
      <c r="G29" s="530"/>
      <c r="H29" s="530"/>
      <c r="I29" s="530"/>
      <c r="J29" s="530"/>
      <c r="K29" s="530"/>
      <c r="L29" s="530"/>
      <c r="M29" s="530"/>
      <c r="N29" s="530"/>
      <c r="O29" s="530"/>
      <c r="P29" s="530"/>
      <c r="Q29" s="530"/>
      <c r="R29" s="530"/>
      <c r="S29" s="530"/>
      <c r="T29" s="530"/>
      <c r="U29" s="530"/>
      <c r="V29" s="530"/>
      <c r="W29" s="530"/>
      <c r="X29" s="530"/>
      <c r="Y29" s="530"/>
      <c r="Z29" s="530"/>
      <c r="AA29" s="530"/>
      <c r="AB29" s="530"/>
      <c r="AC29" s="530"/>
      <c r="AD29" s="530"/>
    </row>
    <row r="30" spans="2:30" ht="15" customHeight="1" x14ac:dyDescent="0.35">
      <c r="B30" s="669"/>
      <c r="C30" s="683"/>
      <c r="D30" s="678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530"/>
      <c r="F30" s="530"/>
      <c r="G30" s="530"/>
      <c r="H30" s="530"/>
      <c r="I30" s="530"/>
      <c r="J30" s="530"/>
      <c r="K30" s="530"/>
      <c r="L30" s="530"/>
      <c r="M30" s="530"/>
      <c r="N30" s="530"/>
      <c r="O30" s="530"/>
      <c r="P30" s="530"/>
      <c r="Q30" s="530"/>
      <c r="R30" s="530"/>
      <c r="S30" s="530"/>
      <c r="T30" s="530"/>
      <c r="U30" s="530"/>
      <c r="V30" s="530"/>
      <c r="W30" s="530"/>
      <c r="X30" s="530"/>
      <c r="Y30" s="530"/>
      <c r="Z30" s="530"/>
      <c r="AA30" s="530"/>
      <c r="AB30" s="530"/>
      <c r="AC30" s="530"/>
      <c r="AD30" s="530"/>
    </row>
    <row r="31" spans="2:30" ht="15" customHeight="1" x14ac:dyDescent="0.35">
      <c r="B31" s="669"/>
      <c r="C31" s="683"/>
      <c r="D31" s="678" t="str">
        <f ca="1">IFERROR(IF((INDEX('Input Data'!H:H,MATCH("1001&amp;2",'Input Data'!$C:$C,0))-TODAY())&gt;0,TEXT((INDEX('Input Data'!H:H,MATCH("1001&amp;2",'Input Data'!$C:$C,0))-TODAY())/365.25,"0.0")&amp;" yrs remaining","⚠ EXPIRED"),"—")</f>
        <v>3.6 yrs remaining</v>
      </c>
      <c r="E31" s="530"/>
      <c r="F31" s="530"/>
      <c r="G31" s="530"/>
      <c r="H31" s="530"/>
      <c r="I31" s="530"/>
      <c r="J31" s="530"/>
      <c r="K31" s="530"/>
      <c r="L31" s="530"/>
      <c r="M31" s="530"/>
      <c r="N31" s="530"/>
      <c r="O31" s="530"/>
      <c r="P31" s="530"/>
      <c r="Q31" s="530"/>
      <c r="R31" s="530"/>
      <c r="S31" s="530"/>
      <c r="T31" s="530"/>
      <c r="U31" s="530"/>
      <c r="V31" s="530"/>
      <c r="W31" s="530"/>
      <c r="X31" s="530"/>
      <c r="Y31" s="530"/>
      <c r="Z31" s="530"/>
      <c r="AA31" s="530"/>
      <c r="AB31" s="530"/>
      <c r="AC31" s="530"/>
      <c r="AD31" s="530"/>
    </row>
    <row r="32" spans="2:30" ht="15" customHeight="1" x14ac:dyDescent="0.35">
      <c r="B32" s="669"/>
      <c r="C32" s="683"/>
      <c r="D32" s="678" t="str">
        <f>""</f>
        <v/>
      </c>
      <c r="E32" s="530"/>
      <c r="F32" s="530"/>
      <c r="G32" s="530"/>
      <c r="H32" s="530"/>
      <c r="I32" s="530"/>
      <c r="J32" s="530"/>
      <c r="K32" s="530"/>
      <c r="L32" s="530"/>
      <c r="M32" s="530"/>
      <c r="N32" s="530"/>
      <c r="O32" s="530"/>
      <c r="P32" s="530"/>
      <c r="Q32" s="530"/>
      <c r="R32" s="530"/>
      <c r="S32" s="530"/>
      <c r="T32" s="530"/>
      <c r="U32" s="530"/>
      <c r="V32" s="530"/>
      <c r="W32" s="530"/>
      <c r="X32" s="530"/>
      <c r="Y32" s="530"/>
      <c r="Z32" s="530"/>
      <c r="AA32" s="530"/>
      <c r="AB32" s="530"/>
      <c r="AC32" s="530"/>
      <c r="AD32" s="530"/>
    </row>
    <row r="33" spans="2:30" ht="3.75" customHeight="1" x14ac:dyDescent="0.35">
      <c r="B33" s="669"/>
      <c r="C33" s="683"/>
      <c r="D33" s="673" t="str">
        <f>""</f>
        <v/>
      </c>
      <c r="E33" s="530"/>
      <c r="F33" s="530"/>
      <c r="G33" s="530"/>
      <c r="H33" s="530"/>
      <c r="I33" s="530"/>
      <c r="J33" s="530"/>
      <c r="K33" s="530"/>
      <c r="L33" s="530"/>
      <c r="M33" s="530"/>
      <c r="N33" s="530"/>
      <c r="O33" s="530"/>
      <c r="P33" s="530"/>
      <c r="Q33" s="530"/>
      <c r="R33" s="530"/>
      <c r="S33" s="530"/>
      <c r="T33" s="530"/>
      <c r="U33" s="530"/>
      <c r="V33" s="530"/>
      <c r="W33" s="530"/>
      <c r="X33" s="530"/>
      <c r="Y33" s="530"/>
      <c r="Z33" s="530"/>
      <c r="AA33" s="530"/>
      <c r="AB33" s="530"/>
      <c r="AC33" s="530"/>
      <c r="AD33" s="530"/>
    </row>
    <row r="34" spans="2:30" ht="15" customHeight="1" x14ac:dyDescent="0.35">
      <c r="B34" s="92"/>
      <c r="C34" s="92"/>
    </row>
    <row r="35" spans="2:30" ht="19.5" customHeight="1" x14ac:dyDescent="0.35">
      <c r="B35" s="668" t="s">
        <v>564</v>
      </c>
      <c r="C35" s="682">
        <f>SUMIF('Input Data'!B:B,"L09",'Input Data'!F:F)</f>
        <v>355.8</v>
      </c>
      <c r="D35" s="700" t="str">
        <f ca="1">IFERROR(INDEX('Input Data'!D:D,MATCH("901",'Input Data'!$C:$C,0)),"VACANT")</f>
        <v>AITKEN INVESTMENT MANAGEMENT PTY LTD</v>
      </c>
      <c r="E35" s="530"/>
      <c r="F35" s="530"/>
      <c r="G35" s="530"/>
      <c r="H35" s="530"/>
      <c r="I35" s="530"/>
      <c r="J35" s="704" t="str">
        <f ca="1">IFERROR(INDEX('Input Data'!D:D,MATCH("902&amp;3",'Input Data'!$C:$C,0)),"VACANT")</f>
        <v>CAPITAL E MARKETING AND EVENTS PTY LTD</v>
      </c>
      <c r="K35" s="530"/>
      <c r="L35" s="530"/>
      <c r="M35" s="530"/>
      <c r="N35" s="530"/>
      <c r="O35" s="530"/>
      <c r="P35" s="530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530"/>
      <c r="AD35" s="530"/>
    </row>
    <row r="36" spans="2:30" ht="15" customHeight="1" x14ac:dyDescent="0.35">
      <c r="B36" s="669"/>
      <c r="C36" s="683"/>
      <c r="D36" s="681" t="str">
        <f>"Suite "&amp;"901"</f>
        <v>Suite 901</v>
      </c>
      <c r="E36" s="530"/>
      <c r="F36" s="530"/>
      <c r="G36" s="530"/>
      <c r="H36" s="530"/>
      <c r="I36" s="530"/>
      <c r="J36" s="698" t="str">
        <f>"Suite "&amp;"902&amp;3"</f>
        <v>Suite 902&amp;3</v>
      </c>
      <c r="K36" s="530"/>
      <c r="L36" s="530"/>
      <c r="M36" s="530"/>
      <c r="N36" s="530"/>
      <c r="O36" s="530"/>
      <c r="P36" s="530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530"/>
      <c r="AD36" s="530"/>
    </row>
    <row r="37" spans="2:30" ht="15" customHeight="1" x14ac:dyDescent="0.35">
      <c r="B37" s="669"/>
      <c r="C37" s="683"/>
      <c r="D37" s="681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530"/>
      <c r="F37" s="530"/>
      <c r="G37" s="530"/>
      <c r="H37" s="530"/>
      <c r="I37" s="530"/>
      <c r="J37" s="698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530"/>
      <c r="L37" s="530"/>
      <c r="M37" s="530"/>
      <c r="N37" s="530"/>
      <c r="O37" s="530"/>
      <c r="P37" s="530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530"/>
      <c r="AD37" s="530"/>
    </row>
    <row r="38" spans="2:30" ht="15" customHeight="1" x14ac:dyDescent="0.35">
      <c r="B38" s="669"/>
      <c r="C38" s="683"/>
      <c r="D38" s="681" t="str">
        <f ca="1"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$1,287  |  Incent: $310.50</v>
      </c>
      <c r="E38" s="530"/>
      <c r="F38" s="530"/>
      <c r="G38" s="530"/>
      <c r="H38" s="530"/>
      <c r="I38" s="530"/>
      <c r="J38" s="698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530"/>
      <c r="L38" s="530"/>
      <c r="M38" s="530"/>
      <c r="N38" s="530"/>
      <c r="O38" s="530"/>
      <c r="P38" s="530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530"/>
      <c r="AD38" s="530"/>
    </row>
    <row r="39" spans="2:30" ht="15" customHeight="1" x14ac:dyDescent="0.35">
      <c r="B39" s="669"/>
      <c r="C39" s="683"/>
      <c r="D39" s="681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$51,579 pa</v>
      </c>
      <c r="E39" s="530"/>
      <c r="F39" s="530"/>
      <c r="G39" s="530"/>
      <c r="H39" s="530"/>
      <c r="I39" s="530"/>
      <c r="J39" s="698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530"/>
      <c r="L39" s="530"/>
      <c r="M39" s="530"/>
      <c r="N39" s="530"/>
      <c r="O39" s="530"/>
      <c r="P39" s="530"/>
      <c r="Q39" s="530"/>
      <c r="R39" s="530"/>
      <c r="S39" s="530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</row>
    <row r="40" spans="2:30" ht="15" customHeight="1" x14ac:dyDescent="0.35">
      <c r="B40" s="669"/>
      <c r="C40" s="683"/>
      <c r="D40" s="681" t="str">
        <f ca="1">IFERROR("Start: "&amp;TEXT(INDEX('Input Data'!G:G,MATCH("901",'Input Data'!$C:$C,0)),"DD/MM/YY")&amp;"  →  Expiry: "&amp;TEXT(INDEX('Input Data'!H:H,MATCH("901",'Input Data'!$C:$C,0)),"DD/MM/YY"),"—")</f>
        <v>Start: 15/06/22  →  Expiry: 14/06/30</v>
      </c>
      <c r="E40" s="530"/>
      <c r="F40" s="530"/>
      <c r="G40" s="530"/>
      <c r="H40" s="530"/>
      <c r="I40" s="530"/>
      <c r="J40" s="698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530"/>
      <c r="L40" s="530"/>
      <c r="M40" s="530"/>
      <c r="N40" s="530"/>
      <c r="O40" s="530"/>
      <c r="P40" s="530"/>
      <c r="Q40" s="530"/>
      <c r="R40" s="530"/>
      <c r="S40" s="530"/>
      <c r="T40" s="530"/>
      <c r="U40" s="530"/>
      <c r="V40" s="530"/>
      <c r="W40" s="530"/>
      <c r="X40" s="530"/>
      <c r="Y40" s="530"/>
      <c r="Z40" s="530"/>
      <c r="AA40" s="530"/>
      <c r="AB40" s="530"/>
      <c r="AC40" s="530"/>
      <c r="AD40" s="530"/>
    </row>
    <row r="41" spans="2:30" ht="15" customHeight="1" x14ac:dyDescent="0.35">
      <c r="B41" s="669"/>
      <c r="C41" s="683"/>
      <c r="D41" s="681" t="str">
        <f ca="1">IFERROR(IF((INDEX('Input Data'!H:H,MATCH("901",'Input Data'!$C:$C,0))-TODAY())&gt;0,TEXT((INDEX('Input Data'!H:H,MATCH("901",'Input Data'!$C:$C,0))-TODAY())/365.25,"0.0")&amp;" yrs remaining","⚠ EXPIRED"),"—")</f>
        <v>4.1 yrs remaining</v>
      </c>
      <c r="E41" s="530"/>
      <c r="F41" s="530"/>
      <c r="G41" s="530"/>
      <c r="H41" s="530"/>
      <c r="I41" s="530"/>
      <c r="J41" s="698" t="str">
        <f ca="1">IFERROR(IF((INDEX('Input Data'!H:H,MATCH("902&amp;3",'Input Data'!$C:$C,0))-TODAY())&gt;0,TEXT((INDEX('Input Data'!H:H,MATCH("902&amp;3",'Input Data'!$C:$C,0))-TODAY())/365.25,"0.0")&amp;" yrs remaining","⚠ EXPIRED"),"—")</f>
        <v>3.9 yrs remaining</v>
      </c>
      <c r="K41" s="530"/>
      <c r="L41" s="530"/>
      <c r="M41" s="530"/>
      <c r="N41" s="530"/>
      <c r="O41" s="530"/>
      <c r="P41" s="530"/>
      <c r="Q41" s="530"/>
      <c r="R41" s="530"/>
      <c r="S41" s="530"/>
      <c r="T41" s="530"/>
      <c r="U41" s="530"/>
      <c r="V41" s="530"/>
      <c r="W41" s="530"/>
      <c r="X41" s="530"/>
      <c r="Y41" s="530"/>
      <c r="Z41" s="530"/>
      <c r="AA41" s="530"/>
      <c r="AB41" s="530"/>
      <c r="AC41" s="530"/>
      <c r="AD41" s="530"/>
    </row>
    <row r="42" spans="2:30" ht="15" customHeight="1" x14ac:dyDescent="0.35">
      <c r="B42" s="669"/>
      <c r="C42" s="683"/>
      <c r="D42" s="681" t="str">
        <f>""</f>
        <v/>
      </c>
      <c r="E42" s="530"/>
      <c r="F42" s="530"/>
      <c r="G42" s="530"/>
      <c r="H42" s="530"/>
      <c r="I42" s="530"/>
      <c r="J42" s="698" t="str">
        <f>""</f>
        <v/>
      </c>
      <c r="K42" s="530"/>
      <c r="L42" s="530"/>
      <c r="M42" s="530"/>
      <c r="N42" s="530"/>
      <c r="O42" s="530"/>
      <c r="P42" s="530"/>
      <c r="Q42" s="530"/>
      <c r="R42" s="530"/>
      <c r="S42" s="530"/>
      <c r="T42" s="530"/>
      <c r="U42" s="530"/>
      <c r="V42" s="530"/>
      <c r="W42" s="530"/>
      <c r="X42" s="530"/>
      <c r="Y42" s="530"/>
      <c r="Z42" s="530"/>
      <c r="AA42" s="530"/>
      <c r="AB42" s="530"/>
      <c r="AC42" s="530"/>
      <c r="AD42" s="530"/>
    </row>
    <row r="43" spans="2:30" ht="3.75" customHeight="1" x14ac:dyDescent="0.35">
      <c r="B43" s="669"/>
      <c r="C43" s="683"/>
      <c r="D43" s="673" t="str">
        <f>""</f>
        <v/>
      </c>
      <c r="E43" s="530"/>
      <c r="F43" s="530"/>
      <c r="G43" s="530"/>
      <c r="H43" s="530"/>
      <c r="I43" s="530"/>
      <c r="J43" s="686" t="str">
        <f>""</f>
        <v/>
      </c>
      <c r="K43" s="530"/>
      <c r="L43" s="530"/>
      <c r="M43" s="530"/>
      <c r="N43" s="530"/>
      <c r="O43" s="530"/>
      <c r="P43" s="530"/>
      <c r="Q43" s="530"/>
      <c r="R43" s="530"/>
      <c r="S43" s="530"/>
      <c r="T43" s="530"/>
      <c r="U43" s="530"/>
      <c r="V43" s="530"/>
      <c r="W43" s="530"/>
      <c r="X43" s="530"/>
      <c r="Y43" s="530"/>
      <c r="Z43" s="530"/>
      <c r="AA43" s="530"/>
      <c r="AB43" s="530"/>
      <c r="AC43" s="530"/>
      <c r="AD43" s="530"/>
    </row>
    <row r="44" spans="2:30" ht="15" customHeight="1" x14ac:dyDescent="0.35">
      <c r="B44" s="92"/>
      <c r="C44" s="92"/>
    </row>
    <row r="45" spans="2:30" ht="19.5" customHeight="1" x14ac:dyDescent="0.35">
      <c r="B45" s="668" t="s">
        <v>565</v>
      </c>
      <c r="C45" s="682">
        <f>SUMIF('Input Data'!B:B,"L08",'Input Data'!F:F)</f>
        <v>360.5</v>
      </c>
      <c r="D45" s="702" t="str">
        <f ca="1">IFERROR(INDEX('Input Data'!D:D,MATCH("801",'Input Data'!$C:$C,0)),"VACANT")</f>
        <v>ARKANCE AUSTRALIA PTY LTD</v>
      </c>
      <c r="E45" s="530"/>
      <c r="F45" s="530"/>
      <c r="G45" s="530"/>
      <c r="H45" s="530"/>
      <c r="I45" s="530"/>
      <c r="J45" s="530"/>
      <c r="K45" s="530"/>
      <c r="L45" s="530"/>
      <c r="M45" s="530"/>
      <c r="N45" s="530"/>
      <c r="O45" s="530"/>
      <c r="P45" s="530"/>
      <c r="Q45" s="530"/>
      <c r="R45" s="530"/>
      <c r="S45" s="530"/>
      <c r="T45" s="530"/>
      <c r="U45" s="712" t="str">
        <f ca="1">IFERROR(INDEX('Input Data'!D:D,MATCH("802",'Input Data'!$C:$C,0)),"VACANT")</f>
        <v>HILLIARD &amp; BERRY</v>
      </c>
      <c r="V45" s="530"/>
      <c r="W45" s="530"/>
      <c r="X45" s="530"/>
      <c r="Y45" s="530"/>
      <c r="Z45" s="530"/>
      <c r="AA45" s="530"/>
      <c r="AB45" s="530"/>
      <c r="AC45" s="530"/>
      <c r="AD45" s="530"/>
    </row>
    <row r="46" spans="2:30" ht="15" customHeight="1" x14ac:dyDescent="0.35">
      <c r="B46" s="669"/>
      <c r="C46" s="683"/>
      <c r="D46" s="675" t="str">
        <f>"Suite "&amp;"801"</f>
        <v>Suite 801</v>
      </c>
      <c r="E46" s="530"/>
      <c r="F46" s="530"/>
      <c r="G46" s="530"/>
      <c r="H46" s="530"/>
      <c r="I46" s="530"/>
      <c r="J46" s="530"/>
      <c r="K46" s="530"/>
      <c r="L46" s="530"/>
      <c r="M46" s="530"/>
      <c r="N46" s="530"/>
      <c r="O46" s="530"/>
      <c r="P46" s="530"/>
      <c r="Q46" s="530"/>
      <c r="R46" s="530"/>
      <c r="S46" s="530"/>
      <c r="T46" s="530"/>
      <c r="U46" s="676" t="str">
        <f>"Suite "&amp;"802"</f>
        <v>Suite 802</v>
      </c>
      <c r="V46" s="530"/>
      <c r="W46" s="530"/>
      <c r="X46" s="530"/>
      <c r="Y46" s="530"/>
      <c r="Z46" s="530"/>
      <c r="AA46" s="530"/>
      <c r="AB46" s="530"/>
      <c r="AC46" s="530"/>
      <c r="AD46" s="530"/>
    </row>
    <row r="47" spans="2:30" ht="15" customHeight="1" x14ac:dyDescent="0.35">
      <c r="B47" s="669"/>
      <c r="C47" s="683"/>
      <c r="D47" s="675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530"/>
      <c r="F47" s="530"/>
      <c r="G47" s="530"/>
      <c r="H47" s="530"/>
      <c r="I47" s="530"/>
      <c r="J47" s="530"/>
      <c r="K47" s="530"/>
      <c r="L47" s="530"/>
      <c r="M47" s="530"/>
      <c r="N47" s="530"/>
      <c r="O47" s="530"/>
      <c r="P47" s="530"/>
      <c r="Q47" s="530"/>
      <c r="R47" s="530"/>
      <c r="S47" s="530"/>
      <c r="T47" s="530"/>
      <c r="U47" s="676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530"/>
      <c r="W47" s="530"/>
      <c r="X47" s="530"/>
      <c r="Y47" s="530"/>
      <c r="Z47" s="530"/>
      <c r="AA47" s="530"/>
      <c r="AB47" s="530"/>
      <c r="AC47" s="530"/>
      <c r="AD47" s="530"/>
    </row>
    <row r="48" spans="2:30" ht="15" customHeight="1" x14ac:dyDescent="0.35">
      <c r="B48" s="669"/>
      <c r="C48" s="683"/>
      <c r="D48" s="675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530"/>
      <c r="F48" s="530"/>
      <c r="G48" s="530"/>
      <c r="H48" s="530"/>
      <c r="I48" s="530"/>
      <c r="J48" s="530"/>
      <c r="K48" s="530"/>
      <c r="L48" s="530"/>
      <c r="M48" s="530"/>
      <c r="N48" s="530"/>
      <c r="O48" s="530"/>
      <c r="P48" s="530"/>
      <c r="Q48" s="530"/>
      <c r="R48" s="530"/>
      <c r="S48" s="530"/>
      <c r="T48" s="530"/>
      <c r="U48" s="676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530"/>
      <c r="W48" s="530"/>
      <c r="X48" s="530"/>
      <c r="Y48" s="530"/>
      <c r="Z48" s="530"/>
      <c r="AA48" s="530"/>
      <c r="AB48" s="530"/>
      <c r="AC48" s="530"/>
      <c r="AD48" s="530"/>
    </row>
    <row r="49" spans="2:30" ht="15" customHeight="1" x14ac:dyDescent="0.35">
      <c r="B49" s="669"/>
      <c r="C49" s="683"/>
      <c r="D49" s="675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530"/>
      <c r="F49" s="530"/>
      <c r="G49" s="530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30"/>
      <c r="U49" s="676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530"/>
      <c r="W49" s="530"/>
      <c r="X49" s="530"/>
      <c r="Y49" s="530"/>
      <c r="Z49" s="530"/>
      <c r="AA49" s="530"/>
      <c r="AB49" s="530"/>
      <c r="AC49" s="530"/>
      <c r="AD49" s="530"/>
    </row>
    <row r="50" spans="2:30" ht="15" customHeight="1" x14ac:dyDescent="0.35">
      <c r="B50" s="669"/>
      <c r="C50" s="683"/>
      <c r="D50" s="675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530"/>
      <c r="F50" s="530"/>
      <c r="G50" s="530"/>
      <c r="H50" s="530"/>
      <c r="I50" s="530"/>
      <c r="J50" s="530"/>
      <c r="K50" s="530"/>
      <c r="L50" s="530"/>
      <c r="M50" s="530"/>
      <c r="N50" s="530"/>
      <c r="O50" s="530"/>
      <c r="P50" s="530"/>
      <c r="Q50" s="530"/>
      <c r="R50" s="530"/>
      <c r="S50" s="530"/>
      <c r="T50" s="530"/>
      <c r="U50" s="676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530"/>
      <c r="W50" s="530"/>
      <c r="X50" s="530"/>
      <c r="Y50" s="530"/>
      <c r="Z50" s="530"/>
      <c r="AA50" s="530"/>
      <c r="AB50" s="530"/>
      <c r="AC50" s="530"/>
      <c r="AD50" s="530"/>
    </row>
    <row r="51" spans="2:30" ht="15" customHeight="1" x14ac:dyDescent="0.35">
      <c r="B51" s="669"/>
      <c r="C51" s="683"/>
      <c r="D51" s="675" t="str">
        <f ca="1">IFERROR(IF((INDEX('Input Data'!H:H,MATCH("801",'Input Data'!$C:$C,0))-TODAY())&gt;0,TEXT((INDEX('Input Data'!H:H,MATCH("801",'Input Data'!$C:$C,0))-TODAY())/365.25,"0.0")&amp;" yrs remaining","⚠ EXPIRED"),"—")</f>
        <v>4.4 yrs remaining</v>
      </c>
      <c r="E51" s="530"/>
      <c r="F51" s="530"/>
      <c r="G51" s="530"/>
      <c r="H51" s="530"/>
      <c r="I51" s="530"/>
      <c r="J51" s="530"/>
      <c r="K51" s="530"/>
      <c r="L51" s="530"/>
      <c r="M51" s="530"/>
      <c r="N51" s="530"/>
      <c r="O51" s="530"/>
      <c r="P51" s="530"/>
      <c r="Q51" s="530"/>
      <c r="R51" s="530"/>
      <c r="S51" s="530"/>
      <c r="T51" s="530"/>
      <c r="U51" s="676" t="str">
        <f ca="1">IFERROR(IF((INDEX('Input Data'!H:H,MATCH("802",'Input Data'!$C:$C,0))-TODAY())&gt;0,TEXT((INDEX('Input Data'!H:H,MATCH("802",'Input Data'!$C:$C,0))-TODAY())/365.25,"0.0")&amp;" yrs remaining","⚠ EXPIRED"),"—")</f>
        <v>2.2 yrs remaining</v>
      </c>
      <c r="V51" s="530"/>
      <c r="W51" s="530"/>
      <c r="X51" s="530"/>
      <c r="Y51" s="530"/>
      <c r="Z51" s="530"/>
      <c r="AA51" s="530"/>
      <c r="AB51" s="530"/>
      <c r="AC51" s="530"/>
      <c r="AD51" s="530"/>
    </row>
    <row r="52" spans="2:30" ht="15" customHeight="1" x14ac:dyDescent="0.35">
      <c r="B52" s="669"/>
      <c r="C52" s="683"/>
      <c r="D52" s="675" t="str">
        <f>""</f>
        <v/>
      </c>
      <c r="E52" s="530"/>
      <c r="F52" s="530"/>
      <c r="G52" s="530"/>
      <c r="H52" s="530"/>
      <c r="I52" s="530"/>
      <c r="J52" s="530"/>
      <c r="K52" s="530"/>
      <c r="L52" s="530"/>
      <c r="M52" s="530"/>
      <c r="N52" s="530"/>
      <c r="O52" s="530"/>
      <c r="P52" s="530"/>
      <c r="Q52" s="530"/>
      <c r="R52" s="530"/>
      <c r="S52" s="530"/>
      <c r="T52" s="530"/>
      <c r="U52" s="676" t="str">
        <f>""</f>
        <v/>
      </c>
      <c r="V52" s="530"/>
      <c r="W52" s="530"/>
      <c r="X52" s="530"/>
      <c r="Y52" s="530"/>
      <c r="Z52" s="530"/>
      <c r="AA52" s="530"/>
      <c r="AB52" s="530"/>
      <c r="AC52" s="530"/>
      <c r="AD52" s="530"/>
    </row>
    <row r="53" spans="2:30" ht="3.75" customHeight="1" x14ac:dyDescent="0.35">
      <c r="B53" s="669"/>
      <c r="C53" s="683"/>
      <c r="D53" s="673" t="str">
        <f>""</f>
        <v/>
      </c>
      <c r="E53" s="530"/>
      <c r="F53" s="530"/>
      <c r="G53" s="530"/>
      <c r="H53" s="530"/>
      <c r="I53" s="530"/>
      <c r="J53" s="530"/>
      <c r="K53" s="530"/>
      <c r="L53" s="530"/>
      <c r="M53" s="530"/>
      <c r="N53" s="530"/>
      <c r="O53" s="530"/>
      <c r="P53" s="530"/>
      <c r="Q53" s="530"/>
      <c r="R53" s="530"/>
      <c r="S53" s="530"/>
      <c r="T53" s="530"/>
      <c r="U53" s="686" t="str">
        <f>""</f>
        <v/>
      </c>
      <c r="V53" s="530"/>
      <c r="W53" s="530"/>
      <c r="X53" s="530"/>
      <c r="Y53" s="530"/>
      <c r="Z53" s="530"/>
      <c r="AA53" s="530"/>
      <c r="AB53" s="530"/>
      <c r="AC53" s="530"/>
      <c r="AD53" s="530"/>
    </row>
    <row r="54" spans="2:30" ht="15" customHeight="1" x14ac:dyDescent="0.35">
      <c r="B54" s="92"/>
      <c r="C54" s="92"/>
    </row>
    <row r="55" spans="2:30" ht="19.5" customHeight="1" x14ac:dyDescent="0.35">
      <c r="B55" s="668" t="s">
        <v>566</v>
      </c>
      <c r="C55" s="682">
        <f>SUMIF('Input Data'!B:B,"L07",'Input Data'!F:F)</f>
        <v>374.4</v>
      </c>
      <c r="D55" s="694" t="str">
        <f ca="1">IFERROR(INDEX('Input Data'!D:D,MATCH("701",'Input Data'!$C:$C,0)),"VACANT")</f>
        <v>PINPOINT TALENT PTY LTD</v>
      </c>
      <c r="E55" s="530"/>
      <c r="F55" s="530"/>
      <c r="G55" s="530"/>
      <c r="H55" s="530"/>
      <c r="I55" s="530"/>
      <c r="J55" s="530"/>
      <c r="K55" s="530"/>
      <c r="L55" s="530"/>
      <c r="M55" s="530"/>
      <c r="N55" s="530"/>
      <c r="O55" s="530"/>
      <c r="P55" s="530"/>
      <c r="Q55" s="530"/>
      <c r="R55" s="530"/>
      <c r="S55" s="712" t="str">
        <f ca="1">IFERROR(INDEX('Input Data'!D:D,MATCH("702",'Input Data'!$C:$C,0)),"VACANT")</f>
        <v>SATELLITE OFFICE PTY LTD</v>
      </c>
      <c r="T55" s="530"/>
      <c r="U55" s="530"/>
      <c r="V55" s="530"/>
      <c r="W55" s="530"/>
      <c r="X55" s="530"/>
      <c r="Y55" s="530"/>
      <c r="Z55" s="530"/>
      <c r="AA55" s="530"/>
      <c r="AB55" s="530"/>
      <c r="AC55" s="530"/>
      <c r="AD55" s="530"/>
    </row>
    <row r="56" spans="2:30" ht="15" customHeight="1" x14ac:dyDescent="0.35">
      <c r="B56" s="669"/>
      <c r="C56" s="683"/>
      <c r="D56" s="671" t="str">
        <f>"Suite "&amp;"701"</f>
        <v>Suite 701</v>
      </c>
      <c r="E56" s="530"/>
      <c r="F56" s="530"/>
      <c r="G56" s="530"/>
      <c r="H56" s="530"/>
      <c r="I56" s="530"/>
      <c r="J56" s="530"/>
      <c r="K56" s="530"/>
      <c r="L56" s="530"/>
      <c r="M56" s="530"/>
      <c r="N56" s="530"/>
      <c r="O56" s="530"/>
      <c r="P56" s="530"/>
      <c r="Q56" s="530"/>
      <c r="R56" s="530"/>
      <c r="S56" s="676" t="str">
        <f>"Suite "&amp;"702"</f>
        <v>Suite 702</v>
      </c>
      <c r="T56" s="530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</row>
    <row r="57" spans="2:30" ht="15" customHeight="1" x14ac:dyDescent="0.35">
      <c r="B57" s="669"/>
      <c r="C57" s="683"/>
      <c r="D57" s="671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530"/>
      <c r="F57" s="530"/>
      <c r="G57" s="530"/>
      <c r="H57" s="530"/>
      <c r="I57" s="530"/>
      <c r="J57" s="530"/>
      <c r="K57" s="530"/>
      <c r="L57" s="530"/>
      <c r="M57" s="530"/>
      <c r="N57" s="530"/>
      <c r="O57" s="530"/>
      <c r="P57" s="530"/>
      <c r="Q57" s="530"/>
      <c r="R57" s="530"/>
      <c r="S57" s="676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530"/>
      <c r="U57" s="530"/>
      <c r="V57" s="530"/>
      <c r="W57" s="530"/>
      <c r="X57" s="530"/>
      <c r="Y57" s="530"/>
      <c r="Z57" s="530"/>
      <c r="AA57" s="530"/>
      <c r="AB57" s="530"/>
      <c r="AC57" s="530"/>
      <c r="AD57" s="530"/>
    </row>
    <row r="58" spans="2:30" ht="15" customHeight="1" x14ac:dyDescent="0.35">
      <c r="B58" s="669"/>
      <c r="C58" s="683"/>
      <c r="D58" s="671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530"/>
      <c r="F58" s="530"/>
      <c r="G58" s="530"/>
      <c r="H58" s="530"/>
      <c r="I58" s="530"/>
      <c r="J58" s="530"/>
      <c r="K58" s="530"/>
      <c r="L58" s="530"/>
      <c r="M58" s="530"/>
      <c r="N58" s="530"/>
      <c r="O58" s="530"/>
      <c r="P58" s="530"/>
      <c r="Q58" s="530"/>
      <c r="R58" s="530"/>
      <c r="S58" s="676" t="str">
        <f ca="1"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$1,017  |  Incent: $245.65</v>
      </c>
      <c r="T58" s="530"/>
      <c r="U58" s="530"/>
      <c r="V58" s="530"/>
      <c r="W58" s="530"/>
      <c r="X58" s="530"/>
      <c r="Y58" s="530"/>
      <c r="Z58" s="530"/>
      <c r="AA58" s="530"/>
      <c r="AB58" s="530"/>
      <c r="AC58" s="530"/>
      <c r="AD58" s="530"/>
    </row>
    <row r="59" spans="2:30" ht="15" customHeight="1" x14ac:dyDescent="0.35">
      <c r="B59" s="669"/>
      <c r="C59" s="683"/>
      <c r="D59" s="671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530"/>
      <c r="F59" s="530"/>
      <c r="G59" s="530"/>
      <c r="H59" s="530"/>
      <c r="I59" s="530"/>
      <c r="J59" s="530"/>
      <c r="K59" s="530"/>
      <c r="L59" s="530"/>
      <c r="M59" s="530"/>
      <c r="N59" s="530"/>
      <c r="O59" s="530"/>
      <c r="P59" s="530"/>
      <c r="Q59" s="530"/>
      <c r="R59" s="530"/>
      <c r="S59" s="676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$126,384 pa</v>
      </c>
      <c r="T59" s="530"/>
      <c r="U59" s="530"/>
      <c r="V59" s="530"/>
      <c r="W59" s="530"/>
      <c r="X59" s="530"/>
      <c r="Y59" s="530"/>
      <c r="Z59" s="530"/>
      <c r="AA59" s="530"/>
      <c r="AB59" s="530"/>
      <c r="AC59" s="530"/>
      <c r="AD59" s="530"/>
    </row>
    <row r="60" spans="2:30" ht="15" customHeight="1" x14ac:dyDescent="0.35">
      <c r="B60" s="669"/>
      <c r="C60" s="683"/>
      <c r="D60" s="671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530"/>
      <c r="F60" s="530"/>
      <c r="G60" s="530"/>
      <c r="H60" s="530"/>
      <c r="I60" s="530"/>
      <c r="J60" s="530"/>
      <c r="K60" s="530"/>
      <c r="L60" s="530"/>
      <c r="M60" s="530"/>
      <c r="N60" s="530"/>
      <c r="O60" s="530"/>
      <c r="P60" s="530"/>
      <c r="Q60" s="530"/>
      <c r="R60" s="530"/>
      <c r="S60" s="676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530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</row>
    <row r="61" spans="2:30" ht="15" customHeight="1" x14ac:dyDescent="0.35">
      <c r="B61" s="669"/>
      <c r="C61" s="683"/>
      <c r="D61" s="671" t="str">
        <f ca="1">IFERROR(IF((INDEX('Input Data'!H:H,MATCH("701",'Input Data'!$C:$C,0))-TODAY())&gt;0,TEXT((INDEX('Input Data'!H:H,MATCH("701",'Input Data'!$C:$C,0))-TODAY())/365.25,"0.0")&amp;" yrs remaining","⚠ EXPIRED"),"—")</f>
        <v>1.2 yrs remaining</v>
      </c>
      <c r="E61" s="530"/>
      <c r="F61" s="530"/>
      <c r="G61" s="530"/>
      <c r="H61" s="530"/>
      <c r="I61" s="530"/>
      <c r="J61" s="530"/>
      <c r="K61" s="530"/>
      <c r="L61" s="530"/>
      <c r="M61" s="530"/>
      <c r="N61" s="530"/>
      <c r="O61" s="530"/>
      <c r="P61" s="530"/>
      <c r="Q61" s="530"/>
      <c r="R61" s="530"/>
      <c r="S61" s="676" t="str">
        <f ca="1">IFERROR(IF((INDEX('Input Data'!H:H,MATCH("702",'Input Data'!$C:$C,0))-TODAY())&gt;0,TEXT((INDEX('Input Data'!H:H,MATCH("702",'Input Data'!$C:$C,0))-TODAY())/365.25,"0.0")&amp;" yrs remaining","⚠ EXPIRED"),"—")</f>
        <v>2.1 yrs remaining</v>
      </c>
      <c r="T61" s="530"/>
      <c r="U61" s="530"/>
      <c r="V61" s="530"/>
      <c r="W61" s="530"/>
      <c r="X61" s="530"/>
      <c r="Y61" s="530"/>
      <c r="Z61" s="530"/>
      <c r="AA61" s="530"/>
      <c r="AB61" s="530"/>
      <c r="AC61" s="530"/>
      <c r="AD61" s="530"/>
    </row>
    <row r="62" spans="2:30" ht="15" customHeight="1" x14ac:dyDescent="0.35">
      <c r="B62" s="669"/>
      <c r="C62" s="683"/>
      <c r="D62" s="671" t="str">
        <f>""</f>
        <v/>
      </c>
      <c r="E62" s="530"/>
      <c r="F62" s="530"/>
      <c r="G62" s="530"/>
      <c r="H62" s="530"/>
      <c r="I62" s="530"/>
      <c r="J62" s="530"/>
      <c r="K62" s="530"/>
      <c r="L62" s="530"/>
      <c r="M62" s="530"/>
      <c r="N62" s="530"/>
      <c r="O62" s="530"/>
      <c r="P62" s="530"/>
      <c r="Q62" s="530"/>
      <c r="R62" s="530"/>
      <c r="S62" s="676" t="str">
        <f>""</f>
        <v/>
      </c>
      <c r="T62" s="530"/>
      <c r="U62" s="530"/>
      <c r="V62" s="530"/>
      <c r="W62" s="530"/>
      <c r="X62" s="530"/>
      <c r="Y62" s="530"/>
      <c r="Z62" s="530"/>
      <c r="AA62" s="530"/>
      <c r="AB62" s="530"/>
      <c r="AC62" s="530"/>
      <c r="AD62" s="530"/>
    </row>
    <row r="63" spans="2:30" ht="3.75" customHeight="1" x14ac:dyDescent="0.35">
      <c r="B63" s="669"/>
      <c r="C63" s="683"/>
      <c r="D63" s="673" t="str">
        <f>""</f>
        <v/>
      </c>
      <c r="E63" s="530"/>
      <c r="F63" s="530"/>
      <c r="G63" s="530"/>
      <c r="H63" s="530"/>
      <c r="I63" s="530"/>
      <c r="J63" s="530"/>
      <c r="K63" s="530"/>
      <c r="L63" s="530"/>
      <c r="M63" s="530"/>
      <c r="N63" s="530"/>
      <c r="O63" s="530"/>
      <c r="P63" s="530"/>
      <c r="Q63" s="530"/>
      <c r="R63" s="530"/>
      <c r="S63" s="686" t="str">
        <f>""</f>
        <v/>
      </c>
      <c r="T63" s="530"/>
      <c r="U63" s="530"/>
      <c r="V63" s="530"/>
      <c r="W63" s="530"/>
      <c r="X63" s="530"/>
      <c r="Y63" s="530"/>
      <c r="Z63" s="530"/>
      <c r="AA63" s="530"/>
      <c r="AB63" s="530"/>
      <c r="AC63" s="530"/>
      <c r="AD63" s="530"/>
    </row>
    <row r="64" spans="2:30" ht="15" customHeight="1" x14ac:dyDescent="0.35">
      <c r="B64" s="92"/>
      <c r="C64" s="92"/>
    </row>
    <row r="65" spans="2:30" ht="19.5" customHeight="1" x14ac:dyDescent="0.35">
      <c r="B65" s="668" t="s">
        <v>567</v>
      </c>
      <c r="C65" s="682">
        <f>SUMIF('Input Data'!B:B,"L06",'Input Data'!F:F)</f>
        <v>378.2</v>
      </c>
      <c r="D65" s="694" t="str">
        <f ca="1">IFERROR(INDEX('Input Data'!D:D,MATCH("601",'Input Data'!$C:$C,0)),"VACANT")</f>
        <v>FULLCRM PTY LTD</v>
      </c>
      <c r="E65" s="530"/>
      <c r="F65" s="530"/>
      <c r="G65" s="530"/>
      <c r="H65" s="530"/>
      <c r="I65" s="530"/>
      <c r="J65" s="530"/>
      <c r="K65" s="530"/>
      <c r="L65" s="530"/>
      <c r="M65" s="530"/>
      <c r="N65" s="530"/>
      <c r="O65" s="530"/>
      <c r="P65" s="530"/>
      <c r="Q65" s="530"/>
      <c r="R65" s="530"/>
      <c r="S65" s="530"/>
      <c r="T65" s="713" t="str">
        <f ca="1">IFERROR(INDEX('Input Data'!D:D,MATCH("602",'Input Data'!$C:$C,0)),"VACANT")</f>
        <v>VACANT</v>
      </c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</row>
    <row r="66" spans="2:30" ht="15" customHeight="1" x14ac:dyDescent="0.35">
      <c r="B66" s="669"/>
      <c r="C66" s="683"/>
      <c r="D66" s="671" t="str">
        <f>"Suite "&amp;"601"</f>
        <v>Suite 601</v>
      </c>
      <c r="E66" s="530"/>
      <c r="F66" s="530"/>
      <c r="G66" s="530"/>
      <c r="H66" s="530"/>
      <c r="I66" s="530"/>
      <c r="J66" s="530"/>
      <c r="K66" s="530"/>
      <c r="L66" s="530"/>
      <c r="M66" s="530"/>
      <c r="N66" s="530"/>
      <c r="O66" s="530"/>
      <c r="P66" s="530"/>
      <c r="Q66" s="530"/>
      <c r="R66" s="530"/>
      <c r="S66" s="530"/>
      <c r="T66" s="690" t="str">
        <f>"Suite "&amp;"602"</f>
        <v>Suite 602</v>
      </c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</row>
    <row r="67" spans="2:30" ht="15" customHeight="1" x14ac:dyDescent="0.35">
      <c r="B67" s="669"/>
      <c r="C67" s="683"/>
      <c r="D67" s="671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530"/>
      <c r="F67" s="530"/>
      <c r="G67" s="530"/>
      <c r="H67" s="530"/>
      <c r="I67" s="530"/>
      <c r="J67" s="530"/>
      <c r="K67" s="530"/>
      <c r="L67" s="530"/>
      <c r="M67" s="530"/>
      <c r="N67" s="530"/>
      <c r="O67" s="530"/>
      <c r="P67" s="530"/>
      <c r="Q67" s="530"/>
      <c r="R67" s="530"/>
      <c r="S67" s="530"/>
      <c r="T67" s="690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</row>
    <row r="68" spans="2:30" ht="15" customHeight="1" x14ac:dyDescent="0.35">
      <c r="B68" s="669"/>
      <c r="C68" s="683"/>
      <c r="D68" s="671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530"/>
      <c r="F68" s="530"/>
      <c r="G68" s="530"/>
      <c r="H68" s="530"/>
      <c r="I68" s="530"/>
      <c r="J68" s="530"/>
      <c r="K68" s="530"/>
      <c r="L68" s="530"/>
      <c r="M68" s="530"/>
      <c r="N68" s="530"/>
      <c r="O68" s="530"/>
      <c r="P68" s="530"/>
      <c r="Q68" s="530"/>
      <c r="R68" s="530"/>
      <c r="S68" s="530"/>
      <c r="T68" s="690" t="str">
        <f ca="1"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</row>
    <row r="69" spans="2:30" ht="15" customHeight="1" x14ac:dyDescent="0.35">
      <c r="B69" s="669"/>
      <c r="C69" s="683"/>
      <c r="D69" s="671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530"/>
      <c r="F69" s="530"/>
      <c r="G69" s="530"/>
      <c r="H69" s="530"/>
      <c r="I69" s="530"/>
      <c r="J69" s="530"/>
      <c r="K69" s="530"/>
      <c r="L69" s="530"/>
      <c r="M69" s="530"/>
      <c r="N69" s="530"/>
      <c r="O69" s="530"/>
      <c r="P69" s="530"/>
      <c r="Q69" s="530"/>
      <c r="R69" s="530"/>
      <c r="S69" s="530"/>
      <c r="T69" s="690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$65.09 psm  |  Net: $0 pa</v>
      </c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</row>
    <row r="70" spans="2:30" ht="15" customHeight="1" x14ac:dyDescent="0.35">
      <c r="B70" s="669"/>
      <c r="C70" s="683"/>
      <c r="D70" s="671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30"/>
      <c r="Q70" s="530"/>
      <c r="R70" s="530"/>
      <c r="S70" s="530"/>
      <c r="T70" s="690" t="str">
        <f ca="1">IFERROR("Start: "&amp;TEXT(INDEX('Input Data'!G:G,MATCH("602",'Input Data'!$C:$C,0)),"DD/MM/YY")&amp;"  →  Expiry: "&amp;TEXT(INDEX('Input Data'!H:H,MATCH("602",'Input Data'!$C:$C,0)),"DD/MM/YY"),"—")</f>
        <v xml:space="preserve">Start:   →  Expiry: </v>
      </c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</row>
    <row r="71" spans="2:30" ht="15" customHeight="1" x14ac:dyDescent="0.35">
      <c r="B71" s="669"/>
      <c r="C71" s="683"/>
      <c r="D71" s="671" t="str">
        <f ca="1">IFERROR(IF((INDEX('Input Data'!H:H,MATCH("601",'Input Data'!$C:$C,0))-TODAY())&gt;0,TEXT((INDEX('Input Data'!H:H,MATCH("601",'Input Data'!$C:$C,0))-TODAY())/365.25,"0.0")&amp;" yrs remaining","⚠ EXPIRED"),"—")</f>
        <v>0.7 yrs remaining</v>
      </c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30"/>
      <c r="Q71" s="530"/>
      <c r="R71" s="530"/>
      <c r="S71" s="530"/>
      <c r="T71" s="690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</row>
    <row r="72" spans="2:30" ht="15" customHeight="1" x14ac:dyDescent="0.35">
      <c r="B72" s="669"/>
      <c r="C72" s="683"/>
      <c r="D72" s="671" t="str">
        <f>""</f>
        <v/>
      </c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30"/>
      <c r="Q72" s="530"/>
      <c r="R72" s="530"/>
      <c r="S72" s="530"/>
      <c r="T72" s="690" t="str">
        <f>""</f>
        <v/>
      </c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</row>
    <row r="73" spans="2:30" ht="3.75" customHeight="1" x14ac:dyDescent="0.35">
      <c r="B73" s="669"/>
      <c r="C73" s="683"/>
      <c r="D73" s="673" t="str">
        <f>""</f>
        <v/>
      </c>
      <c r="E73" s="530"/>
      <c r="F73" s="530"/>
      <c r="G73" s="530"/>
      <c r="H73" s="530"/>
      <c r="I73" s="530"/>
      <c r="J73" s="530"/>
      <c r="K73" s="530"/>
      <c r="L73" s="530"/>
      <c r="M73" s="530"/>
      <c r="N73" s="530"/>
      <c r="O73" s="530"/>
      <c r="P73" s="530"/>
      <c r="Q73" s="530"/>
      <c r="R73" s="530"/>
      <c r="S73" s="530"/>
      <c r="T73" s="686" t="str">
        <f>""</f>
        <v/>
      </c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</row>
    <row r="74" spans="2:30" ht="15" customHeight="1" x14ac:dyDescent="0.35">
      <c r="B74" s="92"/>
      <c r="C74" s="92"/>
    </row>
    <row r="75" spans="2:30" ht="19.5" customHeight="1" x14ac:dyDescent="0.35">
      <c r="B75" s="668" t="s">
        <v>568</v>
      </c>
      <c r="C75" s="682">
        <f>SUMIF('Input Data'!B:B,"L05",'Input Data'!F:F)</f>
        <v>376.1</v>
      </c>
      <c r="D75" s="694" t="str">
        <f ca="1">IFERROR(INDEX('Input Data'!D:D,MATCH("501",'Input Data'!$C:$C,0)),"VACANT")</f>
        <v>MONTGOMERY INVESTMENT</v>
      </c>
      <c r="E75" s="530"/>
      <c r="F75" s="530"/>
      <c r="G75" s="530"/>
      <c r="H75" s="530"/>
      <c r="I75" s="530"/>
      <c r="J75" s="530"/>
      <c r="K75" s="530"/>
      <c r="L75" s="530"/>
      <c r="M75" s="530"/>
      <c r="N75" s="530"/>
      <c r="O75" s="530"/>
      <c r="P75" s="530"/>
      <c r="Q75" s="530"/>
      <c r="R75" s="530"/>
      <c r="S75" s="679" t="str">
        <f ca="1">IFERROR(INDEX('Input Data'!D:D,MATCH("502",'Input Data'!$C:$C,0)),"VACANT")</f>
        <v>THREAT DEFENCE</v>
      </c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</row>
    <row r="76" spans="2:30" ht="15" customHeight="1" x14ac:dyDescent="0.35">
      <c r="B76" s="669"/>
      <c r="C76" s="683"/>
      <c r="D76" s="671" t="str">
        <f>"Suite "&amp;"501"</f>
        <v>Suite 501</v>
      </c>
      <c r="E76" s="530"/>
      <c r="F76" s="530"/>
      <c r="G76" s="530"/>
      <c r="H76" s="530"/>
      <c r="I76" s="530"/>
      <c r="J76" s="530"/>
      <c r="K76" s="530"/>
      <c r="L76" s="530"/>
      <c r="M76" s="530"/>
      <c r="N76" s="530"/>
      <c r="O76" s="530"/>
      <c r="P76" s="530"/>
      <c r="Q76" s="530"/>
      <c r="R76" s="530"/>
      <c r="S76" s="674" t="str">
        <f>"Suite "&amp;"502"</f>
        <v>Suite 502</v>
      </c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</row>
    <row r="77" spans="2:30" ht="15" customHeight="1" x14ac:dyDescent="0.35">
      <c r="B77" s="669"/>
      <c r="C77" s="683"/>
      <c r="D77" s="671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530"/>
      <c r="F77" s="530"/>
      <c r="G77" s="530"/>
      <c r="H77" s="530"/>
      <c r="I77" s="530"/>
      <c r="J77" s="530"/>
      <c r="K77" s="530"/>
      <c r="L77" s="530"/>
      <c r="M77" s="530"/>
      <c r="N77" s="530"/>
      <c r="O77" s="530"/>
      <c r="P77" s="530"/>
      <c r="Q77" s="530"/>
      <c r="R77" s="530"/>
      <c r="S77" s="674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</row>
    <row r="78" spans="2:30" ht="15" customHeight="1" x14ac:dyDescent="0.35">
      <c r="B78" s="669"/>
      <c r="C78" s="683"/>
      <c r="D78" s="671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530"/>
      <c r="F78" s="530"/>
      <c r="G78" s="530"/>
      <c r="H78" s="530"/>
      <c r="I78" s="530"/>
      <c r="J78" s="530"/>
      <c r="K78" s="530"/>
      <c r="L78" s="530"/>
      <c r="M78" s="530"/>
      <c r="N78" s="530"/>
      <c r="O78" s="530"/>
      <c r="P78" s="530"/>
      <c r="Q78" s="530"/>
      <c r="R78" s="530"/>
      <c r="S78" s="674" t="str">
        <f ca="1"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$1,017  |  Incent: $254.80</v>
      </c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</row>
    <row r="79" spans="2:30" ht="15" customHeight="1" x14ac:dyDescent="0.35">
      <c r="B79" s="669"/>
      <c r="C79" s="683"/>
      <c r="D79" s="671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530"/>
      <c r="F79" s="530"/>
      <c r="G79" s="530"/>
      <c r="H79" s="530"/>
      <c r="I79" s="530"/>
      <c r="J79" s="530"/>
      <c r="K79" s="530"/>
      <c r="L79" s="530"/>
      <c r="M79" s="530"/>
      <c r="N79" s="530"/>
      <c r="O79" s="530"/>
      <c r="P79" s="530"/>
      <c r="Q79" s="530"/>
      <c r="R79" s="530"/>
      <c r="S79" s="674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$124,807 pa</v>
      </c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</row>
    <row r="80" spans="2:30" ht="15" customHeight="1" x14ac:dyDescent="0.35">
      <c r="B80" s="669"/>
      <c r="C80" s="683"/>
      <c r="D80" s="671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530"/>
      <c r="F80" s="530"/>
      <c r="G80" s="530"/>
      <c r="H80" s="530"/>
      <c r="I80" s="530"/>
      <c r="J80" s="530"/>
      <c r="K80" s="530"/>
      <c r="L80" s="530"/>
      <c r="M80" s="530"/>
      <c r="N80" s="530"/>
      <c r="O80" s="530"/>
      <c r="P80" s="530"/>
      <c r="Q80" s="530"/>
      <c r="R80" s="530"/>
      <c r="S80" s="674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</row>
    <row r="81" spans="2:30" ht="15" customHeight="1" x14ac:dyDescent="0.35">
      <c r="B81" s="669"/>
      <c r="C81" s="683"/>
      <c r="D81" s="671" t="str">
        <f ca="1">IFERROR(IF((INDEX('Input Data'!H:H,MATCH("501",'Input Data'!$C:$C,0))-TODAY())&gt;0,TEXT((INDEX('Input Data'!H:H,MATCH("501",'Input Data'!$C:$C,0))-TODAY())/365.25,"0.0")&amp;" yrs remaining","⚠ EXPIRED"),"—")</f>
        <v>1.5 yrs remaining</v>
      </c>
      <c r="E81" s="530"/>
      <c r="F81" s="530"/>
      <c r="G81" s="530"/>
      <c r="H81" s="530"/>
      <c r="I81" s="530"/>
      <c r="J81" s="530"/>
      <c r="K81" s="530"/>
      <c r="L81" s="530"/>
      <c r="M81" s="530"/>
      <c r="N81" s="530"/>
      <c r="O81" s="530"/>
      <c r="P81" s="530"/>
      <c r="Q81" s="530"/>
      <c r="R81" s="530"/>
      <c r="S81" s="674" t="str">
        <f ca="1">IFERROR(IF((INDEX('Input Data'!H:H,MATCH("502",'Input Data'!$C:$C,0))-TODAY())&gt;0,TEXT((INDEX('Input Data'!H:H,MATCH("502",'Input Data'!$C:$C,0))-TODAY())/365.25,"0.0")&amp;" yrs remaining","⚠ EXPIRED"),"—")</f>
        <v>1.1 yrs remaining</v>
      </c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</row>
    <row r="82" spans="2:30" ht="15" customHeight="1" x14ac:dyDescent="0.35">
      <c r="B82" s="669"/>
      <c r="C82" s="683"/>
      <c r="D82" s="671" t="str">
        <f>""</f>
        <v/>
      </c>
      <c r="E82" s="530"/>
      <c r="F82" s="530"/>
      <c r="G82" s="530"/>
      <c r="H82" s="530"/>
      <c r="I82" s="530"/>
      <c r="J82" s="530"/>
      <c r="K82" s="530"/>
      <c r="L82" s="530"/>
      <c r="M82" s="530"/>
      <c r="N82" s="530"/>
      <c r="O82" s="530"/>
      <c r="P82" s="530"/>
      <c r="Q82" s="530"/>
      <c r="R82" s="530"/>
      <c r="S82" s="674" t="str">
        <f>""</f>
        <v/>
      </c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</row>
    <row r="83" spans="2:30" ht="3.75" customHeight="1" x14ac:dyDescent="0.35">
      <c r="B83" s="669"/>
      <c r="C83" s="683"/>
      <c r="D83" s="673" t="str">
        <f>""</f>
        <v/>
      </c>
      <c r="E83" s="530"/>
      <c r="F83" s="530"/>
      <c r="G83" s="530"/>
      <c r="H83" s="530"/>
      <c r="I83" s="530"/>
      <c r="J83" s="530"/>
      <c r="K83" s="530"/>
      <c r="L83" s="530"/>
      <c r="M83" s="530"/>
      <c r="N83" s="530"/>
      <c r="O83" s="530"/>
      <c r="P83" s="530"/>
      <c r="Q83" s="530"/>
      <c r="R83" s="530"/>
      <c r="S83" s="686" t="str">
        <f>""</f>
        <v/>
      </c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</row>
    <row r="84" spans="2:30" ht="15" customHeight="1" x14ac:dyDescent="0.35">
      <c r="B84" s="92"/>
      <c r="C84" s="92"/>
    </row>
    <row r="85" spans="2:30" ht="19.5" customHeight="1" x14ac:dyDescent="0.35">
      <c r="B85" s="668" t="s">
        <v>569</v>
      </c>
      <c r="C85" s="682">
        <f>SUMIF('Input Data'!B:B,"L04",'Input Data'!F:F)</f>
        <v>359.7</v>
      </c>
      <c r="D85" s="672" t="str">
        <f ca="1">IFERROR(INDEX('Input Data'!D:D,MATCH("401",'Input Data'!$C:$C,0)),"VACANT")</f>
        <v>B-W INTERNATIONAL AUSTRALIA PTY LTD</v>
      </c>
      <c r="E85" s="530"/>
      <c r="F85" s="530"/>
      <c r="G85" s="530"/>
      <c r="H85" s="530"/>
      <c r="I85" s="530"/>
      <c r="J85" s="530"/>
      <c r="K85" s="530"/>
      <c r="L85" s="530"/>
      <c r="M85" s="530"/>
      <c r="N85" s="530"/>
      <c r="O85" s="530"/>
      <c r="P85" s="530"/>
      <c r="Q85" s="530"/>
      <c r="R85" s="530"/>
      <c r="S85" s="530"/>
      <c r="T85" s="696" t="str">
        <f ca="1">IFERROR(INDEX('Input Data'!D:D,MATCH("402",'Input Data'!$C:$C,0)),"VACANT")</f>
        <v>MP TRAVEL PTY LTD</v>
      </c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</row>
    <row r="86" spans="2:30" ht="15" customHeight="1" x14ac:dyDescent="0.35">
      <c r="B86" s="669"/>
      <c r="C86" s="683"/>
      <c r="D86" s="678" t="str">
        <f>"Suite "&amp;"401"</f>
        <v>Suite 401</v>
      </c>
      <c r="E86" s="530"/>
      <c r="F86" s="530"/>
      <c r="G86" s="530"/>
      <c r="H86" s="530"/>
      <c r="I86" s="530"/>
      <c r="J86" s="530"/>
      <c r="K86" s="530"/>
      <c r="L86" s="530"/>
      <c r="M86" s="530"/>
      <c r="N86" s="530"/>
      <c r="O86" s="530"/>
      <c r="P86" s="530"/>
      <c r="Q86" s="530"/>
      <c r="R86" s="530"/>
      <c r="S86" s="530"/>
      <c r="T86" s="670" t="str">
        <f>"Suite "&amp;"402"</f>
        <v>Suite 402</v>
      </c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</row>
    <row r="87" spans="2:30" ht="15" customHeight="1" x14ac:dyDescent="0.35">
      <c r="B87" s="669"/>
      <c r="C87" s="683"/>
      <c r="D87" s="678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530"/>
      <c r="F87" s="530"/>
      <c r="G87" s="530"/>
      <c r="H87" s="530"/>
      <c r="I87" s="530"/>
      <c r="J87" s="530"/>
      <c r="K87" s="530"/>
      <c r="L87" s="530"/>
      <c r="M87" s="530"/>
      <c r="N87" s="530"/>
      <c r="O87" s="530"/>
      <c r="P87" s="530"/>
      <c r="Q87" s="530"/>
      <c r="R87" s="530"/>
      <c r="S87" s="530"/>
      <c r="T87" s="670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</row>
    <row r="88" spans="2:30" ht="15" customHeight="1" x14ac:dyDescent="0.35">
      <c r="B88" s="669"/>
      <c r="C88" s="683"/>
      <c r="D88" s="678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530"/>
      <c r="F88" s="530"/>
      <c r="G88" s="530"/>
      <c r="H88" s="530"/>
      <c r="I88" s="530"/>
      <c r="J88" s="530"/>
      <c r="K88" s="530"/>
      <c r="L88" s="530"/>
      <c r="M88" s="530"/>
      <c r="N88" s="530"/>
      <c r="O88" s="530"/>
      <c r="P88" s="530"/>
      <c r="Q88" s="530"/>
      <c r="R88" s="530"/>
      <c r="S88" s="530"/>
      <c r="T88" s="670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</row>
    <row r="89" spans="2:30" ht="15" customHeight="1" x14ac:dyDescent="0.35">
      <c r="B89" s="669"/>
      <c r="C89" s="683"/>
      <c r="D89" s="678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530"/>
      <c r="F89" s="530"/>
      <c r="G89" s="530"/>
      <c r="H89" s="530"/>
      <c r="I89" s="530"/>
      <c r="J89" s="530"/>
      <c r="K89" s="530"/>
      <c r="L89" s="530"/>
      <c r="M89" s="530"/>
      <c r="N89" s="530"/>
      <c r="O89" s="530"/>
      <c r="P89" s="530"/>
      <c r="Q89" s="530"/>
      <c r="R89" s="530"/>
      <c r="S89" s="530"/>
      <c r="T89" s="670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</row>
    <row r="90" spans="2:30" ht="15" customHeight="1" x14ac:dyDescent="0.35">
      <c r="B90" s="669"/>
      <c r="C90" s="683"/>
      <c r="D90" s="678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530"/>
      <c r="F90" s="530"/>
      <c r="G90" s="530"/>
      <c r="H90" s="530"/>
      <c r="I90" s="530"/>
      <c r="J90" s="530"/>
      <c r="K90" s="530"/>
      <c r="L90" s="530"/>
      <c r="M90" s="530"/>
      <c r="N90" s="530"/>
      <c r="O90" s="530"/>
      <c r="P90" s="530"/>
      <c r="Q90" s="530"/>
      <c r="R90" s="530"/>
      <c r="S90" s="530"/>
      <c r="T90" s="670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</row>
    <row r="91" spans="2:30" ht="15" customHeight="1" x14ac:dyDescent="0.35">
      <c r="B91" s="669"/>
      <c r="C91" s="683"/>
      <c r="D91" s="678" t="str">
        <f ca="1">IFERROR(IF((INDEX('Input Data'!H:H,MATCH("401",'Input Data'!$C:$C,0))-TODAY())&gt;0,TEXT((INDEX('Input Data'!H:H,MATCH("401",'Input Data'!$C:$C,0))-TODAY())/365.25,"0.0")&amp;" yrs remaining","⚠ EXPIRED"),"—")</f>
        <v>2.8 yrs remaining</v>
      </c>
      <c r="E91" s="530"/>
      <c r="F91" s="530"/>
      <c r="G91" s="530"/>
      <c r="H91" s="530"/>
      <c r="I91" s="530"/>
      <c r="J91" s="530"/>
      <c r="K91" s="530"/>
      <c r="L91" s="530"/>
      <c r="M91" s="530"/>
      <c r="N91" s="530"/>
      <c r="O91" s="530"/>
      <c r="P91" s="530"/>
      <c r="Q91" s="530"/>
      <c r="R91" s="530"/>
      <c r="S91" s="530"/>
      <c r="T91" s="670" t="str">
        <f ca="1">IFERROR(IF((INDEX('Input Data'!H:H,MATCH("402",'Input Data'!$C:$C,0))-TODAY())&gt;0,TEXT((INDEX('Input Data'!H:H,MATCH("402",'Input Data'!$C:$C,0))-TODAY())/365.25,"0.0")&amp;" yrs remaining","⚠ EXPIRED"),"—")</f>
        <v>3.6 yrs remaining</v>
      </c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</row>
    <row r="92" spans="2:30" ht="15" customHeight="1" x14ac:dyDescent="0.35">
      <c r="B92" s="669"/>
      <c r="C92" s="683"/>
      <c r="D92" s="678" t="str">
        <f>""</f>
        <v/>
      </c>
      <c r="E92" s="530"/>
      <c r="F92" s="530"/>
      <c r="G92" s="530"/>
      <c r="H92" s="530"/>
      <c r="I92" s="530"/>
      <c r="J92" s="530"/>
      <c r="K92" s="530"/>
      <c r="L92" s="530"/>
      <c r="M92" s="530"/>
      <c r="N92" s="530"/>
      <c r="O92" s="530"/>
      <c r="P92" s="530"/>
      <c r="Q92" s="530"/>
      <c r="R92" s="530"/>
      <c r="S92" s="530"/>
      <c r="T92" s="670" t="str">
        <f>""</f>
        <v/>
      </c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</row>
    <row r="93" spans="2:30" ht="3.75" customHeight="1" x14ac:dyDescent="0.35">
      <c r="B93" s="669"/>
      <c r="C93" s="683"/>
      <c r="D93" s="673" t="str">
        <f>""</f>
        <v/>
      </c>
      <c r="E93" s="530"/>
      <c r="F93" s="530"/>
      <c r="G93" s="530"/>
      <c r="H93" s="530"/>
      <c r="I93" s="530"/>
      <c r="J93" s="530"/>
      <c r="K93" s="530"/>
      <c r="L93" s="530"/>
      <c r="M93" s="530"/>
      <c r="N93" s="530"/>
      <c r="O93" s="530"/>
      <c r="P93" s="530"/>
      <c r="Q93" s="530"/>
      <c r="R93" s="530"/>
      <c r="S93" s="530"/>
      <c r="T93" s="686" t="str">
        <f>""</f>
        <v/>
      </c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</row>
    <row r="94" spans="2:30" ht="15" customHeight="1" x14ac:dyDescent="0.35">
      <c r="B94" s="92"/>
      <c r="C94" s="92"/>
    </row>
    <row r="95" spans="2:30" ht="19.5" customHeight="1" x14ac:dyDescent="0.35">
      <c r="B95" s="668" t="s">
        <v>570</v>
      </c>
      <c r="C95" s="682">
        <f>SUMIF('Input Data'!B:B,"L03",'Input Data'!F:F)</f>
        <v>357.6</v>
      </c>
      <c r="D95" s="694" t="str">
        <f ca="1">IFERROR(INDEX('Input Data'!D:D,MATCH("301&amp;2",'Input Data'!$C:$C,0)),"VACANT")</f>
        <v>IPM RESIDENTIAL PTY LTD</v>
      </c>
      <c r="E95" s="530"/>
      <c r="F95" s="530"/>
      <c r="G95" s="530"/>
      <c r="H95" s="530"/>
      <c r="I95" s="530"/>
      <c r="J95" s="530"/>
      <c r="K95" s="530"/>
      <c r="L95" s="530"/>
      <c r="M95" s="530"/>
      <c r="N95" s="530"/>
      <c r="O95" s="530"/>
      <c r="P95" s="712" t="str">
        <f ca="1">IFERROR(INDEX('Input Data'!D:D,MATCH("303&amp;4",'Input Data'!$C:$C,0)),"VACANT")</f>
        <v>BROADRIDGE (AUSTRALIA) PTY LTD</v>
      </c>
      <c r="Q95" s="530"/>
      <c r="R95" s="530"/>
      <c r="S95" s="530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</row>
    <row r="96" spans="2:30" ht="15" customHeight="1" x14ac:dyDescent="0.35">
      <c r="B96" s="669"/>
      <c r="C96" s="683"/>
      <c r="D96" s="671" t="str">
        <f>"Suite "&amp;"301&amp;2"</f>
        <v>Suite 301&amp;2</v>
      </c>
      <c r="E96" s="530"/>
      <c r="F96" s="530"/>
      <c r="G96" s="530"/>
      <c r="H96" s="530"/>
      <c r="I96" s="530"/>
      <c r="J96" s="530"/>
      <c r="K96" s="530"/>
      <c r="L96" s="530"/>
      <c r="M96" s="530"/>
      <c r="N96" s="530"/>
      <c r="O96" s="530"/>
      <c r="P96" s="676" t="str">
        <f>"Suite "&amp;"303&amp;4"</f>
        <v>Suite 303&amp;4</v>
      </c>
      <c r="Q96" s="530"/>
      <c r="R96" s="530"/>
      <c r="S96" s="530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</row>
    <row r="97" spans="2:30" ht="15" customHeight="1" x14ac:dyDescent="0.35">
      <c r="B97" s="669"/>
      <c r="C97" s="683"/>
      <c r="D97" s="671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530"/>
      <c r="F97" s="530"/>
      <c r="G97" s="530"/>
      <c r="H97" s="530"/>
      <c r="I97" s="530"/>
      <c r="J97" s="530"/>
      <c r="K97" s="530"/>
      <c r="L97" s="530"/>
      <c r="M97" s="530"/>
      <c r="N97" s="530"/>
      <c r="O97" s="530"/>
      <c r="P97" s="676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530"/>
      <c r="R97" s="530"/>
      <c r="S97" s="530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</row>
    <row r="98" spans="2:30" ht="15" customHeight="1" x14ac:dyDescent="0.35">
      <c r="B98" s="669"/>
      <c r="C98" s="683"/>
      <c r="D98" s="671" t="str">
        <f ca="1"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$1,173  |  Incent: $94.50</v>
      </c>
      <c r="E98" s="530"/>
      <c r="F98" s="530"/>
      <c r="G98" s="530"/>
      <c r="H98" s="530"/>
      <c r="I98" s="530"/>
      <c r="J98" s="530"/>
      <c r="K98" s="530"/>
      <c r="L98" s="530"/>
      <c r="M98" s="530"/>
      <c r="N98" s="530"/>
      <c r="O98" s="530"/>
      <c r="P98" s="676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530"/>
      <c r="R98" s="530"/>
      <c r="S98" s="530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</row>
    <row r="99" spans="2:30" ht="15" customHeight="1" x14ac:dyDescent="0.35">
      <c r="B99" s="669"/>
      <c r="C99" s="683"/>
      <c r="D99" s="671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$177,026 pa</v>
      </c>
      <c r="E99" s="530"/>
      <c r="F99" s="530"/>
      <c r="G99" s="530"/>
      <c r="H99" s="530"/>
      <c r="I99" s="530"/>
      <c r="J99" s="530"/>
      <c r="K99" s="530"/>
      <c r="L99" s="530"/>
      <c r="M99" s="530"/>
      <c r="N99" s="530"/>
      <c r="O99" s="530"/>
      <c r="P99" s="676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530"/>
      <c r="R99" s="530"/>
      <c r="S99" s="530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</row>
    <row r="100" spans="2:30" ht="15" customHeight="1" x14ac:dyDescent="0.35">
      <c r="B100" s="669"/>
      <c r="C100" s="683"/>
      <c r="D100" s="671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530"/>
      <c r="F100" s="530"/>
      <c r="G100" s="530"/>
      <c r="H100" s="530"/>
      <c r="I100" s="530"/>
      <c r="J100" s="530"/>
      <c r="K100" s="530"/>
      <c r="L100" s="530"/>
      <c r="M100" s="530"/>
      <c r="N100" s="530"/>
      <c r="O100" s="530"/>
      <c r="P100" s="676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530"/>
      <c r="R100" s="530"/>
      <c r="S100" s="530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</row>
    <row r="101" spans="2:30" ht="15" customHeight="1" x14ac:dyDescent="0.35">
      <c r="B101" s="669"/>
      <c r="C101" s="683"/>
      <c r="D101" s="671" t="str">
        <f ca="1">IFERROR(IF((INDEX('Input Data'!H:H,MATCH("301&amp;2",'Input Data'!$C:$C,0))-TODAY())&gt;0,TEXT((INDEX('Input Data'!H:H,MATCH("301&amp;2",'Input Data'!$C:$C,0))-TODAY())/365.25,"0.0")&amp;" yrs remaining","⚠ EXPIRED"),"—")</f>
        <v>1.1 yrs remaining</v>
      </c>
      <c r="E101" s="530"/>
      <c r="F101" s="530"/>
      <c r="G101" s="530"/>
      <c r="H101" s="530"/>
      <c r="I101" s="530"/>
      <c r="J101" s="530"/>
      <c r="K101" s="530"/>
      <c r="L101" s="530"/>
      <c r="M101" s="530"/>
      <c r="N101" s="530"/>
      <c r="O101" s="530"/>
      <c r="P101" s="676" t="str">
        <f ca="1">IFERROR(IF((INDEX('Input Data'!H:H,MATCH("303&amp;4",'Input Data'!$C:$C,0))-TODAY())&gt;0,TEXT((INDEX('Input Data'!H:H,MATCH("303&amp;4",'Input Data'!$C:$C,0))-TODAY())/365.25,"0.0")&amp;" yrs remaining","⚠ EXPIRED"),"—")</f>
        <v>2.4 yrs remaining</v>
      </c>
      <c r="Q101" s="530"/>
      <c r="R101" s="530"/>
      <c r="S101" s="530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</row>
    <row r="102" spans="2:30" ht="15" customHeight="1" x14ac:dyDescent="0.35">
      <c r="B102" s="669"/>
      <c r="C102" s="683"/>
      <c r="D102" s="671" t="str">
        <f>""</f>
        <v/>
      </c>
      <c r="E102" s="530"/>
      <c r="F102" s="530"/>
      <c r="G102" s="530"/>
      <c r="H102" s="530"/>
      <c r="I102" s="530"/>
      <c r="J102" s="530"/>
      <c r="K102" s="530"/>
      <c r="L102" s="530"/>
      <c r="M102" s="530"/>
      <c r="N102" s="530"/>
      <c r="O102" s="530"/>
      <c r="P102" s="676" t="str">
        <f>""</f>
        <v/>
      </c>
      <c r="Q102" s="530"/>
      <c r="R102" s="530"/>
      <c r="S102" s="530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</row>
    <row r="103" spans="2:30" ht="3.75" customHeight="1" x14ac:dyDescent="0.35">
      <c r="B103" s="669"/>
      <c r="C103" s="683"/>
      <c r="D103" s="673" t="str">
        <f>""</f>
        <v/>
      </c>
      <c r="E103" s="530"/>
      <c r="F103" s="530"/>
      <c r="G103" s="530"/>
      <c r="H103" s="530"/>
      <c r="I103" s="530"/>
      <c r="J103" s="530"/>
      <c r="K103" s="530"/>
      <c r="L103" s="530"/>
      <c r="M103" s="530"/>
      <c r="N103" s="530"/>
      <c r="O103" s="530"/>
      <c r="P103" s="686" t="str">
        <f>""</f>
        <v/>
      </c>
      <c r="Q103" s="530"/>
      <c r="R103" s="530"/>
      <c r="S103" s="530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</row>
    <row r="104" spans="2:30" ht="15" customHeight="1" x14ac:dyDescent="0.35">
      <c r="B104" s="92"/>
      <c r="C104" s="92"/>
    </row>
    <row r="105" spans="2:30" ht="19.5" customHeight="1" x14ac:dyDescent="0.35">
      <c r="B105" s="668" t="s">
        <v>571</v>
      </c>
      <c r="C105" s="682">
        <f>SUMIF('Input Data'!B:B,"L02",'Input Data'!F:F)</f>
        <v>393.2</v>
      </c>
      <c r="D105" s="710" t="str">
        <f ca="1">IFERROR(INDEX('Input Data'!D:D,MATCH("WHOLE",'Input Data'!$C:$C,0)),"VACANT")</f>
        <v>PRINCETON FINANCIAL SERVICES</v>
      </c>
      <c r="E105" s="530"/>
      <c r="F105" s="530"/>
      <c r="G105" s="530"/>
      <c r="H105" s="530"/>
      <c r="I105" s="530"/>
      <c r="J105" s="530"/>
      <c r="K105" s="530"/>
      <c r="L105" s="530"/>
      <c r="M105" s="530"/>
      <c r="N105" s="530"/>
      <c r="O105" s="530"/>
      <c r="P105" s="530"/>
      <c r="Q105" s="530"/>
      <c r="R105" s="530"/>
      <c r="S105" s="530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</row>
    <row r="106" spans="2:30" ht="15" customHeight="1" x14ac:dyDescent="0.35">
      <c r="B106" s="669"/>
      <c r="C106" s="683"/>
      <c r="D106" s="687" t="str">
        <f>"Suite "&amp;"WHOLE"</f>
        <v>Suite WHOLE</v>
      </c>
      <c r="E106" s="530"/>
      <c r="F106" s="530"/>
      <c r="G106" s="530"/>
      <c r="H106" s="530"/>
      <c r="I106" s="530"/>
      <c r="J106" s="530"/>
      <c r="K106" s="530"/>
      <c r="L106" s="530"/>
      <c r="M106" s="530"/>
      <c r="N106" s="530"/>
      <c r="O106" s="530"/>
      <c r="P106" s="530"/>
      <c r="Q106" s="530"/>
      <c r="R106" s="530"/>
      <c r="S106" s="530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</row>
    <row r="107" spans="2:30" ht="15" customHeight="1" x14ac:dyDescent="0.35">
      <c r="B107" s="669"/>
      <c r="C107" s="683"/>
      <c r="D107" s="687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530"/>
      <c r="F107" s="530"/>
      <c r="G107" s="530"/>
      <c r="H107" s="530"/>
      <c r="I107" s="530"/>
      <c r="J107" s="530"/>
      <c r="K107" s="530"/>
      <c r="L107" s="530"/>
      <c r="M107" s="530"/>
      <c r="N107" s="530"/>
      <c r="O107" s="530"/>
      <c r="P107" s="530"/>
      <c r="Q107" s="530"/>
      <c r="R107" s="530"/>
      <c r="S107" s="530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</row>
    <row r="108" spans="2:30" ht="15" customHeight="1" x14ac:dyDescent="0.35">
      <c r="B108" s="669"/>
      <c r="C108" s="683"/>
      <c r="D108" s="687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530"/>
      <c r="F108" s="530"/>
      <c r="G108" s="530"/>
      <c r="H108" s="530"/>
      <c r="I108" s="530"/>
      <c r="J108" s="530"/>
      <c r="K108" s="530"/>
      <c r="L108" s="530"/>
      <c r="M108" s="530"/>
      <c r="N108" s="530"/>
      <c r="O108" s="530"/>
      <c r="P108" s="530"/>
      <c r="Q108" s="530"/>
      <c r="R108" s="530"/>
      <c r="S108" s="530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</row>
    <row r="109" spans="2:30" ht="15" customHeight="1" x14ac:dyDescent="0.35">
      <c r="B109" s="669"/>
      <c r="C109" s="683"/>
      <c r="D109" s="687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530"/>
      <c r="F109" s="530"/>
      <c r="G109" s="530"/>
      <c r="H109" s="530"/>
      <c r="I109" s="530"/>
      <c r="J109" s="530"/>
      <c r="K109" s="530"/>
      <c r="L109" s="530"/>
      <c r="M109" s="530"/>
      <c r="N109" s="530"/>
      <c r="O109" s="530"/>
      <c r="P109" s="530"/>
      <c r="Q109" s="530"/>
      <c r="R109" s="530"/>
      <c r="S109" s="530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</row>
    <row r="110" spans="2:30" ht="15" customHeight="1" x14ac:dyDescent="0.35">
      <c r="B110" s="669"/>
      <c r="C110" s="683"/>
      <c r="D110" s="687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530"/>
      <c r="F110" s="530"/>
      <c r="G110" s="530"/>
      <c r="H110" s="530"/>
      <c r="I110" s="530"/>
      <c r="J110" s="530"/>
      <c r="K110" s="530"/>
      <c r="L110" s="530"/>
      <c r="M110" s="530"/>
      <c r="N110" s="530"/>
      <c r="O110" s="530"/>
      <c r="P110" s="530"/>
      <c r="Q110" s="530"/>
      <c r="R110" s="530"/>
      <c r="S110" s="530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</row>
    <row r="111" spans="2:30" ht="15" customHeight="1" x14ac:dyDescent="0.35">
      <c r="B111" s="669"/>
      <c r="C111" s="683"/>
      <c r="D111" s="687" t="str">
        <f ca="1">IFERROR(IF((INDEX('Input Data'!H:H,MATCH("WHOLE",'Input Data'!$C:$C,0))-TODAY())&gt;0,TEXT((INDEX('Input Data'!H:H,MATCH("WHOLE",'Input Data'!$C:$C,0))-TODAY())/365.25,"0.0")&amp;" yrs remaining","⚠ EXPIRED"),"—")</f>
        <v>2.7 yrs remaining</v>
      </c>
      <c r="E111" s="530"/>
      <c r="F111" s="530"/>
      <c r="G111" s="530"/>
      <c r="H111" s="530"/>
      <c r="I111" s="530"/>
      <c r="J111" s="530"/>
      <c r="K111" s="530"/>
      <c r="L111" s="530"/>
      <c r="M111" s="530"/>
      <c r="N111" s="530"/>
      <c r="O111" s="530"/>
      <c r="P111" s="530"/>
      <c r="Q111" s="530"/>
      <c r="R111" s="530"/>
      <c r="S111" s="530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</row>
    <row r="112" spans="2:30" ht="15" customHeight="1" x14ac:dyDescent="0.35">
      <c r="B112" s="669"/>
      <c r="C112" s="683"/>
      <c r="D112" s="687" t="str">
        <f>""</f>
        <v/>
      </c>
      <c r="E112" s="530"/>
      <c r="F112" s="530"/>
      <c r="G112" s="530"/>
      <c r="H112" s="530"/>
      <c r="I112" s="530"/>
      <c r="J112" s="530"/>
      <c r="K112" s="530"/>
      <c r="L112" s="530"/>
      <c r="M112" s="530"/>
      <c r="N112" s="530"/>
      <c r="O112" s="530"/>
      <c r="P112" s="530"/>
      <c r="Q112" s="530"/>
      <c r="R112" s="530"/>
      <c r="S112" s="530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</row>
    <row r="113" spans="2:30" ht="3.75" customHeight="1" x14ac:dyDescent="0.35">
      <c r="B113" s="669"/>
      <c r="C113" s="683"/>
      <c r="D113" s="673" t="str">
        <f>""</f>
        <v/>
      </c>
      <c r="E113" s="530"/>
      <c r="F113" s="530"/>
      <c r="G113" s="530"/>
      <c r="H113" s="530"/>
      <c r="I113" s="530"/>
      <c r="J113" s="530"/>
      <c r="K113" s="530"/>
      <c r="L113" s="530"/>
      <c r="M113" s="530"/>
      <c r="N113" s="530"/>
      <c r="O113" s="530"/>
      <c r="P113" s="530"/>
      <c r="Q113" s="530"/>
      <c r="R113" s="530"/>
      <c r="S113" s="530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</row>
    <row r="114" spans="2:30" ht="15" customHeight="1" x14ac:dyDescent="0.35">
      <c r="B114" s="92"/>
      <c r="C114" s="92"/>
    </row>
    <row r="115" spans="2:30" ht="19.5" customHeight="1" x14ac:dyDescent="0.35">
      <c r="B115" s="668" t="s">
        <v>572</v>
      </c>
      <c r="C115" s="682">
        <f>SUMIF('Input Data'!B:B,"L01",'Input Data'!F:F)</f>
        <v>356.79999999999995</v>
      </c>
      <c r="D115" s="700" t="str">
        <f ca="1">IFERROR(INDEX('Input Data'!D:D,MATCH("101&amp;2",'Input Data'!$C:$C,0)),"VACANT")</f>
        <v>BLITZEM PTY LTD</v>
      </c>
      <c r="E115" s="530"/>
      <c r="F115" s="530"/>
      <c r="G115" s="530"/>
      <c r="H115" s="530"/>
      <c r="I115" s="530"/>
      <c r="J115" s="530"/>
      <c r="K115" s="530"/>
      <c r="L115" s="530"/>
      <c r="M115" s="530"/>
      <c r="N115" s="530"/>
      <c r="O115" s="530"/>
      <c r="P115" s="530"/>
      <c r="Q115" s="712" t="str">
        <f ca="1">IFERROR(INDEX('Input Data'!D:D,MATCH("103",'Input Data'!$C:$C,0)),"VACANT")</f>
        <v>PU PRIME TRADING PTY LTD</v>
      </c>
      <c r="R115" s="530"/>
      <c r="S115" s="530"/>
      <c r="T115" s="530"/>
      <c r="U115" s="530"/>
      <c r="V115" s="530"/>
      <c r="W115" s="530"/>
      <c r="X115" s="713" t="str">
        <f ca="1">IFERROR(INDEX('Input Data'!D:D,MATCH("104",'Input Data'!$C:$C,0)),"VACANT")</f>
        <v>TJC#1 PTY LTD</v>
      </c>
      <c r="Y115" s="530"/>
      <c r="Z115" s="530"/>
      <c r="AA115" s="530"/>
      <c r="AB115" s="530"/>
      <c r="AC115" s="530"/>
      <c r="AD115" s="530"/>
    </row>
    <row r="116" spans="2:30" ht="15" customHeight="1" x14ac:dyDescent="0.35">
      <c r="B116" s="669"/>
      <c r="C116" s="683"/>
      <c r="D116" s="681" t="str">
        <f>"Suite "&amp;"101&amp;2"</f>
        <v>Suite 101&amp;2</v>
      </c>
      <c r="E116" s="530"/>
      <c r="F116" s="530"/>
      <c r="G116" s="530"/>
      <c r="H116" s="530"/>
      <c r="I116" s="530"/>
      <c r="J116" s="530"/>
      <c r="K116" s="530"/>
      <c r="L116" s="530"/>
      <c r="M116" s="530"/>
      <c r="N116" s="530"/>
      <c r="O116" s="530"/>
      <c r="P116" s="530"/>
      <c r="Q116" s="676" t="str">
        <f>"Suite "&amp;"103"</f>
        <v>Suite 103</v>
      </c>
      <c r="R116" s="530"/>
      <c r="S116" s="530"/>
      <c r="T116" s="530"/>
      <c r="U116" s="530"/>
      <c r="V116" s="530"/>
      <c r="W116" s="530"/>
      <c r="X116" s="690" t="str">
        <f>"Suite "&amp;"104"</f>
        <v>Suite 104</v>
      </c>
      <c r="Y116" s="530"/>
      <c r="Z116" s="530"/>
      <c r="AA116" s="530"/>
      <c r="AB116" s="530"/>
      <c r="AC116" s="530"/>
      <c r="AD116" s="530"/>
    </row>
    <row r="117" spans="2:30" ht="15" customHeight="1" x14ac:dyDescent="0.35">
      <c r="B117" s="669"/>
      <c r="C117" s="683"/>
      <c r="D117" s="681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530"/>
      <c r="F117" s="530"/>
      <c r="G117" s="530"/>
      <c r="H117" s="530"/>
      <c r="I117" s="530"/>
      <c r="J117" s="530"/>
      <c r="K117" s="530"/>
      <c r="L117" s="530"/>
      <c r="M117" s="530"/>
      <c r="N117" s="530"/>
      <c r="O117" s="530"/>
      <c r="P117" s="530"/>
      <c r="Q117" s="676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530"/>
      <c r="S117" s="530"/>
      <c r="T117" s="530"/>
      <c r="U117" s="530"/>
      <c r="V117" s="530"/>
      <c r="W117" s="530"/>
      <c r="X117" s="690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530"/>
      <c r="Z117" s="530"/>
      <c r="AA117" s="530"/>
      <c r="AB117" s="530"/>
      <c r="AC117" s="530"/>
      <c r="AD117" s="530"/>
    </row>
    <row r="118" spans="2:30" ht="15" customHeight="1" x14ac:dyDescent="0.35">
      <c r="B118" s="669"/>
      <c r="C118" s="683"/>
      <c r="D118" s="681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$1,010  |  Incent: nil</v>
      </c>
      <c r="E118" s="530"/>
      <c r="F118" s="530"/>
      <c r="G118" s="530"/>
      <c r="H118" s="530"/>
      <c r="I118" s="530"/>
      <c r="J118" s="530"/>
      <c r="K118" s="530"/>
      <c r="L118" s="530"/>
      <c r="M118" s="530"/>
      <c r="N118" s="530"/>
      <c r="O118" s="530"/>
      <c r="P118" s="530"/>
      <c r="Q118" s="676" t="str">
        <f ca="1"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$983  |  Incent: $56.69</v>
      </c>
      <c r="R118" s="530"/>
      <c r="S118" s="530"/>
      <c r="T118" s="530"/>
      <c r="U118" s="530"/>
      <c r="V118" s="530"/>
      <c r="W118" s="530"/>
      <c r="X118" s="690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530"/>
      <c r="Z118" s="530"/>
      <c r="AA118" s="530"/>
      <c r="AB118" s="530"/>
      <c r="AC118" s="530"/>
      <c r="AD118" s="530"/>
    </row>
    <row r="119" spans="2:30" ht="15" customHeight="1" x14ac:dyDescent="0.35">
      <c r="B119" s="669"/>
      <c r="C119" s="683"/>
      <c r="D119" s="681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$164,065 pa</v>
      </c>
      <c r="E119" s="530"/>
      <c r="F119" s="530"/>
      <c r="G119" s="530"/>
      <c r="H119" s="530"/>
      <c r="I119" s="530"/>
      <c r="J119" s="530"/>
      <c r="K119" s="530"/>
      <c r="L119" s="530"/>
      <c r="M119" s="530"/>
      <c r="N119" s="530"/>
      <c r="O119" s="530"/>
      <c r="P119" s="530"/>
      <c r="Q119" s="676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$89,173 pa</v>
      </c>
      <c r="R119" s="530"/>
      <c r="S119" s="530"/>
      <c r="T119" s="530"/>
      <c r="U119" s="530"/>
      <c r="V119" s="530"/>
      <c r="W119" s="530"/>
      <c r="X119" s="690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530"/>
      <c r="Z119" s="530"/>
      <c r="AA119" s="530"/>
      <c r="AB119" s="530"/>
      <c r="AC119" s="530"/>
      <c r="AD119" s="530"/>
    </row>
    <row r="120" spans="2:30" ht="15" customHeight="1" x14ac:dyDescent="0.35">
      <c r="B120" s="669"/>
      <c r="C120" s="683"/>
      <c r="D120" s="681" t="str">
        <f ca="1">IFERROR("Start: "&amp;TEXT(INDEX('Input Data'!G:G,MATCH("101&amp;2",'Input Data'!$C:$C,0)),"DD/MM/YY")&amp;"  →  Expiry: "&amp;TEXT(INDEX('Input Data'!H:H,MATCH("101&amp;2",'Input Data'!$C:$C,0)),"DD/MM/YY"),"—")</f>
        <v>Start: 01/03/17  →  Expiry: 30/06/26</v>
      </c>
      <c r="E120" s="530"/>
      <c r="F120" s="530"/>
      <c r="G120" s="530"/>
      <c r="H120" s="530"/>
      <c r="I120" s="530"/>
      <c r="J120" s="530"/>
      <c r="K120" s="530"/>
      <c r="L120" s="530"/>
      <c r="M120" s="530"/>
      <c r="N120" s="530"/>
      <c r="O120" s="530"/>
      <c r="P120" s="530"/>
      <c r="Q120" s="676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530"/>
      <c r="S120" s="530"/>
      <c r="T120" s="530"/>
      <c r="U120" s="530"/>
      <c r="V120" s="530"/>
      <c r="W120" s="530"/>
      <c r="X120" s="690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31/07/26</v>
      </c>
      <c r="Y120" s="530"/>
      <c r="Z120" s="530"/>
      <c r="AA120" s="530"/>
      <c r="AB120" s="530"/>
      <c r="AC120" s="530"/>
      <c r="AD120" s="530"/>
    </row>
    <row r="121" spans="2:30" ht="15" customHeight="1" x14ac:dyDescent="0.35">
      <c r="B121" s="669"/>
      <c r="C121" s="683"/>
      <c r="D121" s="681" t="str">
        <f ca="1">IFERROR(IF((INDEX('Input Data'!H:H,MATCH("101&amp;2",'Input Data'!$C:$C,0))-TODAY())&gt;0,TEXT((INDEX('Input Data'!H:H,MATCH("101&amp;2",'Input Data'!$C:$C,0))-TODAY())/365.25,"0.0")&amp;" yrs remaining","⚠ EXPIRED"),"—")</f>
        <v>0.1 yrs remaining</v>
      </c>
      <c r="E121" s="530"/>
      <c r="F121" s="530"/>
      <c r="G121" s="530"/>
      <c r="H121" s="530"/>
      <c r="I121" s="530"/>
      <c r="J121" s="530"/>
      <c r="K121" s="530"/>
      <c r="L121" s="530"/>
      <c r="M121" s="530"/>
      <c r="N121" s="530"/>
      <c r="O121" s="530"/>
      <c r="P121" s="530"/>
      <c r="Q121" s="676" t="str">
        <f ca="1">IFERROR(IF((INDEX('Input Data'!H:H,MATCH("103",'Input Data'!$C:$C,0))-TODAY())&gt;0,TEXT((INDEX('Input Data'!H:H,MATCH("103",'Input Data'!$C:$C,0))-TODAY())/365.25,"0.0")&amp;" yrs remaining","⚠ EXPIRED"),"—")</f>
        <v>2.1 yrs remaining</v>
      </c>
      <c r="R121" s="530"/>
      <c r="S121" s="530"/>
      <c r="T121" s="530"/>
      <c r="U121" s="530"/>
      <c r="V121" s="530"/>
      <c r="W121" s="530"/>
      <c r="X121" s="690" t="str">
        <f ca="1">IFERROR(IF((INDEX('Input Data'!H:H,MATCH("104",'Input Data'!$C:$C,0))-TODAY())&gt;0,TEXT((INDEX('Input Data'!H:H,MATCH("104",'Input Data'!$C:$C,0))-TODAY())/365.25,"0.0")&amp;" yrs remaining","⚠ EXPIRED"),"—")</f>
        <v>0.2 yrs remaining</v>
      </c>
      <c r="Y121" s="530"/>
      <c r="Z121" s="530"/>
      <c r="AA121" s="530"/>
      <c r="AB121" s="530"/>
      <c r="AC121" s="530"/>
      <c r="AD121" s="530"/>
    </row>
    <row r="122" spans="2:30" ht="15" customHeight="1" x14ac:dyDescent="0.35">
      <c r="B122" s="669"/>
      <c r="C122" s="683"/>
      <c r="D122" s="681" t="str">
        <f>""</f>
        <v/>
      </c>
      <c r="E122" s="530"/>
      <c r="F122" s="530"/>
      <c r="G122" s="530"/>
      <c r="H122" s="530"/>
      <c r="I122" s="530"/>
      <c r="J122" s="530"/>
      <c r="K122" s="530"/>
      <c r="L122" s="530"/>
      <c r="M122" s="530"/>
      <c r="N122" s="530"/>
      <c r="O122" s="530"/>
      <c r="P122" s="530"/>
      <c r="Q122" s="676" t="str">
        <f>""</f>
        <v/>
      </c>
      <c r="R122" s="530"/>
      <c r="S122" s="530"/>
      <c r="T122" s="530"/>
      <c r="U122" s="530"/>
      <c r="V122" s="530"/>
      <c r="W122" s="530"/>
      <c r="X122" s="690" t="str">
        <f>""</f>
        <v/>
      </c>
      <c r="Y122" s="530"/>
      <c r="Z122" s="530"/>
      <c r="AA122" s="530"/>
      <c r="AB122" s="530"/>
      <c r="AC122" s="530"/>
      <c r="AD122" s="530"/>
    </row>
    <row r="123" spans="2:30" ht="3.75" customHeight="1" x14ac:dyDescent="0.35">
      <c r="B123" s="669"/>
      <c r="C123" s="683"/>
      <c r="D123" s="673" t="str">
        <f>""</f>
        <v/>
      </c>
      <c r="E123" s="530"/>
      <c r="F123" s="530"/>
      <c r="G123" s="530"/>
      <c r="H123" s="530"/>
      <c r="I123" s="530"/>
      <c r="J123" s="530"/>
      <c r="K123" s="530"/>
      <c r="L123" s="530"/>
      <c r="M123" s="530"/>
      <c r="N123" s="530"/>
      <c r="O123" s="530"/>
      <c r="P123" s="530"/>
      <c r="Q123" s="686" t="str">
        <f>""</f>
        <v/>
      </c>
      <c r="R123" s="530"/>
      <c r="S123" s="530"/>
      <c r="T123" s="530"/>
      <c r="U123" s="530"/>
      <c r="V123" s="530"/>
      <c r="W123" s="530"/>
      <c r="X123" s="686" t="str">
        <f>""</f>
        <v/>
      </c>
      <c r="Y123" s="530"/>
      <c r="Z123" s="530"/>
      <c r="AA123" s="530"/>
      <c r="AB123" s="530"/>
      <c r="AC123" s="530"/>
      <c r="AD123" s="530"/>
    </row>
    <row r="124" spans="2:30" ht="15" customHeight="1" x14ac:dyDescent="0.35">
      <c r="B124" s="92"/>
      <c r="C124" s="92"/>
    </row>
    <row r="125" spans="2:30" ht="19.5" customHeight="1" x14ac:dyDescent="0.35">
      <c r="B125" s="668" t="s">
        <v>573</v>
      </c>
      <c r="C125" s="682">
        <f>SUMIF('Input Data'!B:B,"GF",'Input Data'!F:F)</f>
        <v>298.3</v>
      </c>
      <c r="D125" s="711" t="str">
        <f ca="1">IFERROR(INDEX('Input Data'!D:D,MATCH("GROUND",'Input Data'!$C:$C,0)),"VACANT")</f>
        <v>RCVRI MARTIN PLACE PTY LTD</v>
      </c>
      <c r="E125" s="530"/>
      <c r="F125" s="530"/>
      <c r="G125" s="530"/>
      <c r="H125" s="530"/>
      <c r="I125" s="530"/>
      <c r="J125" s="530"/>
      <c r="K125" s="530"/>
      <c r="L125" s="530"/>
      <c r="M125" s="530"/>
      <c r="N125" s="530"/>
      <c r="O125" s="530"/>
      <c r="P125" s="530"/>
      <c r="Q125" s="530"/>
      <c r="R125" s="530"/>
      <c r="S125" s="530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</row>
    <row r="126" spans="2:30" ht="15" customHeight="1" x14ac:dyDescent="0.35">
      <c r="B126" s="669"/>
      <c r="C126" s="683"/>
      <c r="D126" s="689" t="str">
        <f>"Suite "&amp;"GROUND"</f>
        <v>Suite GROUND</v>
      </c>
      <c r="E126" s="530"/>
      <c r="F126" s="530"/>
      <c r="G126" s="530"/>
      <c r="H126" s="530"/>
      <c r="I126" s="530"/>
      <c r="J126" s="530"/>
      <c r="K126" s="530"/>
      <c r="L126" s="530"/>
      <c r="M126" s="530"/>
      <c r="N126" s="530"/>
      <c r="O126" s="530"/>
      <c r="P126" s="530"/>
      <c r="Q126" s="530"/>
      <c r="R126" s="530"/>
      <c r="S126" s="530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</row>
    <row r="127" spans="2:30" ht="15" customHeight="1" x14ac:dyDescent="0.35">
      <c r="B127" s="669"/>
      <c r="C127" s="683"/>
      <c r="D127" s="689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530"/>
      <c r="F127" s="530"/>
      <c r="G127" s="530"/>
      <c r="H127" s="530"/>
      <c r="I127" s="530"/>
      <c r="J127" s="530"/>
      <c r="K127" s="530"/>
      <c r="L127" s="530"/>
      <c r="M127" s="530"/>
      <c r="N127" s="530"/>
      <c r="O127" s="530"/>
      <c r="P127" s="530"/>
      <c r="Q127" s="530"/>
      <c r="R127" s="530"/>
      <c r="S127" s="530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</row>
    <row r="128" spans="2:30" ht="15" customHeight="1" x14ac:dyDescent="0.35">
      <c r="B128" s="669"/>
      <c r="C128" s="683"/>
      <c r="D128" s="689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530"/>
      <c r="F128" s="530"/>
      <c r="G128" s="530"/>
      <c r="H128" s="530"/>
      <c r="I128" s="530"/>
      <c r="J128" s="530"/>
      <c r="K128" s="530"/>
      <c r="L128" s="530"/>
      <c r="M128" s="530"/>
      <c r="N128" s="530"/>
      <c r="O128" s="530"/>
      <c r="P128" s="530"/>
      <c r="Q128" s="530"/>
      <c r="R128" s="530"/>
      <c r="S128" s="530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</row>
    <row r="129" spans="2:30" ht="15" customHeight="1" x14ac:dyDescent="0.35">
      <c r="B129" s="669"/>
      <c r="C129" s="683"/>
      <c r="D129" s="689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530"/>
      <c r="F129" s="530"/>
      <c r="G129" s="530"/>
      <c r="H129" s="530"/>
      <c r="I129" s="530"/>
      <c r="J129" s="530"/>
      <c r="K129" s="530"/>
      <c r="L129" s="530"/>
      <c r="M129" s="530"/>
      <c r="N129" s="530"/>
      <c r="O129" s="530"/>
      <c r="P129" s="530"/>
      <c r="Q129" s="530"/>
      <c r="R129" s="530"/>
      <c r="S129" s="530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</row>
    <row r="130" spans="2:30" ht="15" customHeight="1" x14ac:dyDescent="0.35">
      <c r="B130" s="669"/>
      <c r="C130" s="683"/>
      <c r="D130" s="689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530"/>
      <c r="F130" s="530"/>
      <c r="G130" s="530"/>
      <c r="H130" s="530"/>
      <c r="I130" s="530"/>
      <c r="J130" s="530"/>
      <c r="K130" s="530"/>
      <c r="L130" s="530"/>
      <c r="M130" s="530"/>
      <c r="N130" s="530"/>
      <c r="O130" s="530"/>
      <c r="P130" s="530"/>
      <c r="Q130" s="530"/>
      <c r="R130" s="530"/>
      <c r="S130" s="530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</row>
    <row r="131" spans="2:30" ht="15" customHeight="1" x14ac:dyDescent="0.35">
      <c r="B131" s="669"/>
      <c r="C131" s="683"/>
      <c r="D131" s="689" t="str">
        <f ca="1">IFERROR(IF((INDEX('Input Data'!H:H,MATCH("GROUND",'Input Data'!$C:$C,0))-TODAY())&gt;0,TEXT((INDEX('Input Data'!H:H,MATCH("GROUND",'Input Data'!$C:$C,0))-TODAY())/365.25,"0.0")&amp;" yrs remaining","⚠ EXPIRED"),"—")</f>
        <v>5.7 yrs remaining</v>
      </c>
      <c r="E131" s="530"/>
      <c r="F131" s="530"/>
      <c r="G131" s="530"/>
      <c r="H131" s="530"/>
      <c r="I131" s="530"/>
      <c r="J131" s="530"/>
      <c r="K131" s="530"/>
      <c r="L131" s="530"/>
      <c r="M131" s="530"/>
      <c r="N131" s="530"/>
      <c r="O131" s="530"/>
      <c r="P131" s="530"/>
      <c r="Q131" s="530"/>
      <c r="R131" s="530"/>
      <c r="S131" s="530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</row>
    <row r="132" spans="2:30" ht="15" customHeight="1" x14ac:dyDescent="0.35">
      <c r="B132" s="669"/>
      <c r="C132" s="683"/>
      <c r="D132" s="689" t="str">
        <f>""</f>
        <v/>
      </c>
      <c r="E132" s="530"/>
      <c r="F132" s="530"/>
      <c r="G132" s="530"/>
      <c r="H132" s="530"/>
      <c r="I132" s="530"/>
      <c r="J132" s="530"/>
      <c r="K132" s="530"/>
      <c r="L132" s="530"/>
      <c r="M132" s="530"/>
      <c r="N132" s="530"/>
      <c r="O132" s="530"/>
      <c r="P132" s="530"/>
      <c r="Q132" s="530"/>
      <c r="R132" s="530"/>
      <c r="S132" s="530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</row>
    <row r="133" spans="2:30" ht="3.75" customHeight="1" x14ac:dyDescent="0.35">
      <c r="B133" s="669"/>
      <c r="C133" s="683"/>
      <c r="D133" s="673" t="str">
        <f>""</f>
        <v/>
      </c>
      <c r="E133" s="530"/>
      <c r="F133" s="530"/>
      <c r="G133" s="530"/>
      <c r="H133" s="530"/>
      <c r="I133" s="530"/>
      <c r="J133" s="530"/>
      <c r="K133" s="530"/>
      <c r="L133" s="530"/>
      <c r="M133" s="530"/>
      <c r="N133" s="530"/>
      <c r="O133" s="530"/>
      <c r="P133" s="530"/>
      <c r="Q133" s="530"/>
      <c r="R133" s="530"/>
      <c r="S133" s="530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</row>
    <row r="134" spans="2:30" ht="15" customHeight="1" x14ac:dyDescent="0.35">
      <c r="B134" s="92"/>
      <c r="C134" s="92"/>
    </row>
    <row r="135" spans="2:30" ht="19.5" customHeight="1" x14ac:dyDescent="0.35">
      <c r="B135" s="668" t="s">
        <v>574</v>
      </c>
      <c r="C135" s="682">
        <f>SUMIF('Input Data'!B:B,"BSMT",'Input Data'!F:F)</f>
        <v>151.19999999999999</v>
      </c>
      <c r="D135" s="672" t="str">
        <f ca="1">IFERROR(INDEX('Input Data'!D:D,MATCH("LWR GROUND",'Input Data'!$C:$C,0)),"VACANT")</f>
        <v>OPULENT TWO ENTERPRISES</v>
      </c>
      <c r="E135" s="530"/>
      <c r="F135" s="530"/>
      <c r="G135" s="530"/>
      <c r="H135" s="530"/>
      <c r="I135" s="530"/>
      <c r="J135" s="530"/>
      <c r="K135" s="530"/>
      <c r="L135" s="530"/>
      <c r="M135" s="530"/>
      <c r="N135" s="530"/>
      <c r="O135" s="530"/>
      <c r="P135" s="530"/>
      <c r="Q135" s="530"/>
      <c r="R135" s="530"/>
      <c r="S135" s="530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</row>
    <row r="136" spans="2:30" ht="15" customHeight="1" x14ac:dyDescent="0.35">
      <c r="B136" s="669"/>
      <c r="C136" s="683"/>
      <c r="D136" s="678" t="str">
        <f>"Suite "&amp;"LWR GROUND"</f>
        <v>Suite LWR GROUND</v>
      </c>
      <c r="E136" s="530"/>
      <c r="F136" s="530"/>
      <c r="G136" s="530"/>
      <c r="H136" s="530"/>
      <c r="I136" s="530"/>
      <c r="J136" s="530"/>
      <c r="K136" s="530"/>
      <c r="L136" s="530"/>
      <c r="M136" s="530"/>
      <c r="N136" s="530"/>
      <c r="O136" s="530"/>
      <c r="P136" s="530"/>
      <c r="Q136" s="530"/>
      <c r="R136" s="530"/>
      <c r="S136" s="530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</row>
    <row r="137" spans="2:30" ht="15" customHeight="1" x14ac:dyDescent="0.35">
      <c r="B137" s="669"/>
      <c r="C137" s="683"/>
      <c r="D137" s="678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530"/>
      <c r="F137" s="530"/>
      <c r="G137" s="530"/>
      <c r="H137" s="530"/>
      <c r="I137" s="530"/>
      <c r="J137" s="530"/>
      <c r="K137" s="530"/>
      <c r="L137" s="530"/>
      <c r="M137" s="530"/>
      <c r="N137" s="530"/>
      <c r="O137" s="530"/>
      <c r="P137" s="530"/>
      <c r="Q137" s="530"/>
      <c r="R137" s="530"/>
      <c r="S137" s="530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</row>
    <row r="138" spans="2:30" ht="15" customHeight="1" x14ac:dyDescent="0.35">
      <c r="B138" s="669"/>
      <c r="C138" s="683"/>
      <c r="D138" s="678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530"/>
      <c r="F138" s="530"/>
      <c r="G138" s="530"/>
      <c r="H138" s="530"/>
      <c r="I138" s="530"/>
      <c r="J138" s="530"/>
      <c r="K138" s="530"/>
      <c r="L138" s="530"/>
      <c r="M138" s="530"/>
      <c r="N138" s="530"/>
      <c r="O138" s="530"/>
      <c r="P138" s="530"/>
      <c r="Q138" s="530"/>
      <c r="R138" s="530"/>
      <c r="S138" s="530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</row>
    <row r="139" spans="2:30" ht="15" customHeight="1" x14ac:dyDescent="0.35">
      <c r="B139" s="669"/>
      <c r="C139" s="683"/>
      <c r="D139" s="678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530"/>
      <c r="F139" s="530"/>
      <c r="G139" s="530"/>
      <c r="H139" s="530"/>
      <c r="I139" s="530"/>
      <c r="J139" s="530"/>
      <c r="K139" s="530"/>
      <c r="L139" s="530"/>
      <c r="M139" s="530"/>
      <c r="N139" s="530"/>
      <c r="O139" s="530"/>
      <c r="P139" s="530"/>
      <c r="Q139" s="530"/>
      <c r="R139" s="530"/>
      <c r="S139" s="530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</row>
    <row r="140" spans="2:30" ht="15" customHeight="1" x14ac:dyDescent="0.35">
      <c r="B140" s="669"/>
      <c r="C140" s="683"/>
      <c r="D140" s="678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530"/>
      <c r="F140" s="530"/>
      <c r="G140" s="530"/>
      <c r="H140" s="530"/>
      <c r="I140" s="530"/>
      <c r="J140" s="530"/>
      <c r="K140" s="530"/>
      <c r="L140" s="530"/>
      <c r="M140" s="530"/>
      <c r="N140" s="530"/>
      <c r="O140" s="530"/>
      <c r="P140" s="530"/>
      <c r="Q140" s="530"/>
      <c r="R140" s="530"/>
      <c r="S140" s="530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</row>
    <row r="141" spans="2:30" ht="15" customHeight="1" x14ac:dyDescent="0.35">
      <c r="B141" s="669"/>
      <c r="C141" s="683"/>
      <c r="D141" s="678" t="str">
        <f ca="1">IFERROR(IF((INDEX('Input Data'!H:H,MATCH("LWR GROUND",'Input Data'!$C:$C,0))-TODAY())&gt;0,TEXT((INDEX('Input Data'!H:H,MATCH("LWR GROUND",'Input Data'!$C:$C,0))-TODAY())/365.25,"0.0")&amp;" yrs remaining","⚠ EXPIRED"),"—")</f>
        <v>2.7 yrs remaining</v>
      </c>
      <c r="E141" s="530"/>
      <c r="F141" s="530"/>
      <c r="G141" s="530"/>
      <c r="H141" s="530"/>
      <c r="I141" s="530"/>
      <c r="J141" s="530"/>
      <c r="K141" s="530"/>
      <c r="L141" s="530"/>
      <c r="M141" s="530"/>
      <c r="N141" s="530"/>
      <c r="O141" s="530"/>
      <c r="P141" s="530"/>
      <c r="Q141" s="530"/>
      <c r="R141" s="530"/>
      <c r="S141" s="530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</row>
    <row r="142" spans="2:30" ht="15" customHeight="1" x14ac:dyDescent="0.35">
      <c r="B142" s="669"/>
      <c r="C142" s="683"/>
      <c r="D142" s="678" t="str">
        <f>""</f>
        <v/>
      </c>
      <c r="E142" s="530"/>
      <c r="F142" s="530"/>
      <c r="G142" s="530"/>
      <c r="H142" s="530"/>
      <c r="I142" s="530"/>
      <c r="J142" s="530"/>
      <c r="K142" s="530"/>
      <c r="L142" s="530"/>
      <c r="M142" s="530"/>
      <c r="N142" s="530"/>
      <c r="O142" s="530"/>
      <c r="P142" s="530"/>
      <c r="Q142" s="530"/>
      <c r="R142" s="530"/>
      <c r="S142" s="530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</row>
    <row r="143" spans="2:30" ht="3.75" customHeight="1" x14ac:dyDescent="0.35">
      <c r="B143" s="669"/>
      <c r="C143" s="683"/>
      <c r="D143" s="673" t="str">
        <f>""</f>
        <v/>
      </c>
      <c r="E143" s="530"/>
      <c r="F143" s="530"/>
      <c r="G143" s="530"/>
      <c r="H143" s="530"/>
      <c r="I143" s="530"/>
      <c r="J143" s="530"/>
      <c r="K143" s="530"/>
      <c r="L143" s="530"/>
      <c r="M143" s="530"/>
      <c r="N143" s="530"/>
      <c r="O143" s="530"/>
      <c r="P143" s="530"/>
      <c r="Q143" s="530"/>
      <c r="R143" s="530"/>
      <c r="S143" s="530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</row>
    <row r="144" spans="2:30" ht="15" customHeight="1" x14ac:dyDescent="0.35">
      <c r="B144" s="92"/>
      <c r="C144" s="92"/>
    </row>
    <row r="145" spans="2:30" ht="7.5" customHeight="1" x14ac:dyDescent="0.35">
      <c r="B145" s="121"/>
      <c r="C145" s="121"/>
      <c r="D145" s="692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  <c r="AA145" s="693"/>
      <c r="AB145" s="693"/>
      <c r="AC145" s="693"/>
      <c r="AD145" s="693"/>
    </row>
    <row r="147" spans="2:30" ht="18" customHeight="1" x14ac:dyDescent="0.35">
      <c r="B147" s="574" t="s">
        <v>575</v>
      </c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30"/>
      <c r="O147" s="530"/>
      <c r="P147" s="530"/>
      <c r="Q147" s="530"/>
      <c r="R147" s="530"/>
      <c r="S147" s="530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</row>
    <row r="148" spans="2:30" ht="19.5" customHeight="1" x14ac:dyDescent="0.35">
      <c r="D148" s="706" t="s">
        <v>576</v>
      </c>
      <c r="E148" s="530"/>
      <c r="G148" s="708" t="s">
        <v>431</v>
      </c>
      <c r="H148" s="530"/>
      <c r="J148" s="688" t="s">
        <v>432</v>
      </c>
      <c r="K148" s="530"/>
      <c r="M148" s="707" t="s">
        <v>433</v>
      </c>
      <c r="N148" s="530"/>
      <c r="P148" s="697" t="s">
        <v>434</v>
      </c>
      <c r="Q148" s="530"/>
      <c r="S148" s="703" t="s">
        <v>435</v>
      </c>
      <c r="T148" s="530"/>
      <c r="V148" s="709" t="s">
        <v>280</v>
      </c>
      <c r="W148" s="530"/>
      <c r="Y148" s="685" t="s">
        <v>436</v>
      </c>
      <c r="Z148" s="530"/>
    </row>
    <row r="150" spans="2:30" ht="18" customHeight="1" x14ac:dyDescent="0.35">
      <c r="B150" s="574" t="s">
        <v>577</v>
      </c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30"/>
      <c r="O150" s="530"/>
      <c r="P150" s="530"/>
      <c r="Q150" s="530"/>
      <c r="R150" s="530"/>
      <c r="S150" s="530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</row>
    <row r="151" spans="2:30" ht="19.5" customHeight="1" x14ac:dyDescent="0.35">
      <c r="B151" s="121"/>
      <c r="C151" s="121"/>
      <c r="D151" s="684" t="s">
        <v>578</v>
      </c>
      <c r="E151" s="530"/>
      <c r="F151" s="530"/>
      <c r="G151" s="530"/>
      <c r="H151" s="684" t="s">
        <v>579</v>
      </c>
      <c r="I151" s="530"/>
      <c r="J151" s="530"/>
      <c r="K151" s="530"/>
      <c r="L151" s="684" t="s">
        <v>580</v>
      </c>
      <c r="M151" s="530"/>
      <c r="N151" s="530"/>
      <c r="O151" s="530"/>
      <c r="P151" s="684" t="s">
        <v>581</v>
      </c>
      <c r="Q151" s="530"/>
      <c r="R151" s="530"/>
      <c r="S151" s="530"/>
      <c r="T151" s="684" t="s">
        <v>582</v>
      </c>
      <c r="U151" s="530"/>
      <c r="V151" s="530"/>
      <c r="W151" s="530"/>
      <c r="X151" s="684" t="s">
        <v>583</v>
      </c>
      <c r="Y151" s="530"/>
      <c r="Z151" s="530"/>
      <c r="AA151" s="530"/>
    </row>
  </sheetData>
  <mergeCells count="274">
    <mergeCell ref="D111:AD111"/>
    <mergeCell ref="X117:AD117"/>
    <mergeCell ref="D57:R57"/>
    <mergeCell ref="P96:AD96"/>
    <mergeCell ref="C75:C83"/>
    <mergeCell ref="D108:AD108"/>
    <mergeCell ref="Q123:W123"/>
    <mergeCell ref="X122:AD122"/>
    <mergeCell ref="D71:S71"/>
    <mergeCell ref="D85:S85"/>
    <mergeCell ref="D7:AD7"/>
    <mergeCell ref="U50:AD50"/>
    <mergeCell ref="B65:B73"/>
    <mergeCell ref="D18:I18"/>
    <mergeCell ref="D88:S88"/>
    <mergeCell ref="D102:O102"/>
    <mergeCell ref="T65:AD65"/>
    <mergeCell ref="S80:AD80"/>
    <mergeCell ref="Q116:W116"/>
    <mergeCell ref="D49:T49"/>
    <mergeCell ref="B5:B13"/>
    <mergeCell ref="D90:S90"/>
    <mergeCell ref="D83:R83"/>
    <mergeCell ref="U49:AD49"/>
    <mergeCell ref="D55:R55"/>
    <mergeCell ref="D8:AD8"/>
    <mergeCell ref="T21:AD21"/>
    <mergeCell ref="D41:I41"/>
    <mergeCell ref="C55:C63"/>
    <mergeCell ref="D16:I16"/>
    <mergeCell ref="U51:AD51"/>
    <mergeCell ref="J36:AD36"/>
    <mergeCell ref="D32:AD32"/>
    <mergeCell ref="D73:S73"/>
    <mergeCell ref="C15:C23"/>
    <mergeCell ref="B35:B43"/>
    <mergeCell ref="J39:AD39"/>
    <mergeCell ref="T70:AD70"/>
    <mergeCell ref="D60:R60"/>
    <mergeCell ref="J15:S15"/>
    <mergeCell ref="Q122:W122"/>
    <mergeCell ref="P100:AD100"/>
    <mergeCell ref="D138:AD138"/>
    <mergeCell ref="J38:AD38"/>
    <mergeCell ref="D66:S66"/>
    <mergeCell ref="T90:AD90"/>
    <mergeCell ref="D22:I22"/>
    <mergeCell ref="D96:O96"/>
    <mergeCell ref="D21:I21"/>
    <mergeCell ref="J16:S16"/>
    <mergeCell ref="S77:AD77"/>
    <mergeCell ref="D43:I43"/>
    <mergeCell ref="D123:P123"/>
    <mergeCell ref="X120:AD120"/>
    <mergeCell ref="Q119:W119"/>
    <mergeCell ref="D121:P121"/>
    <mergeCell ref="D117:P117"/>
    <mergeCell ref="D136:AD136"/>
    <mergeCell ref="C125:C133"/>
    <mergeCell ref="D118:P118"/>
    <mergeCell ref="X115:AD115"/>
    <mergeCell ref="C95:C103"/>
    <mergeCell ref="D87:S87"/>
    <mergeCell ref="A2:AE2"/>
    <mergeCell ref="D122:P122"/>
    <mergeCell ref="D6:AD6"/>
    <mergeCell ref="D11:AD11"/>
    <mergeCell ref="T91:AD91"/>
    <mergeCell ref="P95:AD95"/>
    <mergeCell ref="D13:AD13"/>
    <mergeCell ref="Q120:W120"/>
    <mergeCell ref="C115:C123"/>
    <mergeCell ref="D46:T46"/>
    <mergeCell ref="D4:AD4"/>
    <mergeCell ref="B25:B33"/>
    <mergeCell ref="D10:AD10"/>
    <mergeCell ref="D93:S93"/>
    <mergeCell ref="S82:AD82"/>
    <mergeCell ref="X123:AD123"/>
    <mergeCell ref="C65:C73"/>
    <mergeCell ref="U52:AD52"/>
    <mergeCell ref="D59:R59"/>
    <mergeCell ref="C45:C53"/>
    <mergeCell ref="X121:AD121"/>
    <mergeCell ref="D95:O95"/>
    <mergeCell ref="D105:AD105"/>
    <mergeCell ref="D131:AD131"/>
    <mergeCell ref="D50:T50"/>
    <mergeCell ref="D77:R77"/>
    <mergeCell ref="D141:AD141"/>
    <mergeCell ref="D78:R78"/>
    <mergeCell ref="S78:AD78"/>
    <mergeCell ref="D89:S89"/>
    <mergeCell ref="T93:AD93"/>
    <mergeCell ref="C105:C113"/>
    <mergeCell ref="D135:AD135"/>
    <mergeCell ref="P98:AD98"/>
    <mergeCell ref="C135:C143"/>
    <mergeCell ref="T68:AD68"/>
    <mergeCell ref="D125:AD125"/>
    <mergeCell ref="D115:P115"/>
    <mergeCell ref="D112:AD112"/>
    <mergeCell ref="D58:R58"/>
    <mergeCell ref="Q115:W115"/>
    <mergeCell ref="S55:AD55"/>
    <mergeCell ref="D127:AD127"/>
    <mergeCell ref="L151:O151"/>
    <mergeCell ref="S61:AD61"/>
    <mergeCell ref="T66:AD66"/>
    <mergeCell ref="S148:T148"/>
    <mergeCell ref="D19:I19"/>
    <mergeCell ref="S81:AD81"/>
    <mergeCell ref="S56:AD56"/>
    <mergeCell ref="D26:AD26"/>
    <mergeCell ref="J35:AD35"/>
    <mergeCell ref="D35:I35"/>
    <mergeCell ref="J40:AD40"/>
    <mergeCell ref="D151:G151"/>
    <mergeCell ref="B147:AD147"/>
    <mergeCell ref="T23:AD23"/>
    <mergeCell ref="B115:B123"/>
    <mergeCell ref="P151:S151"/>
    <mergeCell ref="D148:E148"/>
    <mergeCell ref="M148:N148"/>
    <mergeCell ref="B150:AD150"/>
    <mergeCell ref="G148:H148"/>
    <mergeCell ref="V148:W148"/>
    <mergeCell ref="B75:B83"/>
    <mergeCell ref="X151:AA151"/>
    <mergeCell ref="T72:AD72"/>
    <mergeCell ref="D12:AD12"/>
    <mergeCell ref="T71:AD71"/>
    <mergeCell ref="X119:AD119"/>
    <mergeCell ref="D9:AD9"/>
    <mergeCell ref="D48:T48"/>
    <mergeCell ref="T92:AD92"/>
    <mergeCell ref="J43:AD43"/>
    <mergeCell ref="J19:S19"/>
    <mergeCell ref="D30:AD30"/>
    <mergeCell ref="D15:I15"/>
    <mergeCell ref="T15:AD15"/>
    <mergeCell ref="D45:T45"/>
    <mergeCell ref="J17:S17"/>
    <mergeCell ref="P103:AD103"/>
    <mergeCell ref="U53:AD53"/>
    <mergeCell ref="D91:S91"/>
    <mergeCell ref="D51:T51"/>
    <mergeCell ref="D36:I36"/>
    <mergeCell ref="J37:AD37"/>
    <mergeCell ref="S58:AD58"/>
    <mergeCell ref="D42:I42"/>
    <mergeCell ref="D82:R82"/>
    <mergeCell ref="D65:S65"/>
    <mergeCell ref="S79:AD79"/>
    <mergeCell ref="D143:AD143"/>
    <mergeCell ref="D38:I38"/>
    <mergeCell ref="Q121:W121"/>
    <mergeCell ref="P148:Q148"/>
    <mergeCell ref="J41:AD41"/>
    <mergeCell ref="D28:AD28"/>
    <mergeCell ref="D62:R62"/>
    <mergeCell ref="D69:S69"/>
    <mergeCell ref="D56:R56"/>
    <mergeCell ref="P97:AD97"/>
    <mergeCell ref="U46:AD46"/>
    <mergeCell ref="S57:AD57"/>
    <mergeCell ref="J42:AD42"/>
    <mergeCell ref="D140:AD140"/>
    <mergeCell ref="T67:AD67"/>
    <mergeCell ref="D126:AD126"/>
    <mergeCell ref="D129:AD129"/>
    <mergeCell ref="D139:AD139"/>
    <mergeCell ref="S63:AD63"/>
    <mergeCell ref="D33:AD33"/>
    <mergeCell ref="U45:AD45"/>
    <mergeCell ref="T73:AD73"/>
    <mergeCell ref="D113:AD113"/>
    <mergeCell ref="D101:O101"/>
    <mergeCell ref="A1:AE1"/>
    <mergeCell ref="X116:AD116"/>
    <mergeCell ref="U48:AD48"/>
    <mergeCell ref="D133:AD133"/>
    <mergeCell ref="T85:AD85"/>
    <mergeCell ref="D79:R79"/>
    <mergeCell ref="D29:AD29"/>
    <mergeCell ref="D142:AD142"/>
    <mergeCell ref="Q118:W118"/>
    <mergeCell ref="T17:AD17"/>
    <mergeCell ref="T69:AD69"/>
    <mergeCell ref="C5:C13"/>
    <mergeCell ref="T22:AD22"/>
    <mergeCell ref="D63:R63"/>
    <mergeCell ref="D100:O100"/>
    <mergeCell ref="D116:P116"/>
    <mergeCell ref="X118:AD118"/>
    <mergeCell ref="D81:R81"/>
    <mergeCell ref="J20:S20"/>
    <mergeCell ref="T19:AD19"/>
    <mergeCell ref="S62:AD62"/>
    <mergeCell ref="D128:AD128"/>
    <mergeCell ref="T86:AD86"/>
    <mergeCell ref="C35:C43"/>
    <mergeCell ref="B105:B113"/>
    <mergeCell ref="J22:S22"/>
    <mergeCell ref="P99:AD99"/>
    <mergeCell ref="C85:C93"/>
    <mergeCell ref="D76:R76"/>
    <mergeCell ref="D17:I17"/>
    <mergeCell ref="T20:AD20"/>
    <mergeCell ref="J21:S21"/>
    <mergeCell ref="D145:AD145"/>
    <mergeCell ref="D27:AD27"/>
    <mergeCell ref="B85:B93"/>
    <mergeCell ref="B135:B143"/>
    <mergeCell ref="B125:B133"/>
    <mergeCell ref="D109:AD109"/>
    <mergeCell ref="B15:B23"/>
    <mergeCell ref="B95:B103"/>
    <mergeCell ref="D61:R61"/>
    <mergeCell ref="D97:O97"/>
    <mergeCell ref="D107:AD107"/>
    <mergeCell ref="D75:R75"/>
    <mergeCell ref="D92:S92"/>
    <mergeCell ref="D67:S67"/>
    <mergeCell ref="J18:S18"/>
    <mergeCell ref="D20:I20"/>
    <mergeCell ref="H151:K151"/>
    <mergeCell ref="D68:S68"/>
    <mergeCell ref="P101:AD101"/>
    <mergeCell ref="T151:W151"/>
    <mergeCell ref="Y148:Z148"/>
    <mergeCell ref="D103:O103"/>
    <mergeCell ref="T87:AD87"/>
    <mergeCell ref="J23:S23"/>
    <mergeCell ref="D52:T52"/>
    <mergeCell ref="D37:I37"/>
    <mergeCell ref="D106:AD106"/>
    <mergeCell ref="D137:AD137"/>
    <mergeCell ref="S83:AD83"/>
    <mergeCell ref="D39:I39"/>
    <mergeCell ref="T89:AD89"/>
    <mergeCell ref="P102:AD102"/>
    <mergeCell ref="J148:K148"/>
    <mergeCell ref="D119:P119"/>
    <mergeCell ref="Q117:W117"/>
    <mergeCell ref="D130:AD130"/>
    <mergeCell ref="D110:AD110"/>
    <mergeCell ref="D132:AD132"/>
    <mergeCell ref="D120:P120"/>
    <mergeCell ref="D99:O99"/>
    <mergeCell ref="D3:AD3"/>
    <mergeCell ref="B55:B63"/>
    <mergeCell ref="T88:AD88"/>
    <mergeCell ref="D98:O98"/>
    <mergeCell ref="D25:AD25"/>
    <mergeCell ref="D23:I23"/>
    <mergeCell ref="D53:T53"/>
    <mergeCell ref="S76:AD76"/>
    <mergeCell ref="D47:T47"/>
    <mergeCell ref="B45:B53"/>
    <mergeCell ref="S60:AD60"/>
    <mergeCell ref="D5:AD5"/>
    <mergeCell ref="D86:S86"/>
    <mergeCell ref="S75:AD75"/>
    <mergeCell ref="T16:AD16"/>
    <mergeCell ref="S59:AD59"/>
    <mergeCell ref="D70:S70"/>
    <mergeCell ref="D40:I40"/>
    <mergeCell ref="D80:R80"/>
    <mergeCell ref="U47:AD47"/>
    <mergeCell ref="C25:C33"/>
    <mergeCell ref="D72:S72"/>
    <mergeCell ref="T18:AD18"/>
    <mergeCell ref="D31:AD3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3"/>
  <sheetViews>
    <sheetView showGridLines="0" workbookViewId="0">
      <pane ySplit="4" topLeftCell="A21" activePane="bottomLeft" state="frozen"/>
      <selection pane="bottomLeft" sqref="A1:M1"/>
    </sheetView>
  </sheetViews>
  <sheetFormatPr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720" t="s">
        <v>584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</row>
    <row r="2" spans="1:13" ht="24" customHeight="1" x14ac:dyDescent="0.35">
      <c r="A2" s="718" t="s">
        <v>585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524"/>
      <c r="M2" s="524"/>
    </row>
    <row r="3" spans="1:13" ht="30" customHeight="1" x14ac:dyDescent="0.35">
      <c r="A3" s="717" t="s">
        <v>586</v>
      </c>
      <c r="B3" s="530"/>
      <c r="C3" s="530"/>
      <c r="D3" s="530"/>
      <c r="E3" s="530"/>
      <c r="F3" s="530"/>
      <c r="G3" s="530"/>
      <c r="H3" s="530"/>
      <c r="I3" s="530"/>
      <c r="J3" s="530"/>
      <c r="K3" s="530"/>
      <c r="L3" s="530"/>
      <c r="M3" s="526"/>
    </row>
    <row r="4" spans="1:13" ht="36" customHeight="1" x14ac:dyDescent="0.35">
      <c r="B4" s="164" t="s">
        <v>352</v>
      </c>
      <c r="C4" s="164" t="s">
        <v>587</v>
      </c>
      <c r="D4" s="164" t="s">
        <v>588</v>
      </c>
      <c r="E4" s="164" t="s">
        <v>589</v>
      </c>
      <c r="F4" s="164" t="s">
        <v>590</v>
      </c>
      <c r="G4" s="164" t="s">
        <v>591</v>
      </c>
      <c r="H4" s="164" t="s">
        <v>592</v>
      </c>
      <c r="I4" s="164" t="s">
        <v>593</v>
      </c>
      <c r="J4" s="164" t="s">
        <v>594</v>
      </c>
      <c r="K4" s="164" t="s">
        <v>595</v>
      </c>
      <c r="L4" s="164" t="s">
        <v>596</v>
      </c>
      <c r="M4" s="164" t="s">
        <v>193</v>
      </c>
    </row>
    <row r="5" spans="1:13" ht="20" customHeight="1" x14ac:dyDescent="0.35">
      <c r="A5" s="303" t="s">
        <v>597</v>
      </c>
      <c r="B5" s="304">
        <f ca="1">TODAY()</f>
        <v>46150</v>
      </c>
      <c r="C5" s="305">
        <f ca="1">SUMPRODUCT(('Input Data'!K3:K26&gt;0)*('Input Data'!Y3:Y26&lt;&gt;"EXPIRED")*'Input Data'!F3:F26)</f>
        <v>4168.4000000000005</v>
      </c>
      <c r="D5" s="306">
        <f ca="1">IFERROR(C5/SUM('Input Data'!F3:F27),0)</f>
        <v>0.88604527579976633</v>
      </c>
      <c r="E5" s="307">
        <f ca="1">SUMPRODUCT(('Input Data'!K3:K26&gt;0)*('Input Data'!Y3:Y26&lt;&gt;"EXPIRED")*'Input Data'!K3:K26)</f>
        <v>4688787.5659999996</v>
      </c>
      <c r="F5" s="307">
        <f ca="1">SUMPRODUCT(('Input Data'!K3:K26&gt;0)*('Input Data'!Y3:Y26&lt;&gt;"EXPIRED")*'Input Data'!N3:N26)</f>
        <v>3894924.4459999995</v>
      </c>
      <c r="G5" s="307">
        <f ca="1">IFERROR(SUMPRODUCT(('Input Data'!K3:K26&gt;0)*('Input Data'!Y3:Y26&lt;&gt;"EXPIRED")*'Input Data'!J3:J26*'Input Data'!F3:F26)/SUMPRODUCT(('Input Data'!K3:K26&gt;0)*('Input Data'!Y3:Y26&lt;&gt;"EXPIRED")*'Input Data'!F3:F26),0)</f>
        <v>1124.8410819499086</v>
      </c>
      <c r="H5" s="307">
        <f ca="1">IFERROR(SUMPRODUCT(('Input Data'!K3:K26&gt;0)*('Input Data'!Y3:Y26&lt;&gt;"EXPIRED")*('Input Data'!K3:K26+'Input Data'!L3:L26))/SUMPRODUCT(('Input Data'!K3:K26&gt;0)*('Input Data'!Y3:Y26&lt;&gt;"EXPIRED")*'Input Data'!F3:F26),0)</f>
        <v>934.39315948565377</v>
      </c>
      <c r="I5" s="307">
        <f ca="1">IFERROR((E5-F5)/C5,0)</f>
        <v>190.44792246425487</v>
      </c>
      <c r="J5" s="308">
        <f ca="1">IFERROR((E5-F5)/E5,0)</f>
        <v>0.16931095913932478</v>
      </c>
      <c r="K5" s="309">
        <f ca="1">IFERROR(SUMPRODUCT(('Input Data'!K3:K26&gt;0)*('Input Data'!Y3:Y26&lt;&gt;"EXPIRED")*'Input Data'!F3:F26*MAX(('Input Data'!H3:H26-TODAY())/365.25,0))/SUMPRODUCT(('Input Data'!K3:K26&gt;0)*('Input Data'!Y3:Y26&lt;&gt;"EXPIRED")*'Input Data'!F3:F26),0)</f>
        <v>0</v>
      </c>
      <c r="L5" s="309">
        <f ca="1">IFERROR(SUMPRODUCT(('Input Data'!K3:K26&gt;0)*('Input Data'!Y3:Y26&lt;&gt;"EXPIRED")*'Input Data'!N3:N26*MAX(('Input Data'!H3:H26-TODAY())/365.25,0))/SUMPRODUCT(('Input Data'!K3:K26&gt;0)*('Input Data'!Y3:Y26&lt;&gt;"EXPIRED")*'Input Data'!N3:N26),0)</f>
        <v>0</v>
      </c>
      <c r="M5" s="310" t="str">
        <f>" ← Live (recalculates each month)"</f>
        <v xml:space="preserve"> ← Live (recalculates each month)</v>
      </c>
    </row>
    <row r="6" spans="1:13" ht="18" customHeight="1" x14ac:dyDescent="0.35">
      <c r="A6" s="311">
        <v>1</v>
      </c>
      <c r="B6" s="312">
        <v>46142</v>
      </c>
      <c r="C6" s="313">
        <v>4544.2</v>
      </c>
      <c r="D6" s="314">
        <v>0.96589999999999998</v>
      </c>
      <c r="E6" s="315">
        <v>4460629</v>
      </c>
      <c r="F6" s="315">
        <v>4009966</v>
      </c>
      <c r="G6" s="315">
        <v>980</v>
      </c>
      <c r="H6" s="315">
        <v>882</v>
      </c>
      <c r="I6" s="315">
        <v>98</v>
      </c>
      <c r="J6" s="316">
        <v>9.8199999999999996E-2</v>
      </c>
      <c r="K6" s="317">
        <v>2.44</v>
      </c>
      <c r="L6" s="317">
        <v>2.5099999999999998</v>
      </c>
      <c r="M6" s="318" t="s">
        <v>598</v>
      </c>
    </row>
    <row r="7" spans="1:13" ht="18" customHeight="1" x14ac:dyDescent="0.35">
      <c r="A7" s="311">
        <v>2</v>
      </c>
      <c r="B7" s="319"/>
      <c r="C7" s="320"/>
      <c r="D7" s="321"/>
      <c r="E7" s="322"/>
      <c r="F7" s="322"/>
      <c r="G7" s="322"/>
      <c r="H7" s="322"/>
      <c r="I7" s="322"/>
      <c r="J7" s="323"/>
      <c r="K7" s="324"/>
      <c r="L7" s="324"/>
      <c r="M7" s="325"/>
    </row>
    <row r="8" spans="1:13" ht="18" customHeight="1" x14ac:dyDescent="0.35">
      <c r="A8" s="311">
        <v>3</v>
      </c>
      <c r="B8" s="319"/>
      <c r="C8" s="320"/>
      <c r="D8" s="321"/>
      <c r="E8" s="322"/>
      <c r="F8" s="322"/>
      <c r="G8" s="322"/>
      <c r="H8" s="322"/>
      <c r="I8" s="322"/>
      <c r="J8" s="323"/>
      <c r="K8" s="324"/>
      <c r="L8" s="324"/>
      <c r="M8" s="325"/>
    </row>
    <row r="9" spans="1:13" ht="18" customHeight="1" x14ac:dyDescent="0.35">
      <c r="A9" s="311">
        <v>4</v>
      </c>
      <c r="B9" s="319"/>
      <c r="C9" s="320"/>
      <c r="D9" s="321"/>
      <c r="E9" s="322"/>
      <c r="F9" s="322"/>
      <c r="G9" s="322"/>
      <c r="H9" s="322"/>
      <c r="I9" s="322"/>
      <c r="J9" s="323"/>
      <c r="K9" s="324"/>
      <c r="L9" s="324"/>
      <c r="M9" s="325"/>
    </row>
    <row r="10" spans="1:13" ht="18" customHeight="1" x14ac:dyDescent="0.35">
      <c r="A10" s="311">
        <v>5</v>
      </c>
      <c r="B10" s="319"/>
      <c r="C10" s="320"/>
      <c r="D10" s="321"/>
      <c r="E10" s="322"/>
      <c r="F10" s="322"/>
      <c r="G10" s="322"/>
      <c r="H10" s="322"/>
      <c r="I10" s="322"/>
      <c r="J10" s="323"/>
      <c r="K10" s="324"/>
      <c r="L10" s="324"/>
      <c r="M10" s="325"/>
    </row>
    <row r="11" spans="1:13" ht="18" customHeight="1" x14ac:dyDescent="0.35">
      <c r="A11" s="311">
        <v>6</v>
      </c>
      <c r="B11" s="319"/>
      <c r="C11" s="320"/>
      <c r="D11" s="321"/>
      <c r="E11" s="322"/>
      <c r="F11" s="322"/>
      <c r="G11" s="322"/>
      <c r="H11" s="322"/>
      <c r="I11" s="322"/>
      <c r="J11" s="323"/>
      <c r="K11" s="324"/>
      <c r="L11" s="324"/>
      <c r="M11" s="325"/>
    </row>
    <row r="12" spans="1:13" ht="18" customHeight="1" x14ac:dyDescent="0.35">
      <c r="A12" s="311">
        <v>7</v>
      </c>
      <c r="B12" s="319"/>
      <c r="C12" s="320"/>
      <c r="D12" s="321"/>
      <c r="E12" s="322"/>
      <c r="F12" s="322"/>
      <c r="G12" s="322"/>
      <c r="H12" s="322"/>
      <c r="I12" s="322"/>
      <c r="J12" s="323"/>
      <c r="K12" s="324"/>
      <c r="L12" s="324"/>
      <c r="M12" s="325"/>
    </row>
    <row r="13" spans="1:13" ht="18" customHeight="1" x14ac:dyDescent="0.35">
      <c r="A13" s="311">
        <v>8</v>
      </c>
      <c r="B13" s="319"/>
      <c r="C13" s="320"/>
      <c r="D13" s="321"/>
      <c r="E13" s="322"/>
      <c r="F13" s="322"/>
      <c r="G13" s="322"/>
      <c r="H13" s="322"/>
      <c r="I13" s="322"/>
      <c r="J13" s="323"/>
      <c r="K13" s="324"/>
      <c r="L13" s="324"/>
      <c r="M13" s="325"/>
    </row>
    <row r="14" spans="1:13" ht="18" customHeight="1" x14ac:dyDescent="0.35">
      <c r="A14" s="311">
        <v>9</v>
      </c>
      <c r="B14" s="319"/>
      <c r="C14" s="320"/>
      <c r="D14" s="321"/>
      <c r="E14" s="322"/>
      <c r="F14" s="322"/>
      <c r="G14" s="322"/>
      <c r="H14" s="322"/>
      <c r="I14" s="322"/>
      <c r="J14" s="323"/>
      <c r="K14" s="324"/>
      <c r="L14" s="324"/>
      <c r="M14" s="325"/>
    </row>
    <row r="15" spans="1:13" ht="18" customHeight="1" x14ac:dyDescent="0.35">
      <c r="A15" s="311">
        <v>10</v>
      </c>
      <c r="B15" s="319"/>
      <c r="C15" s="320"/>
      <c r="D15" s="321"/>
      <c r="E15" s="322"/>
      <c r="F15" s="322"/>
      <c r="G15" s="322"/>
      <c r="H15" s="322"/>
      <c r="I15" s="322"/>
      <c r="J15" s="323"/>
      <c r="K15" s="324"/>
      <c r="L15" s="324"/>
      <c r="M15" s="325"/>
    </row>
    <row r="16" spans="1:13" ht="18" customHeight="1" x14ac:dyDescent="0.35">
      <c r="A16" s="311">
        <v>11</v>
      </c>
      <c r="B16" s="319"/>
      <c r="C16" s="320"/>
      <c r="D16" s="321"/>
      <c r="E16" s="322"/>
      <c r="F16" s="322"/>
      <c r="G16" s="322"/>
      <c r="H16" s="322"/>
      <c r="I16" s="322"/>
      <c r="J16" s="323"/>
      <c r="K16" s="324"/>
      <c r="L16" s="324"/>
      <c r="M16" s="325"/>
    </row>
    <row r="17" spans="1:13" ht="18" customHeight="1" x14ac:dyDescent="0.35">
      <c r="A17" s="311">
        <v>12</v>
      </c>
      <c r="B17" s="319"/>
      <c r="C17" s="320"/>
      <c r="D17" s="321"/>
      <c r="E17" s="322"/>
      <c r="F17" s="322"/>
      <c r="G17" s="322"/>
      <c r="H17" s="322"/>
      <c r="I17" s="322"/>
      <c r="J17" s="323"/>
      <c r="K17" s="324"/>
      <c r="L17" s="324"/>
      <c r="M17" s="325"/>
    </row>
    <row r="18" spans="1:13" ht="18" customHeight="1" x14ac:dyDescent="0.35">
      <c r="A18" s="311">
        <v>13</v>
      </c>
      <c r="B18" s="319"/>
      <c r="C18" s="320"/>
      <c r="D18" s="321"/>
      <c r="E18" s="322"/>
      <c r="F18" s="322"/>
      <c r="G18" s="322"/>
      <c r="H18" s="322"/>
      <c r="I18" s="322"/>
      <c r="J18" s="323"/>
      <c r="K18" s="324"/>
      <c r="L18" s="324"/>
      <c r="M18" s="325"/>
    </row>
    <row r="19" spans="1:13" ht="18" customHeight="1" x14ac:dyDescent="0.35">
      <c r="A19" s="311">
        <v>14</v>
      </c>
      <c r="B19" s="319"/>
      <c r="C19" s="320"/>
      <c r="D19" s="321"/>
      <c r="E19" s="322"/>
      <c r="F19" s="322"/>
      <c r="G19" s="322"/>
      <c r="H19" s="322"/>
      <c r="I19" s="322"/>
      <c r="J19" s="323"/>
      <c r="K19" s="324"/>
      <c r="L19" s="324"/>
      <c r="M19" s="325"/>
    </row>
    <row r="20" spans="1:13" ht="18" customHeight="1" x14ac:dyDescent="0.35">
      <c r="A20" s="311">
        <v>15</v>
      </c>
      <c r="B20" s="319"/>
      <c r="C20" s="320"/>
      <c r="D20" s="321"/>
      <c r="E20" s="322"/>
      <c r="F20" s="322"/>
      <c r="G20" s="322"/>
      <c r="H20" s="322"/>
      <c r="I20" s="322"/>
      <c r="J20" s="323"/>
      <c r="K20" s="324"/>
      <c r="L20" s="324"/>
      <c r="M20" s="325"/>
    </row>
    <row r="21" spans="1:13" ht="18" customHeight="1" x14ac:dyDescent="0.35">
      <c r="A21" s="311">
        <v>16</v>
      </c>
      <c r="B21" s="319"/>
      <c r="C21" s="320"/>
      <c r="D21" s="321"/>
      <c r="E21" s="322"/>
      <c r="F21" s="322"/>
      <c r="G21" s="322"/>
      <c r="H21" s="322"/>
      <c r="I21" s="322"/>
      <c r="J21" s="323"/>
      <c r="K21" s="324"/>
      <c r="L21" s="324"/>
      <c r="M21" s="325"/>
    </row>
    <row r="22" spans="1:13" ht="18" customHeight="1" x14ac:dyDescent="0.35">
      <c r="A22" s="311">
        <v>17</v>
      </c>
      <c r="B22" s="319"/>
      <c r="C22" s="320"/>
      <c r="D22" s="321"/>
      <c r="E22" s="322"/>
      <c r="F22" s="322"/>
      <c r="G22" s="322"/>
      <c r="H22" s="322"/>
      <c r="I22" s="322"/>
      <c r="J22" s="323"/>
      <c r="K22" s="324"/>
      <c r="L22" s="324"/>
      <c r="M22" s="325"/>
    </row>
    <row r="23" spans="1:13" ht="18" customHeight="1" x14ac:dyDescent="0.35">
      <c r="A23" s="311">
        <v>18</v>
      </c>
      <c r="B23" s="319"/>
      <c r="C23" s="320"/>
      <c r="D23" s="321"/>
      <c r="E23" s="322"/>
      <c r="F23" s="322"/>
      <c r="G23" s="322"/>
      <c r="H23" s="322"/>
      <c r="I23" s="322"/>
      <c r="J23" s="323"/>
      <c r="K23" s="324"/>
      <c r="L23" s="324"/>
      <c r="M23" s="325"/>
    </row>
    <row r="24" spans="1:13" ht="18" customHeight="1" x14ac:dyDescent="0.35">
      <c r="A24" s="311">
        <v>19</v>
      </c>
      <c r="B24" s="319"/>
      <c r="C24" s="320"/>
      <c r="D24" s="321"/>
      <c r="E24" s="322"/>
      <c r="F24" s="322"/>
      <c r="G24" s="322"/>
      <c r="H24" s="322"/>
      <c r="I24" s="322"/>
      <c r="J24" s="323"/>
      <c r="K24" s="324"/>
      <c r="L24" s="324"/>
      <c r="M24" s="325"/>
    </row>
    <row r="25" spans="1:13" ht="18" customHeight="1" x14ac:dyDescent="0.35">
      <c r="A25" s="311">
        <v>20</v>
      </c>
      <c r="B25" s="319"/>
      <c r="C25" s="320"/>
      <c r="D25" s="321"/>
      <c r="E25" s="322"/>
      <c r="F25" s="322"/>
      <c r="G25" s="322"/>
      <c r="H25" s="322"/>
      <c r="I25" s="322"/>
      <c r="J25" s="323"/>
      <c r="K25" s="324"/>
      <c r="L25" s="324"/>
      <c r="M25" s="325"/>
    </row>
    <row r="26" spans="1:13" ht="18" customHeight="1" x14ac:dyDescent="0.35">
      <c r="A26" s="311">
        <v>21</v>
      </c>
      <c r="B26" s="319"/>
      <c r="C26" s="320"/>
      <c r="D26" s="321"/>
      <c r="E26" s="322"/>
      <c r="F26" s="322"/>
      <c r="G26" s="322"/>
      <c r="H26" s="322"/>
      <c r="I26" s="322"/>
      <c r="J26" s="323"/>
      <c r="K26" s="324"/>
      <c r="L26" s="324"/>
      <c r="M26" s="325"/>
    </row>
    <row r="27" spans="1:13" ht="18" customHeight="1" x14ac:dyDescent="0.35">
      <c r="A27" s="311">
        <v>22</v>
      </c>
      <c r="B27" s="319"/>
      <c r="C27" s="320"/>
      <c r="D27" s="321"/>
      <c r="E27" s="322"/>
      <c r="F27" s="322"/>
      <c r="G27" s="322"/>
      <c r="H27" s="322"/>
      <c r="I27" s="322"/>
      <c r="J27" s="323"/>
      <c r="K27" s="324"/>
      <c r="L27" s="324"/>
      <c r="M27" s="325"/>
    </row>
    <row r="28" spans="1:13" ht="18" customHeight="1" x14ac:dyDescent="0.35">
      <c r="A28" s="311">
        <v>23</v>
      </c>
      <c r="B28" s="319"/>
      <c r="C28" s="320"/>
      <c r="D28" s="321"/>
      <c r="E28" s="322"/>
      <c r="F28" s="322"/>
      <c r="G28" s="322"/>
      <c r="H28" s="322"/>
      <c r="I28" s="322"/>
      <c r="J28" s="323"/>
      <c r="K28" s="324"/>
      <c r="L28" s="324"/>
      <c r="M28" s="325"/>
    </row>
    <row r="29" spans="1:13" ht="18" customHeight="1" x14ac:dyDescent="0.35">
      <c r="A29" s="311">
        <v>24</v>
      </c>
      <c r="B29" s="319"/>
      <c r="C29" s="320"/>
      <c r="D29" s="321"/>
      <c r="E29" s="322"/>
      <c r="F29" s="322"/>
      <c r="G29" s="322"/>
      <c r="H29" s="322"/>
      <c r="I29" s="322"/>
      <c r="J29" s="323"/>
      <c r="K29" s="324"/>
      <c r="L29" s="324"/>
      <c r="M29" s="325"/>
    </row>
    <row r="30" spans="1:13" ht="18" customHeight="1" x14ac:dyDescent="0.35">
      <c r="A30" s="311">
        <v>25</v>
      </c>
      <c r="B30" s="319"/>
      <c r="C30" s="320"/>
      <c r="D30" s="321"/>
      <c r="E30" s="322"/>
      <c r="F30" s="322"/>
      <c r="G30" s="322"/>
      <c r="H30" s="322"/>
      <c r="I30" s="322"/>
      <c r="J30" s="323"/>
      <c r="K30" s="324"/>
      <c r="L30" s="324"/>
      <c r="M30" s="325"/>
    </row>
    <row r="32" spans="1:13" ht="8" customHeight="1" x14ac:dyDescent="0.35"/>
    <row r="33" spans="2:12" ht="20" customHeight="1" x14ac:dyDescent="0.35">
      <c r="B33" s="719" t="s">
        <v>599</v>
      </c>
      <c r="C33" s="530"/>
      <c r="D33" s="530"/>
      <c r="E33" s="530"/>
      <c r="F33" s="530"/>
      <c r="G33" s="530"/>
      <c r="H33" s="530"/>
      <c r="I33" s="530"/>
      <c r="J33" s="530"/>
      <c r="K33" s="530"/>
      <c r="L33" s="526"/>
    </row>
  </sheetData>
  <mergeCells count="4">
    <mergeCell ref="A3:M3"/>
    <mergeCell ref="A2:M2"/>
    <mergeCell ref="B33:L33"/>
    <mergeCell ref="A1:M1"/>
  </mergeCells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64"/>
  <sheetViews>
    <sheetView zoomScale="85" zoomScaleNormal="85" workbookViewId="0">
      <selection activeCell="C12" sqref="C12"/>
    </sheetView>
  </sheetViews>
  <sheetFormatPr defaultRowHeight="14.5" x14ac:dyDescent="0.35"/>
  <cols>
    <col min="1" max="1" width="3" style="382" customWidth="1"/>
    <col min="2" max="2" width="34" style="382" customWidth="1"/>
    <col min="3" max="4" width="18.81640625" style="382" customWidth="1"/>
    <col min="5" max="5" width="19.453125" style="382" customWidth="1"/>
    <col min="6" max="6" width="24.54296875" style="382" customWidth="1"/>
    <col min="7" max="7" width="14.453125" style="382" customWidth="1"/>
    <col min="8" max="9" width="14" style="382" customWidth="1"/>
    <col min="10" max="11" width="14.1796875" style="382" customWidth="1"/>
    <col min="12" max="12" width="16.54296875" style="382" customWidth="1"/>
    <col min="13" max="13" width="11.7265625" style="382" customWidth="1"/>
    <col min="14" max="235" width="8.7265625" style="382" customWidth="1"/>
    <col min="236" max="238" width="0" style="382" hidden="1"/>
    <col min="239" max="239" width="35" style="382" customWidth="1"/>
    <col min="240" max="240" width="22.7265625" style="382" customWidth="1"/>
    <col min="241" max="241" width="8.7265625" style="382" customWidth="1"/>
    <col min="242" max="242" width="36.453125" style="382" customWidth="1"/>
    <col min="243" max="243" width="20.81640625" style="382" customWidth="1"/>
    <col min="244" max="244" width="8.7265625" style="382" customWidth="1"/>
    <col min="245" max="245" width="34.453125" style="382" bestFit="1" customWidth="1"/>
    <col min="246" max="246" width="20.26953125" style="382" bestFit="1" customWidth="1"/>
    <col min="247" max="247" width="8.7265625" style="382" customWidth="1"/>
    <col min="248" max="248" width="18.26953125" style="382" customWidth="1"/>
    <col min="249" max="249" width="15.54296875" style="382" bestFit="1" customWidth="1"/>
    <col min="250" max="491" width="8.7265625" style="382" customWidth="1"/>
    <col min="492" max="494" width="0" style="382" hidden="1"/>
    <col min="495" max="495" width="35" style="382" customWidth="1"/>
    <col min="496" max="496" width="22.7265625" style="382" customWidth="1"/>
    <col min="497" max="497" width="8.7265625" style="382" customWidth="1"/>
    <col min="498" max="498" width="36.453125" style="382" customWidth="1"/>
    <col min="499" max="499" width="20.81640625" style="382" customWidth="1"/>
    <col min="500" max="500" width="8.7265625" style="382" customWidth="1"/>
    <col min="501" max="501" width="34.453125" style="382" bestFit="1" customWidth="1"/>
    <col min="502" max="502" width="20.26953125" style="382" bestFit="1" customWidth="1"/>
    <col min="503" max="503" width="8.7265625" style="382" customWidth="1"/>
    <col min="504" max="504" width="18.26953125" style="382" customWidth="1"/>
    <col min="505" max="505" width="15.54296875" style="382" bestFit="1" customWidth="1"/>
    <col min="506" max="747" width="8.7265625" style="382" customWidth="1"/>
    <col min="748" max="750" width="0" style="382" hidden="1"/>
    <col min="751" max="751" width="35" style="382" customWidth="1"/>
    <col min="752" max="752" width="22.7265625" style="382" customWidth="1"/>
    <col min="753" max="753" width="8.7265625" style="382" customWidth="1"/>
    <col min="754" max="754" width="36.453125" style="382" customWidth="1"/>
    <col min="755" max="755" width="20.81640625" style="382" customWidth="1"/>
    <col min="756" max="756" width="8.7265625" style="382" customWidth="1"/>
    <col min="757" max="757" width="34.453125" style="382" bestFit="1" customWidth="1"/>
    <col min="758" max="758" width="20.26953125" style="382" bestFit="1" customWidth="1"/>
    <col min="759" max="759" width="8.7265625" style="382" customWidth="1"/>
    <col min="760" max="760" width="18.26953125" style="382" customWidth="1"/>
    <col min="761" max="761" width="15.54296875" style="382" bestFit="1" customWidth="1"/>
    <col min="762" max="1003" width="8.7265625" style="382" customWidth="1"/>
    <col min="1004" max="1006" width="0" style="382" hidden="1"/>
    <col min="1007" max="1007" width="35" style="382" customWidth="1"/>
    <col min="1008" max="1008" width="22.7265625" style="382" customWidth="1"/>
    <col min="1009" max="1009" width="8.7265625" style="382" customWidth="1"/>
    <col min="1010" max="1010" width="36.453125" style="382" customWidth="1"/>
    <col min="1011" max="1011" width="20.81640625" style="382" customWidth="1"/>
    <col min="1012" max="1012" width="8.7265625" style="382" customWidth="1"/>
    <col min="1013" max="1013" width="34.453125" style="382" bestFit="1" customWidth="1"/>
    <col min="1014" max="1014" width="20.26953125" style="382" bestFit="1" customWidth="1"/>
    <col min="1015" max="1015" width="8.7265625" style="382" customWidth="1"/>
    <col min="1016" max="1016" width="18.26953125" style="382" customWidth="1"/>
    <col min="1017" max="1017" width="15.54296875" style="382" bestFit="1" customWidth="1"/>
    <col min="1018" max="1259" width="8.7265625" style="382" customWidth="1"/>
    <col min="1260" max="1262" width="0" style="382" hidden="1"/>
    <col min="1263" max="1263" width="35" style="382" customWidth="1"/>
    <col min="1264" max="1264" width="22.7265625" style="382" customWidth="1"/>
    <col min="1265" max="1265" width="8.7265625" style="382" customWidth="1"/>
    <col min="1266" max="1266" width="36.453125" style="382" customWidth="1"/>
    <col min="1267" max="1267" width="20.81640625" style="382" customWidth="1"/>
    <col min="1268" max="1268" width="8.7265625" style="382" customWidth="1"/>
    <col min="1269" max="1269" width="34.453125" style="382" bestFit="1" customWidth="1"/>
    <col min="1270" max="1270" width="20.26953125" style="382" bestFit="1" customWidth="1"/>
    <col min="1271" max="1271" width="8.7265625" style="382" customWidth="1"/>
    <col min="1272" max="1272" width="18.26953125" style="382" customWidth="1"/>
    <col min="1273" max="1273" width="15.54296875" style="382" bestFit="1" customWidth="1"/>
    <col min="1274" max="1515" width="8.7265625" style="382" customWidth="1"/>
    <col min="1516" max="1518" width="0" style="382" hidden="1"/>
    <col min="1519" max="1519" width="35" style="382" customWidth="1"/>
    <col min="1520" max="1520" width="22.7265625" style="382" customWidth="1"/>
    <col min="1521" max="1521" width="8.7265625" style="382" customWidth="1"/>
    <col min="1522" max="1522" width="36.453125" style="382" customWidth="1"/>
    <col min="1523" max="1523" width="20.81640625" style="382" customWidth="1"/>
    <col min="1524" max="1524" width="8.7265625" style="382" customWidth="1"/>
    <col min="1525" max="1525" width="34.453125" style="382" bestFit="1" customWidth="1"/>
    <col min="1526" max="1526" width="20.26953125" style="382" bestFit="1" customWidth="1"/>
    <col min="1527" max="1527" width="8.7265625" style="382" customWidth="1"/>
    <col min="1528" max="1528" width="18.26953125" style="382" customWidth="1"/>
    <col min="1529" max="1529" width="15.54296875" style="382" bestFit="1" customWidth="1"/>
    <col min="1530" max="1771" width="8.7265625" style="382" customWidth="1"/>
    <col min="1772" max="1774" width="0" style="382" hidden="1"/>
    <col min="1775" max="1775" width="35" style="382" customWidth="1"/>
    <col min="1776" max="1776" width="22.7265625" style="382" customWidth="1"/>
    <col min="1777" max="1777" width="8.7265625" style="382" customWidth="1"/>
    <col min="1778" max="1778" width="36.453125" style="382" customWidth="1"/>
    <col min="1779" max="1779" width="20.81640625" style="382" customWidth="1"/>
    <col min="1780" max="1780" width="8.7265625" style="382" customWidth="1"/>
    <col min="1781" max="1781" width="34.453125" style="382" bestFit="1" customWidth="1"/>
    <col min="1782" max="1782" width="20.26953125" style="382" bestFit="1" customWidth="1"/>
    <col min="1783" max="1783" width="8.7265625" style="382" customWidth="1"/>
    <col min="1784" max="1784" width="18.26953125" style="382" customWidth="1"/>
    <col min="1785" max="1785" width="15.54296875" style="382" bestFit="1" customWidth="1"/>
    <col min="1786" max="2027" width="8.7265625" style="382" customWidth="1"/>
    <col min="2028" max="2030" width="0" style="382" hidden="1"/>
    <col min="2031" max="2031" width="35" style="382" customWidth="1"/>
    <col min="2032" max="2032" width="22.7265625" style="382" customWidth="1"/>
    <col min="2033" max="2033" width="8.7265625" style="382" customWidth="1"/>
    <col min="2034" max="2034" width="36.453125" style="382" customWidth="1"/>
    <col min="2035" max="2035" width="20.81640625" style="382" customWidth="1"/>
    <col min="2036" max="2036" width="8.7265625" style="382" customWidth="1"/>
    <col min="2037" max="2037" width="34.453125" style="382" bestFit="1" customWidth="1"/>
    <col min="2038" max="2038" width="20.26953125" style="382" bestFit="1" customWidth="1"/>
    <col min="2039" max="2039" width="8.7265625" style="382" customWidth="1"/>
    <col min="2040" max="2040" width="18.26953125" style="382" customWidth="1"/>
    <col min="2041" max="2041" width="15.54296875" style="382" bestFit="1" customWidth="1"/>
    <col min="2042" max="2283" width="8.7265625" style="382" customWidth="1"/>
    <col min="2284" max="2286" width="0" style="382" hidden="1"/>
    <col min="2287" max="2287" width="35" style="382" customWidth="1"/>
    <col min="2288" max="2288" width="22.7265625" style="382" customWidth="1"/>
    <col min="2289" max="2289" width="8.7265625" style="382" customWidth="1"/>
    <col min="2290" max="2290" width="36.453125" style="382" customWidth="1"/>
    <col min="2291" max="2291" width="20.81640625" style="382" customWidth="1"/>
    <col min="2292" max="2292" width="8.7265625" style="382" customWidth="1"/>
    <col min="2293" max="2293" width="34.453125" style="382" bestFit="1" customWidth="1"/>
    <col min="2294" max="2294" width="20.26953125" style="382" bestFit="1" customWidth="1"/>
    <col min="2295" max="2295" width="8.7265625" style="382" customWidth="1"/>
    <col min="2296" max="2296" width="18.26953125" style="382" customWidth="1"/>
    <col min="2297" max="2297" width="15.54296875" style="382" bestFit="1" customWidth="1"/>
    <col min="2298" max="2539" width="8.7265625" style="382" customWidth="1"/>
    <col min="2540" max="2542" width="0" style="382" hidden="1"/>
    <col min="2543" max="2543" width="35" style="382" customWidth="1"/>
    <col min="2544" max="2544" width="22.7265625" style="382" customWidth="1"/>
    <col min="2545" max="2545" width="8.7265625" style="382" customWidth="1"/>
    <col min="2546" max="2546" width="36.453125" style="382" customWidth="1"/>
    <col min="2547" max="2547" width="20.81640625" style="382" customWidth="1"/>
    <col min="2548" max="2548" width="8.7265625" style="382" customWidth="1"/>
    <col min="2549" max="2549" width="34.453125" style="382" bestFit="1" customWidth="1"/>
    <col min="2550" max="2550" width="20.26953125" style="382" bestFit="1" customWidth="1"/>
    <col min="2551" max="2551" width="8.7265625" style="382" customWidth="1"/>
    <col min="2552" max="2552" width="18.26953125" style="382" customWidth="1"/>
    <col min="2553" max="2553" width="15.54296875" style="382" bestFit="1" customWidth="1"/>
    <col min="2554" max="2795" width="8.7265625" style="382" customWidth="1"/>
    <col min="2796" max="2798" width="0" style="382" hidden="1"/>
    <col min="2799" max="2799" width="35" style="382" customWidth="1"/>
    <col min="2800" max="2800" width="22.7265625" style="382" customWidth="1"/>
    <col min="2801" max="2801" width="8.7265625" style="382" customWidth="1"/>
    <col min="2802" max="2802" width="36.453125" style="382" customWidth="1"/>
    <col min="2803" max="2803" width="20.81640625" style="382" customWidth="1"/>
    <col min="2804" max="2804" width="8.7265625" style="382" customWidth="1"/>
    <col min="2805" max="2805" width="34.453125" style="382" bestFit="1" customWidth="1"/>
    <col min="2806" max="2806" width="20.26953125" style="382" bestFit="1" customWidth="1"/>
    <col min="2807" max="2807" width="8.7265625" style="382" customWidth="1"/>
    <col min="2808" max="2808" width="18.26953125" style="382" customWidth="1"/>
    <col min="2809" max="2809" width="15.54296875" style="382" bestFit="1" customWidth="1"/>
    <col min="2810" max="3051" width="8.7265625" style="382" customWidth="1"/>
    <col min="3052" max="3054" width="0" style="382" hidden="1"/>
    <col min="3055" max="3055" width="35" style="382" customWidth="1"/>
    <col min="3056" max="3056" width="22.7265625" style="382" customWidth="1"/>
    <col min="3057" max="3057" width="8.7265625" style="382" customWidth="1"/>
    <col min="3058" max="3058" width="36.453125" style="382" customWidth="1"/>
    <col min="3059" max="3059" width="20.81640625" style="382" customWidth="1"/>
    <col min="3060" max="3060" width="8.7265625" style="382" customWidth="1"/>
    <col min="3061" max="3061" width="34.453125" style="382" bestFit="1" customWidth="1"/>
    <col min="3062" max="3062" width="20.26953125" style="382" bestFit="1" customWidth="1"/>
    <col min="3063" max="3063" width="8.7265625" style="382" customWidth="1"/>
    <col min="3064" max="3064" width="18.26953125" style="382" customWidth="1"/>
    <col min="3065" max="3065" width="15.54296875" style="382" bestFit="1" customWidth="1"/>
    <col min="3066" max="3307" width="8.7265625" style="382" customWidth="1"/>
    <col min="3308" max="3310" width="0" style="382" hidden="1"/>
    <col min="3311" max="3311" width="35" style="382" customWidth="1"/>
    <col min="3312" max="3312" width="22.7265625" style="382" customWidth="1"/>
    <col min="3313" max="3313" width="8.7265625" style="382" customWidth="1"/>
    <col min="3314" max="3314" width="36.453125" style="382" customWidth="1"/>
    <col min="3315" max="3315" width="20.81640625" style="382" customWidth="1"/>
    <col min="3316" max="3316" width="8.7265625" style="382" customWidth="1"/>
    <col min="3317" max="3317" width="34.453125" style="382" bestFit="1" customWidth="1"/>
    <col min="3318" max="3318" width="20.26953125" style="382" bestFit="1" customWidth="1"/>
    <col min="3319" max="3319" width="8.7265625" style="382" customWidth="1"/>
    <col min="3320" max="3320" width="18.26953125" style="382" customWidth="1"/>
    <col min="3321" max="3321" width="15.54296875" style="382" bestFit="1" customWidth="1"/>
    <col min="3322" max="3563" width="8.7265625" style="382" customWidth="1"/>
    <col min="3564" max="3566" width="0" style="382" hidden="1"/>
    <col min="3567" max="3567" width="35" style="382" customWidth="1"/>
    <col min="3568" max="3568" width="22.7265625" style="382" customWidth="1"/>
    <col min="3569" max="3569" width="8.7265625" style="382" customWidth="1"/>
    <col min="3570" max="3570" width="36.453125" style="382" customWidth="1"/>
    <col min="3571" max="3571" width="20.81640625" style="382" customWidth="1"/>
    <col min="3572" max="3572" width="8.7265625" style="382" customWidth="1"/>
    <col min="3573" max="3573" width="34.453125" style="382" bestFit="1" customWidth="1"/>
    <col min="3574" max="3574" width="20.26953125" style="382" bestFit="1" customWidth="1"/>
    <col min="3575" max="3575" width="8.7265625" style="382" customWidth="1"/>
    <col min="3576" max="3576" width="18.26953125" style="382" customWidth="1"/>
    <col min="3577" max="3577" width="15.54296875" style="382" bestFit="1" customWidth="1"/>
    <col min="3578" max="3819" width="8.7265625" style="382" customWidth="1"/>
    <col min="3820" max="3822" width="0" style="382" hidden="1"/>
    <col min="3823" max="3823" width="35" style="382" customWidth="1"/>
    <col min="3824" max="3824" width="22.7265625" style="382" customWidth="1"/>
    <col min="3825" max="3825" width="8.7265625" style="382" customWidth="1"/>
    <col min="3826" max="3826" width="36.453125" style="382" customWidth="1"/>
    <col min="3827" max="3827" width="20.81640625" style="382" customWidth="1"/>
    <col min="3828" max="3828" width="8.7265625" style="382" customWidth="1"/>
    <col min="3829" max="3829" width="34.453125" style="382" bestFit="1" customWidth="1"/>
    <col min="3830" max="3830" width="20.26953125" style="382" bestFit="1" customWidth="1"/>
    <col min="3831" max="3831" width="8.7265625" style="382" customWidth="1"/>
    <col min="3832" max="3832" width="18.26953125" style="382" customWidth="1"/>
    <col min="3833" max="3833" width="15.54296875" style="382" bestFit="1" customWidth="1"/>
    <col min="3834" max="4075" width="8.7265625" style="382" customWidth="1"/>
    <col min="4076" max="4078" width="0" style="382" hidden="1"/>
    <col min="4079" max="4079" width="35" style="382" customWidth="1"/>
    <col min="4080" max="4080" width="22.7265625" style="382" customWidth="1"/>
    <col min="4081" max="4081" width="8.7265625" style="382" customWidth="1"/>
    <col min="4082" max="4082" width="36.453125" style="382" customWidth="1"/>
    <col min="4083" max="4083" width="20.81640625" style="382" customWidth="1"/>
    <col min="4084" max="4084" width="8.7265625" style="382" customWidth="1"/>
    <col min="4085" max="4085" width="34.453125" style="382" bestFit="1" customWidth="1"/>
    <col min="4086" max="4086" width="20.26953125" style="382" bestFit="1" customWidth="1"/>
    <col min="4087" max="4087" width="8.7265625" style="382" customWidth="1"/>
    <col min="4088" max="4088" width="18.26953125" style="382" customWidth="1"/>
    <col min="4089" max="4089" width="15.54296875" style="382" bestFit="1" customWidth="1"/>
    <col min="4090" max="4331" width="8.7265625" style="382" customWidth="1"/>
    <col min="4332" max="4334" width="0" style="382" hidden="1"/>
    <col min="4335" max="4335" width="35" style="382" customWidth="1"/>
    <col min="4336" max="4336" width="22.7265625" style="382" customWidth="1"/>
    <col min="4337" max="4337" width="8.7265625" style="382" customWidth="1"/>
    <col min="4338" max="4338" width="36.453125" style="382" customWidth="1"/>
    <col min="4339" max="4339" width="20.81640625" style="382" customWidth="1"/>
    <col min="4340" max="4340" width="8.7265625" style="382" customWidth="1"/>
    <col min="4341" max="4341" width="34.453125" style="382" bestFit="1" customWidth="1"/>
    <col min="4342" max="4342" width="20.26953125" style="382" bestFit="1" customWidth="1"/>
    <col min="4343" max="4343" width="8.7265625" style="382" customWidth="1"/>
    <col min="4344" max="4344" width="18.26953125" style="382" customWidth="1"/>
    <col min="4345" max="4345" width="15.54296875" style="382" bestFit="1" customWidth="1"/>
    <col min="4346" max="4587" width="8.7265625" style="382" customWidth="1"/>
    <col min="4588" max="4590" width="0" style="382" hidden="1"/>
    <col min="4591" max="4591" width="35" style="382" customWidth="1"/>
    <col min="4592" max="4592" width="22.7265625" style="382" customWidth="1"/>
    <col min="4593" max="4593" width="8.7265625" style="382" customWidth="1"/>
    <col min="4594" max="4594" width="36.453125" style="382" customWidth="1"/>
    <col min="4595" max="4595" width="20.81640625" style="382" customWidth="1"/>
    <col min="4596" max="4596" width="8.7265625" style="382" customWidth="1"/>
    <col min="4597" max="4597" width="34.453125" style="382" bestFit="1" customWidth="1"/>
    <col min="4598" max="4598" width="20.26953125" style="382" bestFit="1" customWidth="1"/>
    <col min="4599" max="4599" width="8.7265625" style="382" customWidth="1"/>
    <col min="4600" max="4600" width="18.26953125" style="382" customWidth="1"/>
    <col min="4601" max="4601" width="15.54296875" style="382" bestFit="1" customWidth="1"/>
    <col min="4602" max="4843" width="8.7265625" style="382" customWidth="1"/>
    <col min="4844" max="4846" width="0" style="382" hidden="1"/>
    <col min="4847" max="4847" width="35" style="382" customWidth="1"/>
    <col min="4848" max="4848" width="22.7265625" style="382" customWidth="1"/>
    <col min="4849" max="4849" width="8.7265625" style="382" customWidth="1"/>
    <col min="4850" max="4850" width="36.453125" style="382" customWidth="1"/>
    <col min="4851" max="4851" width="20.81640625" style="382" customWidth="1"/>
    <col min="4852" max="4852" width="8.7265625" style="382" customWidth="1"/>
    <col min="4853" max="4853" width="34.453125" style="382" bestFit="1" customWidth="1"/>
    <col min="4854" max="4854" width="20.26953125" style="382" bestFit="1" customWidth="1"/>
    <col min="4855" max="4855" width="8.7265625" style="382" customWidth="1"/>
    <col min="4856" max="4856" width="18.26953125" style="382" customWidth="1"/>
    <col min="4857" max="4857" width="15.54296875" style="382" bestFit="1" customWidth="1"/>
    <col min="4858" max="5099" width="8.7265625" style="382" customWidth="1"/>
    <col min="5100" max="5102" width="0" style="382" hidden="1"/>
    <col min="5103" max="5103" width="35" style="382" customWidth="1"/>
    <col min="5104" max="5104" width="22.7265625" style="382" customWidth="1"/>
    <col min="5105" max="5105" width="8.7265625" style="382" customWidth="1"/>
    <col min="5106" max="5106" width="36.453125" style="382" customWidth="1"/>
    <col min="5107" max="5107" width="20.81640625" style="382" customWidth="1"/>
    <col min="5108" max="5108" width="8.7265625" style="382" customWidth="1"/>
    <col min="5109" max="5109" width="34.453125" style="382" bestFit="1" customWidth="1"/>
    <col min="5110" max="5110" width="20.26953125" style="382" bestFit="1" customWidth="1"/>
    <col min="5111" max="5111" width="8.7265625" style="382" customWidth="1"/>
    <col min="5112" max="5112" width="18.26953125" style="382" customWidth="1"/>
    <col min="5113" max="5113" width="15.54296875" style="382" bestFit="1" customWidth="1"/>
    <col min="5114" max="5355" width="8.7265625" style="382" customWidth="1"/>
    <col min="5356" max="5358" width="0" style="382" hidden="1"/>
    <col min="5359" max="5359" width="35" style="382" customWidth="1"/>
    <col min="5360" max="5360" width="22.7265625" style="382" customWidth="1"/>
    <col min="5361" max="5361" width="8.7265625" style="382" customWidth="1"/>
    <col min="5362" max="5362" width="36.453125" style="382" customWidth="1"/>
    <col min="5363" max="5363" width="20.81640625" style="382" customWidth="1"/>
    <col min="5364" max="5364" width="8.7265625" style="382" customWidth="1"/>
    <col min="5365" max="5365" width="34.453125" style="382" bestFit="1" customWidth="1"/>
    <col min="5366" max="5366" width="20.26953125" style="382" bestFit="1" customWidth="1"/>
    <col min="5367" max="5367" width="8.7265625" style="382" customWidth="1"/>
    <col min="5368" max="5368" width="18.26953125" style="382" customWidth="1"/>
    <col min="5369" max="5369" width="15.54296875" style="382" bestFit="1" customWidth="1"/>
    <col min="5370" max="5611" width="8.7265625" style="382" customWidth="1"/>
    <col min="5612" max="5614" width="0" style="382" hidden="1"/>
    <col min="5615" max="5615" width="35" style="382" customWidth="1"/>
    <col min="5616" max="5616" width="22.7265625" style="382" customWidth="1"/>
    <col min="5617" max="5617" width="8.7265625" style="382" customWidth="1"/>
    <col min="5618" max="5618" width="36.453125" style="382" customWidth="1"/>
    <col min="5619" max="5619" width="20.81640625" style="382" customWidth="1"/>
    <col min="5620" max="5620" width="8.7265625" style="382" customWidth="1"/>
    <col min="5621" max="5621" width="34.453125" style="382" bestFit="1" customWidth="1"/>
    <col min="5622" max="5622" width="20.26953125" style="382" bestFit="1" customWidth="1"/>
    <col min="5623" max="5623" width="8.7265625" style="382" customWidth="1"/>
    <col min="5624" max="5624" width="18.26953125" style="382" customWidth="1"/>
    <col min="5625" max="5625" width="15.54296875" style="382" bestFit="1" customWidth="1"/>
    <col min="5626" max="5867" width="8.7265625" style="382" customWidth="1"/>
    <col min="5868" max="5870" width="0" style="382" hidden="1"/>
    <col min="5871" max="5871" width="35" style="382" customWidth="1"/>
    <col min="5872" max="5872" width="22.7265625" style="382" customWidth="1"/>
    <col min="5873" max="5873" width="8.7265625" style="382" customWidth="1"/>
    <col min="5874" max="5874" width="36.453125" style="382" customWidth="1"/>
    <col min="5875" max="5875" width="20.81640625" style="382" customWidth="1"/>
    <col min="5876" max="5876" width="8.7265625" style="382" customWidth="1"/>
    <col min="5877" max="5877" width="34.453125" style="382" bestFit="1" customWidth="1"/>
    <col min="5878" max="5878" width="20.26953125" style="382" bestFit="1" customWidth="1"/>
    <col min="5879" max="5879" width="8.7265625" style="382" customWidth="1"/>
    <col min="5880" max="5880" width="18.26953125" style="382" customWidth="1"/>
    <col min="5881" max="5881" width="15.54296875" style="382" bestFit="1" customWidth="1"/>
    <col min="5882" max="6123" width="8.7265625" style="382" customWidth="1"/>
    <col min="6124" max="6126" width="0" style="382" hidden="1"/>
    <col min="6127" max="6127" width="35" style="382" customWidth="1"/>
    <col min="6128" max="6128" width="22.7265625" style="382" customWidth="1"/>
    <col min="6129" max="6129" width="8.7265625" style="382" customWidth="1"/>
    <col min="6130" max="6130" width="36.453125" style="382" customWidth="1"/>
    <col min="6131" max="6131" width="20.81640625" style="382" customWidth="1"/>
    <col min="6132" max="6132" width="8.7265625" style="382" customWidth="1"/>
    <col min="6133" max="6133" width="34.453125" style="382" bestFit="1" customWidth="1"/>
    <col min="6134" max="6134" width="20.26953125" style="382" bestFit="1" customWidth="1"/>
    <col min="6135" max="6135" width="8.7265625" style="382" customWidth="1"/>
    <col min="6136" max="6136" width="18.26953125" style="382" customWidth="1"/>
    <col min="6137" max="6137" width="15.54296875" style="382" bestFit="1" customWidth="1"/>
    <col min="6138" max="6379" width="8.7265625" style="382" customWidth="1"/>
    <col min="6380" max="6382" width="0" style="382" hidden="1"/>
    <col min="6383" max="6383" width="35" style="382" customWidth="1"/>
    <col min="6384" max="6384" width="22.7265625" style="382" customWidth="1"/>
    <col min="6385" max="6385" width="8.7265625" style="382" customWidth="1"/>
    <col min="6386" max="6386" width="36.453125" style="382" customWidth="1"/>
    <col min="6387" max="6387" width="20.81640625" style="382" customWidth="1"/>
    <col min="6388" max="6388" width="8.7265625" style="382" customWidth="1"/>
    <col min="6389" max="6389" width="34.453125" style="382" bestFit="1" customWidth="1"/>
    <col min="6390" max="6390" width="20.26953125" style="382" bestFit="1" customWidth="1"/>
    <col min="6391" max="6391" width="8.7265625" style="382" customWidth="1"/>
    <col min="6392" max="6392" width="18.26953125" style="382" customWidth="1"/>
    <col min="6393" max="6393" width="15.54296875" style="382" bestFit="1" customWidth="1"/>
    <col min="6394" max="6635" width="8.7265625" style="382" customWidth="1"/>
    <col min="6636" max="6638" width="0" style="382" hidden="1"/>
    <col min="6639" max="6639" width="35" style="382" customWidth="1"/>
    <col min="6640" max="6640" width="22.7265625" style="382" customWidth="1"/>
    <col min="6641" max="6641" width="8.7265625" style="382" customWidth="1"/>
    <col min="6642" max="6642" width="36.453125" style="382" customWidth="1"/>
    <col min="6643" max="6643" width="20.81640625" style="382" customWidth="1"/>
    <col min="6644" max="6644" width="8.7265625" style="382" customWidth="1"/>
    <col min="6645" max="6645" width="34.453125" style="382" bestFit="1" customWidth="1"/>
    <col min="6646" max="6646" width="20.26953125" style="382" bestFit="1" customWidth="1"/>
    <col min="6647" max="6647" width="8.7265625" style="382" customWidth="1"/>
    <col min="6648" max="6648" width="18.26953125" style="382" customWidth="1"/>
    <col min="6649" max="6649" width="15.54296875" style="382" bestFit="1" customWidth="1"/>
    <col min="6650" max="6891" width="8.7265625" style="382" customWidth="1"/>
    <col min="6892" max="6894" width="0" style="382" hidden="1"/>
    <col min="6895" max="6895" width="35" style="382" customWidth="1"/>
    <col min="6896" max="6896" width="22.7265625" style="382" customWidth="1"/>
    <col min="6897" max="6897" width="8.7265625" style="382" customWidth="1"/>
    <col min="6898" max="6898" width="36.453125" style="382" customWidth="1"/>
    <col min="6899" max="6899" width="20.81640625" style="382" customWidth="1"/>
    <col min="6900" max="6900" width="8.7265625" style="382" customWidth="1"/>
    <col min="6901" max="6901" width="34.453125" style="382" bestFit="1" customWidth="1"/>
    <col min="6902" max="6902" width="20.26953125" style="382" bestFit="1" customWidth="1"/>
    <col min="6903" max="6903" width="8.7265625" style="382" customWidth="1"/>
    <col min="6904" max="6904" width="18.26953125" style="382" customWidth="1"/>
    <col min="6905" max="6905" width="15.54296875" style="382" bestFit="1" customWidth="1"/>
    <col min="6906" max="7147" width="8.7265625" style="382" customWidth="1"/>
    <col min="7148" max="7150" width="0" style="382" hidden="1"/>
    <col min="7151" max="7151" width="35" style="382" customWidth="1"/>
    <col min="7152" max="7152" width="22.7265625" style="382" customWidth="1"/>
    <col min="7153" max="7153" width="8.7265625" style="382" customWidth="1"/>
    <col min="7154" max="7154" width="36.453125" style="382" customWidth="1"/>
    <col min="7155" max="7155" width="20.81640625" style="382" customWidth="1"/>
    <col min="7156" max="7156" width="8.7265625" style="382" customWidth="1"/>
    <col min="7157" max="7157" width="34.453125" style="382" bestFit="1" customWidth="1"/>
    <col min="7158" max="7158" width="20.26953125" style="382" bestFit="1" customWidth="1"/>
    <col min="7159" max="7159" width="8.7265625" style="382" customWidth="1"/>
    <col min="7160" max="7160" width="18.26953125" style="382" customWidth="1"/>
    <col min="7161" max="7161" width="15.54296875" style="382" bestFit="1" customWidth="1"/>
    <col min="7162" max="7403" width="8.7265625" style="382" customWidth="1"/>
    <col min="7404" max="7406" width="0" style="382" hidden="1"/>
    <col min="7407" max="7407" width="35" style="382" customWidth="1"/>
    <col min="7408" max="7408" width="22.7265625" style="382" customWidth="1"/>
    <col min="7409" max="7409" width="8.7265625" style="382" customWidth="1"/>
    <col min="7410" max="7410" width="36.453125" style="382" customWidth="1"/>
    <col min="7411" max="7411" width="20.81640625" style="382" customWidth="1"/>
    <col min="7412" max="7412" width="8.7265625" style="382" customWidth="1"/>
    <col min="7413" max="7413" width="34.453125" style="382" bestFit="1" customWidth="1"/>
    <col min="7414" max="7414" width="20.26953125" style="382" bestFit="1" customWidth="1"/>
    <col min="7415" max="7415" width="8.7265625" style="382" customWidth="1"/>
    <col min="7416" max="7416" width="18.26953125" style="382" customWidth="1"/>
    <col min="7417" max="7417" width="15.54296875" style="382" bestFit="1" customWidth="1"/>
    <col min="7418" max="7659" width="8.7265625" style="382" customWidth="1"/>
    <col min="7660" max="7662" width="0" style="382" hidden="1"/>
    <col min="7663" max="7663" width="35" style="382" customWidth="1"/>
    <col min="7664" max="7664" width="22.7265625" style="382" customWidth="1"/>
    <col min="7665" max="7665" width="8.7265625" style="382" customWidth="1"/>
    <col min="7666" max="7666" width="36.453125" style="382" customWidth="1"/>
    <col min="7667" max="7667" width="20.81640625" style="382" customWidth="1"/>
    <col min="7668" max="7668" width="8.7265625" style="382" customWidth="1"/>
    <col min="7669" max="7669" width="34.453125" style="382" bestFit="1" customWidth="1"/>
    <col min="7670" max="7670" width="20.26953125" style="382" bestFit="1" customWidth="1"/>
    <col min="7671" max="7671" width="8.7265625" style="382" customWidth="1"/>
    <col min="7672" max="7672" width="18.26953125" style="382" customWidth="1"/>
    <col min="7673" max="7673" width="15.54296875" style="382" bestFit="1" customWidth="1"/>
    <col min="7674" max="7915" width="8.7265625" style="382" customWidth="1"/>
    <col min="7916" max="7918" width="0" style="382" hidden="1"/>
    <col min="7919" max="7919" width="35" style="382" customWidth="1"/>
    <col min="7920" max="7920" width="22.7265625" style="382" customWidth="1"/>
    <col min="7921" max="7921" width="8.7265625" style="382" customWidth="1"/>
    <col min="7922" max="7922" width="36.453125" style="382" customWidth="1"/>
    <col min="7923" max="7923" width="20.81640625" style="382" customWidth="1"/>
    <col min="7924" max="7924" width="8.7265625" style="382" customWidth="1"/>
    <col min="7925" max="7925" width="34.453125" style="382" bestFit="1" customWidth="1"/>
    <col min="7926" max="7926" width="20.26953125" style="382" bestFit="1" customWidth="1"/>
    <col min="7927" max="7927" width="8.7265625" style="382" customWidth="1"/>
    <col min="7928" max="7928" width="18.26953125" style="382" customWidth="1"/>
    <col min="7929" max="7929" width="15.54296875" style="382" bestFit="1" customWidth="1"/>
    <col min="7930" max="8171" width="8.7265625" style="382" customWidth="1"/>
    <col min="8172" max="8174" width="0" style="382" hidden="1"/>
    <col min="8175" max="8175" width="35" style="382" customWidth="1"/>
    <col min="8176" max="8176" width="22.7265625" style="382" customWidth="1"/>
    <col min="8177" max="8177" width="8.7265625" style="382" customWidth="1"/>
    <col min="8178" max="8178" width="36.453125" style="382" customWidth="1"/>
    <col min="8179" max="8179" width="20.81640625" style="382" customWidth="1"/>
    <col min="8180" max="8180" width="8.7265625" style="382" customWidth="1"/>
    <col min="8181" max="8181" width="34.453125" style="382" bestFit="1" customWidth="1"/>
    <col min="8182" max="8182" width="20.26953125" style="382" bestFit="1" customWidth="1"/>
    <col min="8183" max="8183" width="8.7265625" style="382" customWidth="1"/>
    <col min="8184" max="8184" width="18.26953125" style="382" customWidth="1"/>
    <col min="8185" max="8185" width="15.54296875" style="382" bestFit="1" customWidth="1"/>
    <col min="8186" max="8427" width="8.7265625" style="382" customWidth="1"/>
    <col min="8428" max="8430" width="0" style="382" hidden="1"/>
    <col min="8431" max="8431" width="35" style="382" customWidth="1"/>
    <col min="8432" max="8432" width="22.7265625" style="382" customWidth="1"/>
    <col min="8433" max="8433" width="8.7265625" style="382" customWidth="1"/>
    <col min="8434" max="8434" width="36.453125" style="382" customWidth="1"/>
    <col min="8435" max="8435" width="20.81640625" style="382" customWidth="1"/>
    <col min="8436" max="8436" width="8.7265625" style="382" customWidth="1"/>
    <col min="8437" max="8437" width="34.453125" style="382" bestFit="1" customWidth="1"/>
    <col min="8438" max="8438" width="20.26953125" style="382" bestFit="1" customWidth="1"/>
    <col min="8439" max="8439" width="8.7265625" style="382" customWidth="1"/>
    <col min="8440" max="8440" width="18.26953125" style="382" customWidth="1"/>
    <col min="8441" max="8441" width="15.54296875" style="382" bestFit="1" customWidth="1"/>
    <col min="8442" max="8683" width="8.7265625" style="382" customWidth="1"/>
    <col min="8684" max="8686" width="0" style="382" hidden="1"/>
    <col min="8687" max="8687" width="35" style="382" customWidth="1"/>
    <col min="8688" max="8688" width="22.7265625" style="382" customWidth="1"/>
    <col min="8689" max="8689" width="8.7265625" style="382" customWidth="1"/>
    <col min="8690" max="8690" width="36.453125" style="382" customWidth="1"/>
    <col min="8691" max="8691" width="20.81640625" style="382" customWidth="1"/>
    <col min="8692" max="8692" width="8.7265625" style="382" customWidth="1"/>
    <col min="8693" max="8693" width="34.453125" style="382" bestFit="1" customWidth="1"/>
    <col min="8694" max="8694" width="20.26953125" style="382" bestFit="1" customWidth="1"/>
    <col min="8695" max="8695" width="8.7265625" style="382" customWidth="1"/>
    <col min="8696" max="8696" width="18.26953125" style="382" customWidth="1"/>
    <col min="8697" max="8697" width="15.54296875" style="382" bestFit="1" customWidth="1"/>
    <col min="8698" max="8939" width="8.7265625" style="382" customWidth="1"/>
    <col min="8940" max="8942" width="0" style="382" hidden="1"/>
    <col min="8943" max="8943" width="35" style="382" customWidth="1"/>
    <col min="8944" max="8944" width="22.7265625" style="382" customWidth="1"/>
    <col min="8945" max="8945" width="8.7265625" style="382" customWidth="1"/>
    <col min="8946" max="8946" width="36.453125" style="382" customWidth="1"/>
    <col min="8947" max="8947" width="20.81640625" style="382" customWidth="1"/>
    <col min="8948" max="8948" width="8.7265625" style="382" customWidth="1"/>
    <col min="8949" max="8949" width="34.453125" style="382" bestFit="1" customWidth="1"/>
    <col min="8950" max="8950" width="20.26953125" style="382" bestFit="1" customWidth="1"/>
    <col min="8951" max="8951" width="8.7265625" style="382" customWidth="1"/>
    <col min="8952" max="8952" width="18.26953125" style="382" customWidth="1"/>
    <col min="8953" max="8953" width="15.54296875" style="382" bestFit="1" customWidth="1"/>
    <col min="8954" max="9195" width="8.7265625" style="382" customWidth="1"/>
    <col min="9196" max="9198" width="0" style="382" hidden="1"/>
    <col min="9199" max="9199" width="35" style="382" customWidth="1"/>
    <col min="9200" max="9200" width="22.7265625" style="382" customWidth="1"/>
    <col min="9201" max="9201" width="8.7265625" style="382" customWidth="1"/>
    <col min="9202" max="9202" width="36.453125" style="382" customWidth="1"/>
    <col min="9203" max="9203" width="20.81640625" style="382" customWidth="1"/>
    <col min="9204" max="9204" width="8.7265625" style="382" customWidth="1"/>
    <col min="9205" max="9205" width="34.453125" style="382" bestFit="1" customWidth="1"/>
    <col min="9206" max="9206" width="20.26953125" style="382" bestFit="1" customWidth="1"/>
    <col min="9207" max="9207" width="8.7265625" style="382" customWidth="1"/>
    <col min="9208" max="9208" width="18.26953125" style="382" customWidth="1"/>
    <col min="9209" max="9209" width="15.54296875" style="382" bestFit="1" customWidth="1"/>
    <col min="9210" max="9451" width="8.7265625" style="382" customWidth="1"/>
    <col min="9452" max="9454" width="0" style="382" hidden="1"/>
    <col min="9455" max="9455" width="35" style="382" customWidth="1"/>
    <col min="9456" max="9456" width="22.7265625" style="382" customWidth="1"/>
    <col min="9457" max="9457" width="8.7265625" style="382" customWidth="1"/>
    <col min="9458" max="9458" width="36.453125" style="382" customWidth="1"/>
    <col min="9459" max="9459" width="20.81640625" style="382" customWidth="1"/>
    <col min="9460" max="9460" width="8.7265625" style="382" customWidth="1"/>
    <col min="9461" max="9461" width="34.453125" style="382" bestFit="1" customWidth="1"/>
    <col min="9462" max="9462" width="20.26953125" style="382" bestFit="1" customWidth="1"/>
    <col min="9463" max="9463" width="8.7265625" style="382" customWidth="1"/>
    <col min="9464" max="9464" width="18.26953125" style="382" customWidth="1"/>
    <col min="9465" max="9465" width="15.54296875" style="382" bestFit="1" customWidth="1"/>
    <col min="9466" max="9707" width="8.7265625" style="382" customWidth="1"/>
    <col min="9708" max="9710" width="0" style="382" hidden="1"/>
    <col min="9711" max="9711" width="35" style="382" customWidth="1"/>
    <col min="9712" max="9712" width="22.7265625" style="382" customWidth="1"/>
    <col min="9713" max="9713" width="8.7265625" style="382" customWidth="1"/>
    <col min="9714" max="9714" width="36.453125" style="382" customWidth="1"/>
    <col min="9715" max="9715" width="20.81640625" style="382" customWidth="1"/>
    <col min="9716" max="9716" width="8.7265625" style="382" customWidth="1"/>
    <col min="9717" max="9717" width="34.453125" style="382" bestFit="1" customWidth="1"/>
    <col min="9718" max="9718" width="20.26953125" style="382" bestFit="1" customWidth="1"/>
    <col min="9719" max="9719" width="8.7265625" style="382" customWidth="1"/>
    <col min="9720" max="9720" width="18.26953125" style="382" customWidth="1"/>
    <col min="9721" max="9721" width="15.54296875" style="382" bestFit="1" customWidth="1"/>
    <col min="9722" max="9963" width="8.7265625" style="382" customWidth="1"/>
    <col min="9964" max="9966" width="0" style="382" hidden="1"/>
    <col min="9967" max="9967" width="35" style="382" customWidth="1"/>
    <col min="9968" max="9968" width="22.7265625" style="382" customWidth="1"/>
    <col min="9969" max="9969" width="8.7265625" style="382" customWidth="1"/>
    <col min="9970" max="9970" width="36.453125" style="382" customWidth="1"/>
    <col min="9971" max="9971" width="20.81640625" style="382" customWidth="1"/>
    <col min="9972" max="9972" width="8.7265625" style="382" customWidth="1"/>
    <col min="9973" max="9973" width="34.453125" style="382" bestFit="1" customWidth="1"/>
    <col min="9974" max="9974" width="20.26953125" style="382" bestFit="1" customWidth="1"/>
    <col min="9975" max="9975" width="8.7265625" style="382" customWidth="1"/>
    <col min="9976" max="9976" width="18.26953125" style="382" customWidth="1"/>
    <col min="9977" max="9977" width="15.54296875" style="382" bestFit="1" customWidth="1"/>
    <col min="9978" max="10219" width="8.7265625" style="382" customWidth="1"/>
    <col min="10220" max="10222" width="0" style="382" hidden="1"/>
    <col min="10223" max="10223" width="35" style="382" customWidth="1"/>
    <col min="10224" max="10224" width="22.7265625" style="382" customWidth="1"/>
    <col min="10225" max="10225" width="8.7265625" style="382" customWidth="1"/>
    <col min="10226" max="10226" width="36.453125" style="382" customWidth="1"/>
    <col min="10227" max="10227" width="20.81640625" style="382" customWidth="1"/>
    <col min="10228" max="10228" width="8.7265625" style="382" customWidth="1"/>
    <col min="10229" max="10229" width="34.453125" style="382" bestFit="1" customWidth="1"/>
    <col min="10230" max="10230" width="20.26953125" style="382" bestFit="1" customWidth="1"/>
    <col min="10231" max="10231" width="8.7265625" style="382" customWidth="1"/>
    <col min="10232" max="10232" width="18.26953125" style="382" customWidth="1"/>
    <col min="10233" max="10233" width="15.54296875" style="382" bestFit="1" customWidth="1"/>
    <col min="10234" max="10475" width="8.7265625" style="382" customWidth="1"/>
    <col min="10476" max="10478" width="0" style="382" hidden="1"/>
    <col min="10479" max="10479" width="35" style="382" customWidth="1"/>
    <col min="10480" max="10480" width="22.7265625" style="382" customWidth="1"/>
    <col min="10481" max="10481" width="8.7265625" style="382" customWidth="1"/>
    <col min="10482" max="10482" width="36.453125" style="382" customWidth="1"/>
    <col min="10483" max="10483" width="20.81640625" style="382" customWidth="1"/>
    <col min="10484" max="10484" width="8.7265625" style="382" customWidth="1"/>
    <col min="10485" max="10485" width="34.453125" style="382" bestFit="1" customWidth="1"/>
    <col min="10486" max="10486" width="20.26953125" style="382" bestFit="1" customWidth="1"/>
    <col min="10487" max="10487" width="8.7265625" style="382" customWidth="1"/>
    <col min="10488" max="10488" width="18.26953125" style="382" customWidth="1"/>
    <col min="10489" max="10489" width="15.54296875" style="382" bestFit="1" customWidth="1"/>
    <col min="10490" max="10731" width="8.7265625" style="382" customWidth="1"/>
    <col min="10732" max="10734" width="0" style="382" hidden="1"/>
    <col min="10735" max="10735" width="35" style="382" customWidth="1"/>
    <col min="10736" max="10736" width="22.7265625" style="382" customWidth="1"/>
    <col min="10737" max="10737" width="8.7265625" style="382" customWidth="1"/>
    <col min="10738" max="10738" width="36.453125" style="382" customWidth="1"/>
    <col min="10739" max="10739" width="20.81640625" style="382" customWidth="1"/>
    <col min="10740" max="10740" width="8.7265625" style="382" customWidth="1"/>
    <col min="10741" max="10741" width="34.453125" style="382" bestFit="1" customWidth="1"/>
    <col min="10742" max="10742" width="20.26953125" style="382" bestFit="1" customWidth="1"/>
    <col min="10743" max="10743" width="8.7265625" style="382" customWidth="1"/>
    <col min="10744" max="10744" width="18.26953125" style="382" customWidth="1"/>
    <col min="10745" max="10745" width="15.54296875" style="382" bestFit="1" customWidth="1"/>
    <col min="10746" max="10987" width="8.7265625" style="382" customWidth="1"/>
    <col min="10988" max="10990" width="0" style="382" hidden="1"/>
    <col min="10991" max="10991" width="35" style="382" customWidth="1"/>
    <col min="10992" max="10992" width="22.7265625" style="382" customWidth="1"/>
    <col min="10993" max="10993" width="8.7265625" style="382" customWidth="1"/>
    <col min="10994" max="10994" width="36.453125" style="382" customWidth="1"/>
    <col min="10995" max="10995" width="20.81640625" style="382" customWidth="1"/>
    <col min="10996" max="10996" width="8.7265625" style="382" customWidth="1"/>
    <col min="10997" max="10997" width="34.453125" style="382" bestFit="1" customWidth="1"/>
    <col min="10998" max="10998" width="20.26953125" style="382" bestFit="1" customWidth="1"/>
    <col min="10999" max="10999" width="8.7265625" style="382" customWidth="1"/>
    <col min="11000" max="11000" width="18.26953125" style="382" customWidth="1"/>
    <col min="11001" max="11001" width="15.54296875" style="382" bestFit="1" customWidth="1"/>
    <col min="11002" max="11243" width="8.7265625" style="382" customWidth="1"/>
    <col min="11244" max="11246" width="0" style="382" hidden="1"/>
    <col min="11247" max="11247" width="35" style="382" customWidth="1"/>
    <col min="11248" max="11248" width="22.7265625" style="382" customWidth="1"/>
    <col min="11249" max="11249" width="8.7265625" style="382" customWidth="1"/>
    <col min="11250" max="11250" width="36.453125" style="382" customWidth="1"/>
    <col min="11251" max="11251" width="20.81640625" style="382" customWidth="1"/>
    <col min="11252" max="11252" width="8.7265625" style="382" customWidth="1"/>
    <col min="11253" max="11253" width="34.453125" style="382" bestFit="1" customWidth="1"/>
    <col min="11254" max="11254" width="20.26953125" style="382" bestFit="1" customWidth="1"/>
    <col min="11255" max="11255" width="8.7265625" style="382" customWidth="1"/>
    <col min="11256" max="11256" width="18.26953125" style="382" customWidth="1"/>
    <col min="11257" max="11257" width="15.54296875" style="382" bestFit="1" customWidth="1"/>
    <col min="11258" max="11499" width="8.7265625" style="382" customWidth="1"/>
    <col min="11500" max="11502" width="0" style="382" hidden="1"/>
    <col min="11503" max="11503" width="35" style="382" customWidth="1"/>
    <col min="11504" max="11504" width="22.7265625" style="382" customWidth="1"/>
    <col min="11505" max="11505" width="8.7265625" style="382" customWidth="1"/>
    <col min="11506" max="11506" width="36.453125" style="382" customWidth="1"/>
    <col min="11507" max="11507" width="20.81640625" style="382" customWidth="1"/>
    <col min="11508" max="11508" width="8.7265625" style="382" customWidth="1"/>
    <col min="11509" max="11509" width="34.453125" style="382" bestFit="1" customWidth="1"/>
    <col min="11510" max="11510" width="20.26953125" style="382" bestFit="1" customWidth="1"/>
    <col min="11511" max="11511" width="8.7265625" style="382" customWidth="1"/>
    <col min="11512" max="11512" width="18.26953125" style="382" customWidth="1"/>
    <col min="11513" max="11513" width="15.54296875" style="382" bestFit="1" customWidth="1"/>
    <col min="11514" max="11755" width="8.7265625" style="382" customWidth="1"/>
    <col min="11756" max="11758" width="0" style="382" hidden="1"/>
    <col min="11759" max="11759" width="35" style="382" customWidth="1"/>
    <col min="11760" max="11760" width="22.7265625" style="382" customWidth="1"/>
    <col min="11761" max="11761" width="8.7265625" style="382" customWidth="1"/>
    <col min="11762" max="11762" width="36.453125" style="382" customWidth="1"/>
    <col min="11763" max="11763" width="20.81640625" style="382" customWidth="1"/>
    <col min="11764" max="11764" width="8.7265625" style="382" customWidth="1"/>
    <col min="11765" max="11765" width="34.453125" style="382" bestFit="1" customWidth="1"/>
    <col min="11766" max="11766" width="20.26953125" style="382" bestFit="1" customWidth="1"/>
    <col min="11767" max="11767" width="8.7265625" style="382" customWidth="1"/>
    <col min="11768" max="11768" width="18.26953125" style="382" customWidth="1"/>
    <col min="11769" max="11769" width="15.54296875" style="382" bestFit="1" customWidth="1"/>
    <col min="11770" max="12011" width="8.7265625" style="382" customWidth="1"/>
    <col min="12012" max="12014" width="0" style="382" hidden="1"/>
    <col min="12015" max="12015" width="35" style="382" customWidth="1"/>
    <col min="12016" max="12016" width="22.7265625" style="382" customWidth="1"/>
    <col min="12017" max="12017" width="8.7265625" style="382" customWidth="1"/>
    <col min="12018" max="12018" width="36.453125" style="382" customWidth="1"/>
    <col min="12019" max="12019" width="20.81640625" style="382" customWidth="1"/>
    <col min="12020" max="12020" width="8.7265625" style="382" customWidth="1"/>
    <col min="12021" max="12021" width="34.453125" style="382" bestFit="1" customWidth="1"/>
    <col min="12022" max="12022" width="20.26953125" style="382" bestFit="1" customWidth="1"/>
    <col min="12023" max="12023" width="8.7265625" style="382" customWidth="1"/>
    <col min="12024" max="12024" width="18.26953125" style="382" customWidth="1"/>
    <col min="12025" max="12025" width="15.54296875" style="382" bestFit="1" customWidth="1"/>
    <col min="12026" max="12267" width="8.7265625" style="382" customWidth="1"/>
    <col min="12268" max="12270" width="0" style="382" hidden="1"/>
    <col min="12271" max="12271" width="35" style="382" customWidth="1"/>
    <col min="12272" max="12272" width="22.7265625" style="382" customWidth="1"/>
    <col min="12273" max="12273" width="8.7265625" style="382" customWidth="1"/>
    <col min="12274" max="12274" width="36.453125" style="382" customWidth="1"/>
    <col min="12275" max="12275" width="20.81640625" style="382" customWidth="1"/>
    <col min="12276" max="12276" width="8.7265625" style="382" customWidth="1"/>
    <col min="12277" max="12277" width="34.453125" style="382" bestFit="1" customWidth="1"/>
    <col min="12278" max="12278" width="20.26953125" style="382" bestFit="1" customWidth="1"/>
    <col min="12279" max="12279" width="8.7265625" style="382" customWidth="1"/>
    <col min="12280" max="12280" width="18.26953125" style="382" customWidth="1"/>
    <col min="12281" max="12281" width="15.54296875" style="382" bestFit="1" customWidth="1"/>
    <col min="12282" max="12523" width="8.7265625" style="382" customWidth="1"/>
    <col min="12524" max="12526" width="0" style="382" hidden="1"/>
    <col min="12527" max="12527" width="35" style="382" customWidth="1"/>
    <col min="12528" max="12528" width="22.7265625" style="382" customWidth="1"/>
    <col min="12529" max="12529" width="8.7265625" style="382" customWidth="1"/>
    <col min="12530" max="12530" width="36.453125" style="382" customWidth="1"/>
    <col min="12531" max="12531" width="20.81640625" style="382" customWidth="1"/>
    <col min="12532" max="12532" width="8.7265625" style="382" customWidth="1"/>
    <col min="12533" max="12533" width="34.453125" style="382" bestFit="1" customWidth="1"/>
    <col min="12534" max="12534" width="20.26953125" style="382" bestFit="1" customWidth="1"/>
    <col min="12535" max="12535" width="8.7265625" style="382" customWidth="1"/>
    <col min="12536" max="12536" width="18.26953125" style="382" customWidth="1"/>
    <col min="12537" max="12537" width="15.54296875" style="382" bestFit="1" customWidth="1"/>
    <col min="12538" max="12779" width="8.7265625" style="382" customWidth="1"/>
    <col min="12780" max="12782" width="0" style="382" hidden="1"/>
    <col min="12783" max="12783" width="35" style="382" customWidth="1"/>
    <col min="12784" max="12784" width="22.7265625" style="382" customWidth="1"/>
    <col min="12785" max="12785" width="8.7265625" style="382" customWidth="1"/>
    <col min="12786" max="12786" width="36.453125" style="382" customWidth="1"/>
    <col min="12787" max="12787" width="20.81640625" style="382" customWidth="1"/>
    <col min="12788" max="12788" width="8.7265625" style="382" customWidth="1"/>
    <col min="12789" max="12789" width="34.453125" style="382" bestFit="1" customWidth="1"/>
    <col min="12790" max="12790" width="20.26953125" style="382" bestFit="1" customWidth="1"/>
    <col min="12791" max="12791" width="8.7265625" style="382" customWidth="1"/>
    <col min="12792" max="12792" width="18.26953125" style="382" customWidth="1"/>
    <col min="12793" max="12793" width="15.54296875" style="382" bestFit="1" customWidth="1"/>
    <col min="12794" max="13035" width="8.7265625" style="382" customWidth="1"/>
    <col min="13036" max="13038" width="0" style="382" hidden="1"/>
    <col min="13039" max="13039" width="35" style="382" customWidth="1"/>
    <col min="13040" max="13040" width="22.7265625" style="382" customWidth="1"/>
    <col min="13041" max="13041" width="8.7265625" style="382" customWidth="1"/>
    <col min="13042" max="13042" width="36.453125" style="382" customWidth="1"/>
    <col min="13043" max="13043" width="20.81640625" style="382" customWidth="1"/>
    <col min="13044" max="13044" width="8.7265625" style="382" customWidth="1"/>
    <col min="13045" max="13045" width="34.453125" style="382" bestFit="1" customWidth="1"/>
    <col min="13046" max="13046" width="20.26953125" style="382" bestFit="1" customWidth="1"/>
    <col min="13047" max="13047" width="8.7265625" style="382" customWidth="1"/>
    <col min="13048" max="13048" width="18.26953125" style="382" customWidth="1"/>
    <col min="13049" max="13049" width="15.54296875" style="382" bestFit="1" customWidth="1"/>
    <col min="13050" max="13291" width="8.7265625" style="382" customWidth="1"/>
    <col min="13292" max="13294" width="0" style="382" hidden="1"/>
    <col min="13295" max="13295" width="35" style="382" customWidth="1"/>
    <col min="13296" max="13296" width="22.7265625" style="382" customWidth="1"/>
    <col min="13297" max="13297" width="8.7265625" style="382" customWidth="1"/>
    <col min="13298" max="13298" width="36.453125" style="382" customWidth="1"/>
    <col min="13299" max="13299" width="20.81640625" style="382" customWidth="1"/>
    <col min="13300" max="13300" width="8.7265625" style="382" customWidth="1"/>
    <col min="13301" max="13301" width="34.453125" style="382" bestFit="1" customWidth="1"/>
    <col min="13302" max="13302" width="20.26953125" style="382" bestFit="1" customWidth="1"/>
    <col min="13303" max="13303" width="8.7265625" style="382" customWidth="1"/>
    <col min="13304" max="13304" width="18.26953125" style="382" customWidth="1"/>
    <col min="13305" max="13305" width="15.54296875" style="382" bestFit="1" customWidth="1"/>
    <col min="13306" max="13547" width="8.7265625" style="382" customWidth="1"/>
    <col min="13548" max="13550" width="0" style="382" hidden="1"/>
    <col min="13551" max="13551" width="35" style="382" customWidth="1"/>
    <col min="13552" max="13552" width="22.7265625" style="382" customWidth="1"/>
    <col min="13553" max="13553" width="8.7265625" style="382" customWidth="1"/>
    <col min="13554" max="13554" width="36.453125" style="382" customWidth="1"/>
    <col min="13555" max="13555" width="20.81640625" style="382" customWidth="1"/>
    <col min="13556" max="13556" width="8.7265625" style="382" customWidth="1"/>
    <col min="13557" max="13557" width="34.453125" style="382" bestFit="1" customWidth="1"/>
    <col min="13558" max="13558" width="20.26953125" style="382" bestFit="1" customWidth="1"/>
    <col min="13559" max="13559" width="8.7265625" style="382" customWidth="1"/>
    <col min="13560" max="13560" width="18.26953125" style="382" customWidth="1"/>
    <col min="13561" max="13561" width="15.54296875" style="382" bestFit="1" customWidth="1"/>
    <col min="13562" max="13803" width="8.7265625" style="382" customWidth="1"/>
    <col min="13804" max="13806" width="0" style="382" hidden="1"/>
    <col min="13807" max="13807" width="35" style="382" customWidth="1"/>
    <col min="13808" max="13808" width="22.7265625" style="382" customWidth="1"/>
    <col min="13809" max="13809" width="8.7265625" style="382" customWidth="1"/>
    <col min="13810" max="13810" width="36.453125" style="382" customWidth="1"/>
    <col min="13811" max="13811" width="20.81640625" style="382" customWidth="1"/>
    <col min="13812" max="13812" width="8.7265625" style="382" customWidth="1"/>
    <col min="13813" max="13813" width="34.453125" style="382" bestFit="1" customWidth="1"/>
    <col min="13814" max="13814" width="20.26953125" style="382" bestFit="1" customWidth="1"/>
    <col min="13815" max="13815" width="8.7265625" style="382" customWidth="1"/>
    <col min="13816" max="13816" width="18.26953125" style="382" customWidth="1"/>
    <col min="13817" max="13817" width="15.54296875" style="382" bestFit="1" customWidth="1"/>
    <col min="13818" max="14059" width="8.7265625" style="382" customWidth="1"/>
    <col min="14060" max="14062" width="0" style="382" hidden="1"/>
    <col min="14063" max="14063" width="35" style="382" customWidth="1"/>
    <col min="14064" max="14064" width="22.7265625" style="382" customWidth="1"/>
    <col min="14065" max="14065" width="8.7265625" style="382" customWidth="1"/>
    <col min="14066" max="14066" width="36.453125" style="382" customWidth="1"/>
    <col min="14067" max="14067" width="20.81640625" style="382" customWidth="1"/>
    <col min="14068" max="14068" width="8.7265625" style="382" customWidth="1"/>
    <col min="14069" max="14069" width="34.453125" style="382" bestFit="1" customWidth="1"/>
    <col min="14070" max="14070" width="20.26953125" style="382" bestFit="1" customWidth="1"/>
    <col min="14071" max="14071" width="8.7265625" style="382" customWidth="1"/>
    <col min="14072" max="14072" width="18.26953125" style="382" customWidth="1"/>
    <col min="14073" max="14073" width="15.54296875" style="382" bestFit="1" customWidth="1"/>
    <col min="14074" max="14315" width="8.7265625" style="382" customWidth="1"/>
    <col min="14316" max="14318" width="0" style="382" hidden="1"/>
    <col min="14319" max="14319" width="35" style="382" customWidth="1"/>
    <col min="14320" max="14320" width="22.7265625" style="382" customWidth="1"/>
    <col min="14321" max="14321" width="8.7265625" style="382" customWidth="1"/>
    <col min="14322" max="14322" width="36.453125" style="382" customWidth="1"/>
    <col min="14323" max="14323" width="20.81640625" style="382" customWidth="1"/>
    <col min="14324" max="14324" width="8.7265625" style="382" customWidth="1"/>
    <col min="14325" max="14325" width="34.453125" style="382" bestFit="1" customWidth="1"/>
    <col min="14326" max="14326" width="20.26953125" style="382" bestFit="1" customWidth="1"/>
    <col min="14327" max="14327" width="8.7265625" style="382" customWidth="1"/>
    <col min="14328" max="14328" width="18.26953125" style="382" customWidth="1"/>
    <col min="14329" max="14329" width="15.54296875" style="382" bestFit="1" customWidth="1"/>
    <col min="14330" max="14571" width="8.7265625" style="382" customWidth="1"/>
    <col min="14572" max="14574" width="0" style="382" hidden="1"/>
    <col min="14575" max="14575" width="35" style="382" customWidth="1"/>
    <col min="14576" max="14576" width="22.7265625" style="382" customWidth="1"/>
    <col min="14577" max="14577" width="8.7265625" style="382" customWidth="1"/>
    <col min="14578" max="14578" width="36.453125" style="382" customWidth="1"/>
    <col min="14579" max="14579" width="20.81640625" style="382" customWidth="1"/>
    <col min="14580" max="14580" width="8.7265625" style="382" customWidth="1"/>
    <col min="14581" max="14581" width="34.453125" style="382" bestFit="1" customWidth="1"/>
    <col min="14582" max="14582" width="20.26953125" style="382" bestFit="1" customWidth="1"/>
    <col min="14583" max="14583" width="8.7265625" style="382" customWidth="1"/>
    <col min="14584" max="14584" width="18.26953125" style="382" customWidth="1"/>
    <col min="14585" max="14585" width="15.54296875" style="382" bestFit="1" customWidth="1"/>
    <col min="14586" max="14827" width="8.7265625" style="382" customWidth="1"/>
    <col min="14828" max="14830" width="0" style="382" hidden="1"/>
    <col min="14831" max="14831" width="35" style="382" customWidth="1"/>
    <col min="14832" max="14832" width="22.7265625" style="382" customWidth="1"/>
    <col min="14833" max="14833" width="8.7265625" style="382" customWidth="1"/>
    <col min="14834" max="14834" width="36.453125" style="382" customWidth="1"/>
    <col min="14835" max="14835" width="20.81640625" style="382" customWidth="1"/>
    <col min="14836" max="14836" width="8.7265625" style="382" customWidth="1"/>
    <col min="14837" max="14837" width="34.453125" style="382" bestFit="1" customWidth="1"/>
    <col min="14838" max="14838" width="20.26953125" style="382" bestFit="1" customWidth="1"/>
    <col min="14839" max="14839" width="8.7265625" style="382" customWidth="1"/>
    <col min="14840" max="14840" width="18.26953125" style="382" customWidth="1"/>
    <col min="14841" max="14841" width="15.54296875" style="382" bestFit="1" customWidth="1"/>
    <col min="14842" max="15083" width="8.7265625" style="382" customWidth="1"/>
    <col min="15084" max="15086" width="0" style="382" hidden="1"/>
    <col min="15087" max="15087" width="35" style="382" customWidth="1"/>
    <col min="15088" max="15088" width="22.7265625" style="382" customWidth="1"/>
    <col min="15089" max="15089" width="8.7265625" style="382" customWidth="1"/>
    <col min="15090" max="15090" width="36.453125" style="382" customWidth="1"/>
    <col min="15091" max="15091" width="20.81640625" style="382" customWidth="1"/>
    <col min="15092" max="15092" width="8.7265625" style="382" customWidth="1"/>
    <col min="15093" max="15093" width="34.453125" style="382" bestFit="1" customWidth="1"/>
    <col min="15094" max="15094" width="20.26953125" style="382" bestFit="1" customWidth="1"/>
    <col min="15095" max="15095" width="8.7265625" style="382" customWidth="1"/>
    <col min="15096" max="15096" width="18.26953125" style="382" customWidth="1"/>
    <col min="15097" max="15097" width="15.54296875" style="382" bestFit="1" customWidth="1"/>
    <col min="15098" max="15339" width="8.7265625" style="382" customWidth="1"/>
    <col min="15340" max="15342" width="0" style="382" hidden="1"/>
    <col min="15343" max="15343" width="35" style="382" customWidth="1"/>
    <col min="15344" max="15344" width="22.7265625" style="382" customWidth="1"/>
    <col min="15345" max="15345" width="8.7265625" style="382" customWidth="1"/>
    <col min="15346" max="15346" width="36.453125" style="382" customWidth="1"/>
    <col min="15347" max="15347" width="20.81640625" style="382" customWidth="1"/>
    <col min="15348" max="15348" width="8.7265625" style="382" customWidth="1"/>
    <col min="15349" max="15349" width="34.453125" style="382" bestFit="1" customWidth="1"/>
    <col min="15350" max="15350" width="20.26953125" style="382" bestFit="1" customWidth="1"/>
    <col min="15351" max="15351" width="8.7265625" style="382" customWidth="1"/>
    <col min="15352" max="15352" width="18.26953125" style="382" customWidth="1"/>
    <col min="15353" max="15353" width="15.54296875" style="382" bestFit="1" customWidth="1"/>
    <col min="15354" max="15595" width="8.7265625" style="382" customWidth="1"/>
    <col min="15596" max="15598" width="0" style="382" hidden="1"/>
    <col min="15599" max="15599" width="35" style="382" customWidth="1"/>
    <col min="15600" max="15600" width="22.7265625" style="382" customWidth="1"/>
    <col min="15601" max="15601" width="8.7265625" style="382" customWidth="1"/>
    <col min="15602" max="15602" width="36.453125" style="382" customWidth="1"/>
    <col min="15603" max="15603" width="20.81640625" style="382" customWidth="1"/>
    <col min="15604" max="15604" width="8.7265625" style="382" customWidth="1"/>
    <col min="15605" max="15605" width="34.453125" style="382" bestFit="1" customWidth="1"/>
    <col min="15606" max="15606" width="20.26953125" style="382" bestFit="1" customWidth="1"/>
    <col min="15607" max="15607" width="8.7265625" style="382" customWidth="1"/>
    <col min="15608" max="15608" width="18.26953125" style="382" customWidth="1"/>
    <col min="15609" max="15609" width="15.54296875" style="382" bestFit="1" customWidth="1"/>
    <col min="15610" max="15851" width="8.7265625" style="382" customWidth="1"/>
    <col min="15852" max="15854" width="0" style="382" hidden="1"/>
    <col min="15855" max="15855" width="35" style="382" customWidth="1"/>
    <col min="15856" max="15856" width="22.7265625" style="382" customWidth="1"/>
    <col min="15857" max="15857" width="8.7265625" style="382" customWidth="1"/>
    <col min="15858" max="15858" width="36.453125" style="382" customWidth="1"/>
    <col min="15859" max="15859" width="20.81640625" style="382" customWidth="1"/>
    <col min="15860" max="15860" width="8.7265625" style="382" customWidth="1"/>
    <col min="15861" max="15861" width="34.453125" style="382" bestFit="1" customWidth="1"/>
    <col min="15862" max="15862" width="20.26953125" style="382" bestFit="1" customWidth="1"/>
    <col min="15863" max="15863" width="8.7265625" style="382" customWidth="1"/>
    <col min="15864" max="15864" width="18.26953125" style="382" customWidth="1"/>
    <col min="15865" max="15865" width="15.54296875" style="382" bestFit="1" customWidth="1"/>
    <col min="15866" max="16107" width="8.7265625" style="382" customWidth="1"/>
    <col min="16108" max="16110" width="0" style="382" hidden="1"/>
    <col min="16111" max="16111" width="35" style="382" customWidth="1"/>
    <col min="16112" max="16112" width="22.7265625" style="382" customWidth="1"/>
    <col min="16113" max="16113" width="8.7265625" style="382" customWidth="1"/>
    <col min="16114" max="16114" width="36.453125" style="382" customWidth="1"/>
    <col min="16115" max="16115" width="20.81640625" style="382" customWidth="1"/>
    <col min="16116" max="16116" width="8.7265625" style="382" customWidth="1"/>
    <col min="16117" max="16117" width="34.453125" style="382" bestFit="1" customWidth="1"/>
    <col min="16118" max="16118" width="20.26953125" style="382" bestFit="1" customWidth="1"/>
    <col min="16119" max="16119" width="8.7265625" style="382" customWidth="1"/>
    <col min="16120" max="16120" width="18.26953125" style="382" customWidth="1"/>
    <col min="16121" max="16121" width="15.54296875" style="382" bestFit="1" customWidth="1"/>
    <col min="16122" max="16384" width="8.7265625" style="382" customWidth="1"/>
  </cols>
  <sheetData>
    <row r="1" spans="1:13" ht="19.5" customHeight="1" x14ac:dyDescent="0.35">
      <c r="A1" s="380"/>
      <c r="B1" s="381" t="s">
        <v>600</v>
      </c>
      <c r="C1" s="380"/>
      <c r="D1" s="380"/>
      <c r="E1" s="380"/>
      <c r="F1" s="380"/>
      <c r="G1" s="380"/>
      <c r="H1" s="380"/>
      <c r="I1" s="380"/>
      <c r="J1" s="380"/>
    </row>
    <row r="2" spans="1:13" ht="20" customHeight="1" x14ac:dyDescent="0.35">
      <c r="A2" s="380"/>
      <c r="B2" s="383"/>
      <c r="C2" s="380"/>
      <c r="D2" s="380"/>
      <c r="E2" s="380"/>
      <c r="F2" s="380"/>
      <c r="G2" s="380"/>
      <c r="H2" s="380"/>
      <c r="I2" s="380"/>
      <c r="J2" s="380"/>
    </row>
    <row r="3" spans="1:13" ht="20" customHeight="1" x14ac:dyDescent="0.35">
      <c r="A3" s="380"/>
      <c r="B3" s="384" t="s">
        <v>601</v>
      </c>
      <c r="C3" s="380"/>
      <c r="D3" s="380"/>
      <c r="E3" s="380"/>
      <c r="F3" s="380"/>
      <c r="G3" s="380"/>
      <c r="H3" s="380"/>
      <c r="I3" s="380"/>
      <c r="J3" s="380"/>
    </row>
    <row r="4" spans="1:13" ht="15" customHeight="1" thickBot="1" x14ac:dyDescent="0.4">
      <c r="A4" s="380"/>
      <c r="B4" s="380"/>
      <c r="C4" s="385"/>
      <c r="D4" s="385"/>
      <c r="E4" s="380"/>
      <c r="F4" s="386"/>
      <c r="G4" s="386"/>
      <c r="H4" s="386"/>
      <c r="I4" s="380"/>
      <c r="J4" s="380"/>
    </row>
    <row r="5" spans="1:13" ht="18" customHeight="1" thickBot="1" x14ac:dyDescent="0.4">
      <c r="A5" s="380"/>
      <c r="B5" s="387" t="s">
        <v>600</v>
      </c>
      <c r="C5" s="388"/>
      <c r="D5" s="389"/>
      <c r="E5" s="380"/>
      <c r="F5" s="390" t="s">
        <v>602</v>
      </c>
      <c r="G5" s="380"/>
      <c r="H5" s="380"/>
      <c r="I5" s="380"/>
      <c r="J5" s="380"/>
      <c r="L5" s="391"/>
    </row>
    <row r="6" spans="1:13" ht="15" customHeight="1" thickBot="1" x14ac:dyDescent="0.4">
      <c r="A6" s="380"/>
      <c r="B6" s="392" t="s">
        <v>603</v>
      </c>
      <c r="C6" s="393">
        <v>5</v>
      </c>
      <c r="D6" s="394"/>
      <c r="E6" s="380"/>
      <c r="F6" s="380"/>
      <c r="G6" s="380"/>
      <c r="H6" s="380"/>
      <c r="I6" s="380"/>
      <c r="J6" s="380"/>
      <c r="M6" s="395"/>
    </row>
    <row r="7" spans="1:13" ht="15" customHeight="1" thickBot="1" x14ac:dyDescent="0.4">
      <c r="A7" s="380"/>
      <c r="B7" s="396" t="s">
        <v>604</v>
      </c>
      <c r="C7" s="397">
        <v>1115</v>
      </c>
      <c r="D7" s="398"/>
      <c r="E7" s="380"/>
      <c r="F7" s="399" t="s">
        <v>605</v>
      </c>
      <c r="G7" s="400" t="s">
        <v>606</v>
      </c>
      <c r="H7" s="401" t="s">
        <v>607</v>
      </c>
      <c r="I7" s="402" t="s">
        <v>608</v>
      </c>
      <c r="J7" s="380"/>
    </row>
    <row r="8" spans="1:13" x14ac:dyDescent="0.35">
      <c r="A8" s="380"/>
      <c r="B8" s="396" t="s">
        <v>609</v>
      </c>
      <c r="C8" s="403">
        <v>0</v>
      </c>
      <c r="D8" s="398"/>
      <c r="E8" s="380"/>
      <c r="F8" s="404" t="s">
        <v>610</v>
      </c>
      <c r="G8" s="405">
        <f>C14</f>
        <v>262560.19999999995</v>
      </c>
      <c r="H8" s="406">
        <f>G8/(E18*C6)</f>
        <v>0.28999999999999992</v>
      </c>
      <c r="I8" s="407">
        <f>C15</f>
        <v>1616.7499999999995</v>
      </c>
      <c r="J8" s="380"/>
    </row>
    <row r="9" spans="1:13" x14ac:dyDescent="0.35">
      <c r="A9" s="380"/>
      <c r="B9" s="396" t="s">
        <v>611</v>
      </c>
      <c r="C9" s="408">
        <f>C7</f>
        <v>1115</v>
      </c>
      <c r="D9" s="409"/>
      <c r="E9" s="380"/>
      <c r="F9" s="410" t="s">
        <v>612</v>
      </c>
      <c r="G9" s="411">
        <f>C10*C13</f>
        <v>231420</v>
      </c>
      <c r="H9" s="412">
        <f>G9/(C6*E18)</f>
        <v>0.2556053811659193</v>
      </c>
      <c r="I9" s="413">
        <f>G9/C10</f>
        <v>1425</v>
      </c>
    </row>
    <row r="10" spans="1:13" ht="15" customHeight="1" thickBot="1" x14ac:dyDescent="0.4">
      <c r="A10" s="380"/>
      <c r="B10" s="396" t="s">
        <v>613</v>
      </c>
      <c r="C10" s="414">
        <v>162.4</v>
      </c>
      <c r="D10" s="415"/>
      <c r="E10" s="380"/>
      <c r="F10" s="410" t="s">
        <v>614</v>
      </c>
      <c r="G10" s="411">
        <f>G8-(SUM(G9:G9))</f>
        <v>31140.199999999953</v>
      </c>
      <c r="H10" s="416">
        <f>G10/(C6*E18)</f>
        <v>3.4394618834080667E-2</v>
      </c>
      <c r="I10" s="413">
        <f>G10/C10</f>
        <v>191.74999999999972</v>
      </c>
      <c r="J10" s="380"/>
    </row>
    <row r="11" spans="1:13" ht="15" customHeight="1" thickBot="1" x14ac:dyDescent="0.4">
      <c r="A11" s="380"/>
      <c r="B11" s="396" t="s">
        <v>615</v>
      </c>
      <c r="C11" s="417">
        <v>0.04</v>
      </c>
      <c r="D11" s="418"/>
      <c r="E11" s="380"/>
      <c r="F11" s="419" t="s">
        <v>606</v>
      </c>
      <c r="G11" s="420">
        <f>SUM(G9:G10)</f>
        <v>262560.19999999995</v>
      </c>
      <c r="H11" s="421">
        <f>SUM(H9:H10)</f>
        <v>0.28999999999999998</v>
      </c>
      <c r="I11" s="422">
        <f>SUM(I9:I10)</f>
        <v>1616.7499999999998</v>
      </c>
      <c r="J11" s="380"/>
    </row>
    <row r="12" spans="1:13" x14ac:dyDescent="0.35">
      <c r="A12" s="380"/>
      <c r="B12" s="396" t="s">
        <v>359</v>
      </c>
      <c r="C12" s="417">
        <v>0.28999999999999998</v>
      </c>
      <c r="D12" s="418"/>
      <c r="E12" s="380"/>
      <c r="F12" s="380"/>
      <c r="G12" s="380"/>
      <c r="H12" s="423"/>
      <c r="I12" s="380"/>
      <c r="J12" s="380"/>
    </row>
    <row r="13" spans="1:13" x14ac:dyDescent="0.35">
      <c r="A13" s="380"/>
      <c r="B13" s="396" t="s">
        <v>616</v>
      </c>
      <c r="C13" s="424">
        <v>1425</v>
      </c>
      <c r="D13" s="418"/>
      <c r="E13" s="425"/>
      <c r="F13" s="425"/>
      <c r="G13" s="425"/>
      <c r="H13" s="425"/>
      <c r="I13" s="425"/>
      <c r="J13" s="380"/>
    </row>
    <row r="14" spans="1:13" x14ac:dyDescent="0.35">
      <c r="A14" s="380"/>
      <c r="B14" s="396" t="s">
        <v>617</v>
      </c>
      <c r="C14" s="426">
        <f>E18*C6*C12</f>
        <v>262560.19999999995</v>
      </c>
      <c r="D14" s="427"/>
      <c r="E14" s="425"/>
      <c r="F14" s="425"/>
      <c r="G14" s="425"/>
      <c r="H14" s="425"/>
      <c r="I14" s="425"/>
      <c r="J14" s="380"/>
    </row>
    <row r="15" spans="1:13" ht="15" customHeight="1" thickBot="1" x14ac:dyDescent="0.4">
      <c r="A15" s="380"/>
      <c r="B15" s="428" t="s">
        <v>618</v>
      </c>
      <c r="C15" s="429">
        <f>C14/C10</f>
        <v>1616.7499999999995</v>
      </c>
      <c r="D15" s="430"/>
      <c r="E15" s="380"/>
      <c r="F15" s="380"/>
      <c r="G15" s="386"/>
      <c r="H15" s="380"/>
      <c r="I15" s="380"/>
      <c r="J15" s="380"/>
    </row>
    <row r="16" spans="1:13" x14ac:dyDescent="0.35">
      <c r="A16" s="380"/>
      <c r="B16" s="386"/>
      <c r="C16" s="386"/>
      <c r="D16" s="386"/>
      <c r="E16" s="380"/>
      <c r="F16" s="380"/>
      <c r="G16" s="380"/>
      <c r="H16" s="380"/>
      <c r="I16" s="380"/>
      <c r="J16" s="380"/>
    </row>
    <row r="17" spans="1:10" x14ac:dyDescent="0.35">
      <c r="A17" s="380"/>
      <c r="B17" s="431" t="s">
        <v>619</v>
      </c>
      <c r="C17" s="432" t="s">
        <v>620</v>
      </c>
      <c r="D17" s="431" t="s">
        <v>621</v>
      </c>
      <c r="E17" s="433" t="s">
        <v>622</v>
      </c>
      <c r="F17" s="434"/>
      <c r="G17" s="386"/>
      <c r="H17" s="425"/>
      <c r="I17" s="380"/>
      <c r="J17" s="386"/>
    </row>
    <row r="18" spans="1:10" x14ac:dyDescent="0.35">
      <c r="A18" s="380"/>
      <c r="B18" s="435" t="s">
        <v>623</v>
      </c>
      <c r="C18" s="436">
        <f>C7</f>
        <v>1115</v>
      </c>
      <c r="D18" s="436">
        <v>0</v>
      </c>
      <c r="E18" s="436">
        <f>C10*(C18+D18)</f>
        <v>181076</v>
      </c>
      <c r="F18" s="437"/>
      <c r="G18" s="380"/>
      <c r="H18" s="380"/>
      <c r="I18" s="380"/>
      <c r="J18" s="437"/>
    </row>
    <row r="19" spans="1:10" x14ac:dyDescent="0.35">
      <c r="A19" s="380"/>
      <c r="F19" s="380"/>
    </row>
    <row r="22" spans="1:10" x14ac:dyDescent="0.35">
      <c r="D22" s="395"/>
    </row>
    <row r="23" spans="1:10" x14ac:dyDescent="0.35">
      <c r="B23" s="391"/>
      <c r="C23" s="438"/>
    </row>
    <row r="24" spans="1:10" x14ac:dyDescent="0.35">
      <c r="B24" s="391"/>
      <c r="C24" s="721"/>
      <c r="D24" s="722"/>
      <c r="E24" s="439"/>
      <c r="J24" s="395"/>
    </row>
    <row r="25" spans="1:10" x14ac:dyDescent="0.35">
      <c r="B25" s="391"/>
      <c r="C25" s="438"/>
    </row>
    <row r="29" spans="1:10" x14ac:dyDescent="0.35">
      <c r="G29" s="395"/>
      <c r="J29" s="395"/>
    </row>
    <row r="30" spans="1:10" x14ac:dyDescent="0.35">
      <c r="G30" s="395"/>
      <c r="H30" s="440"/>
    </row>
    <row r="31" spans="1:10" x14ac:dyDescent="0.35">
      <c r="G31" s="395"/>
    </row>
    <row r="32" spans="1:10" x14ac:dyDescent="0.35">
      <c r="G32" s="395"/>
      <c r="H32" s="440"/>
    </row>
    <row r="34" spans="1:9" x14ac:dyDescent="0.35">
      <c r="G34" s="395"/>
    </row>
    <row r="35" spans="1:9" x14ac:dyDescent="0.35">
      <c r="G35" s="441"/>
    </row>
    <row r="36" spans="1:9" x14ac:dyDescent="0.35">
      <c r="G36" s="395"/>
    </row>
    <row r="37" spans="1:9" x14ac:dyDescent="0.35">
      <c r="A37" s="442"/>
      <c r="G37" s="395"/>
    </row>
    <row r="38" spans="1:9" x14ac:dyDescent="0.35">
      <c r="G38" s="395"/>
    </row>
    <row r="40" spans="1:9" x14ac:dyDescent="0.35">
      <c r="G40" s="391"/>
      <c r="H40" s="443"/>
    </row>
    <row r="41" spans="1:9" x14ac:dyDescent="0.35">
      <c r="G41" s="395"/>
      <c r="H41" s="444"/>
      <c r="I41" s="395"/>
    </row>
    <row r="42" spans="1:9" x14ac:dyDescent="0.35">
      <c r="G42" s="395"/>
      <c r="H42" s="444"/>
      <c r="I42" s="395"/>
    </row>
    <row r="43" spans="1:9" x14ac:dyDescent="0.35">
      <c r="G43" s="395"/>
      <c r="H43" s="444"/>
      <c r="I43" s="395"/>
    </row>
    <row r="44" spans="1:9" x14ac:dyDescent="0.35">
      <c r="F44" s="391"/>
      <c r="I44" s="395"/>
    </row>
    <row r="47" spans="1:9" hidden="1" x14ac:dyDescent="0.35"/>
    <row r="48" spans="1:9" hidden="1" x14ac:dyDescent="0.35"/>
    <row r="49" spans="1:5" hidden="1" x14ac:dyDescent="0.35">
      <c r="B49" s="382" t="s">
        <v>624</v>
      </c>
      <c r="C49" s="382">
        <f>C10*200</f>
        <v>32480</v>
      </c>
      <c r="D49" s="382">
        <f>D10*200</f>
        <v>0</v>
      </c>
    </row>
    <row r="50" spans="1:5" hidden="1" x14ac:dyDescent="0.35"/>
    <row r="51" spans="1:5" hidden="1" x14ac:dyDescent="0.35"/>
    <row r="64" spans="1:5" x14ac:dyDescent="0.35">
      <c r="A64" s="391"/>
      <c r="E64" s="391"/>
    </row>
  </sheetData>
  <mergeCells count="1">
    <mergeCell ref="C24:D24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4"/>
  <sheetViews>
    <sheetView workbookViewId="0">
      <selection activeCell="C12" sqref="C12"/>
    </sheetView>
  </sheetViews>
  <sheetFormatPr defaultRowHeight="12.5" x14ac:dyDescent="0.25"/>
  <cols>
    <col min="1" max="1" width="37" style="449" customWidth="1"/>
    <col min="2" max="2" width="18" style="449" customWidth="1"/>
    <col min="3" max="3" width="28.1796875" style="449" bestFit="1" customWidth="1"/>
    <col min="4" max="4" width="11.7265625" style="449" bestFit="1" customWidth="1"/>
    <col min="5" max="5" width="8.7265625" style="449" customWidth="1"/>
    <col min="6" max="6" width="10.1796875" style="449" bestFit="1" customWidth="1"/>
    <col min="7" max="7" width="8.7265625" style="449" customWidth="1"/>
    <col min="8" max="16384" width="8.7265625" style="449"/>
  </cols>
  <sheetData>
    <row r="1" spans="1:7" x14ac:dyDescent="0.25">
      <c r="A1" s="445" t="s">
        <v>625</v>
      </c>
      <c r="B1" s="446"/>
      <c r="C1" s="447"/>
      <c r="D1" s="447"/>
      <c r="E1" s="447"/>
      <c r="F1" s="447"/>
      <c r="G1" s="448"/>
    </row>
    <row r="2" spans="1:7" ht="26.25" customHeight="1" thickBot="1" x14ac:dyDescent="0.3">
      <c r="A2" s="450" t="s">
        <v>626</v>
      </c>
      <c r="B2" s="451"/>
      <c r="C2" s="452"/>
      <c r="D2" s="452"/>
      <c r="E2" s="452"/>
      <c r="F2" s="452"/>
      <c r="G2" s="453"/>
    </row>
    <row r="3" spans="1:7" ht="13.5" customHeight="1" thickBot="1" x14ac:dyDescent="0.35">
      <c r="A3" s="454"/>
      <c r="B3" s="455"/>
      <c r="C3" s="455"/>
      <c r="D3" s="455"/>
      <c r="E3" s="455"/>
      <c r="F3" s="455"/>
      <c r="G3" s="456"/>
    </row>
    <row r="4" spans="1:7" x14ac:dyDescent="0.25">
      <c r="A4" s="457" t="s">
        <v>627</v>
      </c>
      <c r="B4" s="458" t="s">
        <v>628</v>
      </c>
      <c r="C4" s="458"/>
      <c r="D4" s="458"/>
      <c r="E4" s="458"/>
      <c r="F4" s="458"/>
      <c r="G4" s="459"/>
    </row>
    <row r="5" spans="1:7" x14ac:dyDescent="0.25">
      <c r="A5" s="460" t="s">
        <v>629</v>
      </c>
      <c r="B5" s="461" t="s">
        <v>630</v>
      </c>
      <c r="C5" s="462"/>
      <c r="D5" s="462"/>
      <c r="E5" s="462"/>
      <c r="F5" s="462"/>
      <c r="G5" s="463"/>
    </row>
    <row r="6" spans="1:7" x14ac:dyDescent="0.25">
      <c r="A6" s="460"/>
      <c r="B6" s="462"/>
      <c r="C6" s="464"/>
      <c r="D6" s="464"/>
      <c r="E6" s="465"/>
      <c r="F6" s="465"/>
      <c r="G6" s="463"/>
    </row>
    <row r="7" spans="1:7" x14ac:dyDescent="0.25">
      <c r="A7" s="460" t="s">
        <v>631</v>
      </c>
      <c r="B7" s="466">
        <v>45566</v>
      </c>
      <c r="C7" s="464"/>
      <c r="D7" s="464"/>
      <c r="E7" s="462"/>
      <c r="F7" s="464"/>
      <c r="G7" s="467"/>
    </row>
    <row r="8" spans="1:7" x14ac:dyDescent="0.25">
      <c r="A8" s="460" t="s">
        <v>632</v>
      </c>
      <c r="B8" s="468">
        <v>4</v>
      </c>
      <c r="C8" s="464"/>
      <c r="D8" s="464"/>
      <c r="E8" s="462"/>
      <c r="F8" s="464"/>
      <c r="G8" s="467"/>
    </row>
    <row r="9" spans="1:7" x14ac:dyDescent="0.25">
      <c r="A9" s="460" t="s">
        <v>633</v>
      </c>
      <c r="B9" s="462">
        <v>193.4</v>
      </c>
      <c r="C9" s="469" t="s">
        <v>619</v>
      </c>
      <c r="D9" s="465" t="s">
        <v>634</v>
      </c>
      <c r="E9" s="462"/>
      <c r="F9" s="464"/>
      <c r="G9" s="467"/>
    </row>
    <row r="10" spans="1:7" x14ac:dyDescent="0.25">
      <c r="A10" s="460" t="s">
        <v>635</v>
      </c>
      <c r="B10" s="470">
        <v>900</v>
      </c>
      <c r="C10" s="471" t="s">
        <v>636</v>
      </c>
      <c r="D10" s="472">
        <f>B9*B10</f>
        <v>174060</v>
      </c>
      <c r="E10" s="462"/>
      <c r="F10" s="464"/>
      <c r="G10" s="473"/>
    </row>
    <row r="11" spans="1:7" x14ac:dyDescent="0.25">
      <c r="A11" s="460" t="s">
        <v>637</v>
      </c>
      <c r="B11" s="474">
        <v>3.7499999999999999E-2</v>
      </c>
      <c r="C11" s="471" t="s">
        <v>638</v>
      </c>
      <c r="D11" s="472">
        <f>D10*(1+$B$11)</f>
        <v>180587.25000000003</v>
      </c>
      <c r="E11" s="462"/>
      <c r="F11" s="464"/>
      <c r="G11" s="463"/>
    </row>
    <row r="12" spans="1:7" x14ac:dyDescent="0.25">
      <c r="A12" s="460"/>
      <c r="B12" s="474"/>
      <c r="C12" s="471" t="s">
        <v>639</v>
      </c>
      <c r="D12" s="472">
        <f>D11*(1+$B$11)</f>
        <v>187359.27187500003</v>
      </c>
      <c r="E12" s="462"/>
      <c r="F12" s="464"/>
      <c r="G12" s="463"/>
    </row>
    <row r="13" spans="1:7" x14ac:dyDescent="0.25">
      <c r="A13" s="460"/>
      <c r="B13" s="474"/>
      <c r="C13" s="471" t="s">
        <v>640</v>
      </c>
      <c r="D13" s="472">
        <f>D12*(1+$B$11)</f>
        <v>194385.24457031256</v>
      </c>
      <c r="E13" s="462"/>
      <c r="F13" s="464"/>
      <c r="G13" s="463"/>
    </row>
    <row r="14" spans="1:7" x14ac:dyDescent="0.25">
      <c r="A14" s="475" t="s">
        <v>641</v>
      </c>
      <c r="B14" s="462"/>
      <c r="C14" s="476"/>
      <c r="D14" s="472"/>
      <c r="E14" s="462"/>
      <c r="F14" s="477"/>
      <c r="G14" s="463"/>
    </row>
    <row r="15" spans="1:7" x14ac:dyDescent="0.25">
      <c r="A15" s="478" t="s">
        <v>642</v>
      </c>
      <c r="B15" s="479">
        <v>0.12</v>
      </c>
      <c r="C15" s="480" t="s">
        <v>643</v>
      </c>
      <c r="D15" s="472">
        <f>AVERAGE(D10:D13)</f>
        <v>184097.94161132816</v>
      </c>
      <c r="E15" s="481"/>
      <c r="F15" s="482"/>
      <c r="G15" s="483"/>
    </row>
    <row r="16" spans="1:7" x14ac:dyDescent="0.25">
      <c r="A16" s="478"/>
      <c r="B16" s="479"/>
      <c r="C16" s="462"/>
      <c r="D16" s="464"/>
      <c r="E16" s="481"/>
      <c r="F16" s="482"/>
      <c r="G16" s="483"/>
    </row>
    <row r="17" spans="1:7" x14ac:dyDescent="0.25">
      <c r="A17" s="478"/>
      <c r="B17" s="479"/>
      <c r="C17" s="462"/>
      <c r="D17" s="477"/>
      <c r="E17" s="481"/>
      <c r="F17" s="482"/>
      <c r="G17" s="483"/>
    </row>
    <row r="18" spans="1:7" x14ac:dyDescent="0.25">
      <c r="A18" s="484"/>
      <c r="B18" s="485"/>
      <c r="C18" s="471"/>
      <c r="D18" s="470"/>
      <c r="E18" s="462"/>
      <c r="F18" s="486"/>
      <c r="G18" s="483"/>
    </row>
    <row r="19" spans="1:7" x14ac:dyDescent="0.25">
      <c r="A19" s="475" t="s">
        <v>644</v>
      </c>
      <c r="B19" s="486"/>
      <c r="C19" s="462"/>
      <c r="D19" s="487"/>
      <c r="E19" s="462"/>
      <c r="F19" s="462"/>
      <c r="G19" s="463"/>
    </row>
    <row r="20" spans="1:7" x14ac:dyDescent="0.25">
      <c r="A20" s="488" t="s">
        <v>645</v>
      </c>
      <c r="B20" s="486"/>
      <c r="C20" s="489">
        <v>1</v>
      </c>
      <c r="D20" s="487">
        <f>D15*B15</f>
        <v>22091.75299335938</v>
      </c>
      <c r="E20" s="462" t="s">
        <v>646</v>
      </c>
      <c r="F20" s="462"/>
      <c r="G20" s="463"/>
    </row>
    <row r="21" spans="1:7" ht="13" customHeight="1" thickBot="1" x14ac:dyDescent="0.3">
      <c r="A21" s="490"/>
      <c r="B21" s="491"/>
      <c r="C21" s="492" t="s">
        <v>647</v>
      </c>
      <c r="D21" s="493">
        <f>SUM(D20:D20)</f>
        <v>22091.75299335938</v>
      </c>
      <c r="E21" s="491" t="s">
        <v>646</v>
      </c>
      <c r="F21" s="491"/>
      <c r="G21" s="494"/>
    </row>
    <row r="23" spans="1:7" x14ac:dyDescent="0.25">
      <c r="D23" s="495"/>
    </row>
    <row r="24" spans="1:7" x14ac:dyDescent="0.25">
      <c r="D24" s="495"/>
    </row>
  </sheetData>
  <pageMargins left="0.75" right="0.75" top="1" bottom="1" header="0.5" footer="0.5"/>
  <pageSetup paperSize="9"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2"/>
  <sheetViews>
    <sheetView workbookViewId="0">
      <selection activeCell="C12" sqref="C12"/>
    </sheetView>
  </sheetViews>
  <sheetFormatPr defaultRowHeight="14.5" x14ac:dyDescent="0.35"/>
  <cols>
    <col min="1" max="1" width="39.81640625" style="497" bestFit="1" customWidth="1"/>
    <col min="2" max="2" width="12.90625" style="497" bestFit="1" customWidth="1"/>
    <col min="3" max="3" width="16.6328125" style="497" bestFit="1" customWidth="1"/>
    <col min="4" max="4" width="8.7265625" style="497" customWidth="1"/>
    <col min="5" max="5" width="48.36328125" style="497" bestFit="1" customWidth="1"/>
    <col min="6" max="6" width="8.7265625" style="497" customWidth="1"/>
    <col min="7" max="16384" width="8.7265625" style="497"/>
  </cols>
  <sheetData>
    <row r="1" spans="1:5" x14ac:dyDescent="0.35">
      <c r="A1" s="496" t="s">
        <v>605</v>
      </c>
      <c r="B1" s="496" t="s">
        <v>648</v>
      </c>
      <c r="C1" s="496" t="s">
        <v>649</v>
      </c>
      <c r="D1" s="496" t="s">
        <v>650</v>
      </c>
      <c r="E1" s="496" t="s">
        <v>651</v>
      </c>
    </row>
    <row r="2" spans="1:5" x14ac:dyDescent="0.35">
      <c r="A2" s="497" t="s">
        <v>652</v>
      </c>
      <c r="B2" s="498">
        <v>46136</v>
      </c>
      <c r="C2" s="497" t="s">
        <v>653</v>
      </c>
      <c r="D2" s="499">
        <v>35750</v>
      </c>
      <c r="E2" s="497" t="s">
        <v>654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Goldberg</cp:lastModifiedBy>
  <cp:revision>0</cp:revision>
  <dcterms:created xsi:type="dcterms:W3CDTF">2026-05-04T04:18:33Z</dcterms:created>
  <dcterms:modified xsi:type="dcterms:W3CDTF">2026-05-08T00:46:18Z</dcterms:modified>
  <dc:language>en-US</dc:language>
</cp:coreProperties>
</file>