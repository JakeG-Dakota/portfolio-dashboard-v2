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:\Properties\Castlereagh St-Hartswan\Castlereagh - Property Management\"/>
    </mc:Choice>
  </mc:AlternateContent>
  <xr:revisionPtr revIDLastSave="0" documentId="13_ncr:1_{3290E3E3-2AF8-40EF-9469-E538F2281E54}" xr6:coauthVersionLast="47" xr6:coauthVersionMax="47" xr10:uidLastSave="{00000000-0000-0000-0000-000000000000}"/>
  <bookViews>
    <workbookView xWindow="16650" yWindow="-16320" windowWidth="29040" windowHeight="15720" tabRatio="874" activeTab="2" xr2:uid="{00000000-000D-0000-FFFF-FFFF00000000}"/>
  </bookViews>
  <sheets>
    <sheet name="Cover" sheetId="1" r:id="rId1"/>
    <sheet name="Last Updated" sheetId="2" r:id="rId2"/>
    <sheet name="Input Data" sheetId="3" r:id="rId3"/>
    <sheet name="Dashboard" sheetId="4" r:id="rId4"/>
    <sheet name="Valuations" sheetId="5" r:id="rId5"/>
    <sheet name="Expiry Profile" sheetId="6" r:id="rId6"/>
    <sheet name="Leases" sheetId="7" r:id="rId7"/>
    <sheet name="Leasing Activity" sheetId="8" r:id="rId8"/>
    <sheet name="Market Rents 26-27" sheetId="9" r:id="rId9"/>
    <sheet name="Building Expiry Profile" sheetId="10" r:id="rId10"/>
    <sheet name="Make Good Obligations" sheetId="11" r:id="rId11"/>
    <sheet name="Spec Fitouts" sheetId="12" r:id="rId12"/>
    <sheet name="Stack Plan" sheetId="13" r:id="rId13"/>
    <sheet name="NER Tracking" sheetId="14" r:id="rId14"/>
    <sheet name="Rental Analysis" sheetId="15" r:id="rId15"/>
    <sheet name="Leasing Fee Calc" sheetId="16" r:id="rId16"/>
    <sheet name="Future Capex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7" i="12" l="1"/>
  <c r="H17" i="12"/>
  <c r="I16" i="12"/>
  <c r="D11" i="16"/>
  <c r="D10" i="16"/>
  <c r="D49" i="15"/>
  <c r="C49" i="15"/>
  <c r="E18" i="15"/>
  <c r="C14" i="15" s="1"/>
  <c r="C18" i="15"/>
  <c r="G9" i="15"/>
  <c r="C9" i="15"/>
  <c r="M5" i="14"/>
  <c r="B5" i="14"/>
  <c r="D143" i="13"/>
  <c r="D142" i="13"/>
  <c r="D137" i="13"/>
  <c r="D136" i="13"/>
  <c r="C135" i="13"/>
  <c r="D133" i="13"/>
  <c r="D132" i="13"/>
  <c r="D127" i="13"/>
  <c r="D126" i="13"/>
  <c r="C125" i="13"/>
  <c r="X123" i="13"/>
  <c r="Q123" i="13"/>
  <c r="D123" i="13"/>
  <c r="X122" i="13"/>
  <c r="Q122" i="13"/>
  <c r="D122" i="13"/>
  <c r="Q118" i="13"/>
  <c r="X117" i="13"/>
  <c r="Q117" i="13"/>
  <c r="D117" i="13"/>
  <c r="X116" i="13"/>
  <c r="Q116" i="13"/>
  <c r="D116" i="13"/>
  <c r="D115" i="13"/>
  <c r="C115" i="13"/>
  <c r="D113" i="13"/>
  <c r="D112" i="13"/>
  <c r="D107" i="13"/>
  <c r="D106" i="13"/>
  <c r="C105" i="13"/>
  <c r="P103" i="13"/>
  <c r="D103" i="13"/>
  <c r="P102" i="13"/>
  <c r="D102" i="13"/>
  <c r="D98" i="13"/>
  <c r="P97" i="13"/>
  <c r="D97" i="13"/>
  <c r="P96" i="13"/>
  <c r="D96" i="13"/>
  <c r="C95" i="13"/>
  <c r="T93" i="13"/>
  <c r="D93" i="13"/>
  <c r="T92" i="13"/>
  <c r="D92" i="13"/>
  <c r="T87" i="13"/>
  <c r="D87" i="13"/>
  <c r="T86" i="13"/>
  <c r="D86" i="13"/>
  <c r="C85" i="13"/>
  <c r="S83" i="13"/>
  <c r="D83" i="13"/>
  <c r="S82" i="13"/>
  <c r="D82" i="13"/>
  <c r="S78" i="13"/>
  <c r="S77" i="13"/>
  <c r="D77" i="13"/>
  <c r="S76" i="13"/>
  <c r="D76" i="13"/>
  <c r="C75" i="13"/>
  <c r="T73" i="13"/>
  <c r="D73" i="13"/>
  <c r="T72" i="13"/>
  <c r="D72" i="13"/>
  <c r="T68" i="13"/>
  <c r="T67" i="13"/>
  <c r="D67" i="13"/>
  <c r="T66" i="13"/>
  <c r="D66" i="13"/>
  <c r="C65" i="13"/>
  <c r="S63" i="13"/>
  <c r="D63" i="13"/>
  <c r="S62" i="13"/>
  <c r="D62" i="13"/>
  <c r="S58" i="13"/>
  <c r="S57" i="13"/>
  <c r="D57" i="13"/>
  <c r="S56" i="13"/>
  <c r="D56" i="13"/>
  <c r="C55" i="13"/>
  <c r="U53" i="13"/>
  <c r="D53" i="13"/>
  <c r="U52" i="13"/>
  <c r="D52" i="13"/>
  <c r="U47" i="13"/>
  <c r="D47" i="13"/>
  <c r="U46" i="13"/>
  <c r="D46" i="13"/>
  <c r="C45" i="13"/>
  <c r="J43" i="13"/>
  <c r="D43" i="13"/>
  <c r="J42" i="13"/>
  <c r="D42" i="13"/>
  <c r="D38" i="13"/>
  <c r="J37" i="13"/>
  <c r="D37" i="13"/>
  <c r="J36" i="13"/>
  <c r="D36" i="13"/>
  <c r="C35" i="13"/>
  <c r="D33" i="13"/>
  <c r="D32" i="13"/>
  <c r="D27" i="13"/>
  <c r="D26" i="13"/>
  <c r="C25" i="13"/>
  <c r="T23" i="13"/>
  <c r="J23" i="13"/>
  <c r="D23" i="13"/>
  <c r="T22" i="13"/>
  <c r="J22" i="13"/>
  <c r="D22" i="13"/>
  <c r="T17" i="13"/>
  <c r="J17" i="13"/>
  <c r="D17" i="13"/>
  <c r="T16" i="13"/>
  <c r="J16" i="13"/>
  <c r="D16" i="13"/>
  <c r="C15" i="13"/>
  <c r="D13" i="13"/>
  <c r="D12" i="13"/>
  <c r="D8" i="13"/>
  <c r="D7" i="13"/>
  <c r="D6" i="13"/>
  <c r="C5" i="13"/>
  <c r="N15" i="12"/>
  <c r="K15" i="12"/>
  <c r="E15" i="12"/>
  <c r="I15" i="12" s="1"/>
  <c r="N14" i="12"/>
  <c r="K14" i="12"/>
  <c r="E14" i="12"/>
  <c r="I14" i="12" s="1"/>
  <c r="K13" i="12"/>
  <c r="E13" i="12"/>
  <c r="I13" i="12" s="1"/>
  <c r="N12" i="12"/>
  <c r="E12" i="12"/>
  <c r="J12" i="12" s="1"/>
  <c r="K12" i="12" s="1"/>
  <c r="K11" i="12"/>
  <c r="E11" i="12"/>
  <c r="I11" i="12" s="1"/>
  <c r="K10" i="12"/>
  <c r="I10" i="12"/>
  <c r="E10" i="12"/>
  <c r="L34" i="11"/>
  <c r="I34" i="11"/>
  <c r="L33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D12" i="11"/>
  <c r="I11" i="11"/>
  <c r="I10" i="11"/>
  <c r="L55" i="10"/>
  <c r="E55" i="10"/>
  <c r="C55" i="10"/>
  <c r="B55" i="10"/>
  <c r="L52" i="10"/>
  <c r="E52" i="10"/>
  <c r="C52" i="10"/>
  <c r="B52" i="10"/>
  <c r="L49" i="10"/>
  <c r="E49" i="10"/>
  <c r="C49" i="10"/>
  <c r="B49" i="10"/>
  <c r="L48" i="10"/>
  <c r="I48" i="10"/>
  <c r="E48" i="10"/>
  <c r="C48" i="10"/>
  <c r="B48" i="10"/>
  <c r="L47" i="10"/>
  <c r="E47" i="10"/>
  <c r="D47" i="10"/>
  <c r="C47" i="10"/>
  <c r="B47" i="10"/>
  <c r="L44" i="10"/>
  <c r="E44" i="10"/>
  <c r="C44" i="10"/>
  <c r="B44" i="10"/>
  <c r="L41" i="10"/>
  <c r="E41" i="10"/>
  <c r="C41" i="10"/>
  <c r="B41" i="10"/>
  <c r="L40" i="10"/>
  <c r="I40" i="10"/>
  <c r="E40" i="10"/>
  <c r="C40" i="10"/>
  <c r="B40" i="10"/>
  <c r="L37" i="10"/>
  <c r="E37" i="10"/>
  <c r="C37" i="10"/>
  <c r="B37" i="10"/>
  <c r="L36" i="10"/>
  <c r="E36" i="10"/>
  <c r="C36" i="10"/>
  <c r="B36" i="10"/>
  <c r="L33" i="10"/>
  <c r="I33" i="10"/>
  <c r="E33" i="10"/>
  <c r="C33" i="10"/>
  <c r="B33" i="10"/>
  <c r="L32" i="10"/>
  <c r="E32" i="10"/>
  <c r="C32" i="10"/>
  <c r="B32" i="10"/>
  <c r="L29" i="10"/>
  <c r="I29" i="10"/>
  <c r="F29" i="10"/>
  <c r="E29" i="10"/>
  <c r="C29" i="10"/>
  <c r="B29" i="10"/>
  <c r="L28" i="10"/>
  <c r="E28" i="10"/>
  <c r="C28" i="10"/>
  <c r="B28" i="10"/>
  <c r="L25" i="10"/>
  <c r="I25" i="10"/>
  <c r="E25" i="10"/>
  <c r="C25" i="10"/>
  <c r="B25" i="10"/>
  <c r="L24" i="10"/>
  <c r="E24" i="10"/>
  <c r="C24" i="10"/>
  <c r="B24" i="10"/>
  <c r="L21" i="10"/>
  <c r="E21" i="10"/>
  <c r="C21" i="10"/>
  <c r="B21" i="10"/>
  <c r="L20" i="10"/>
  <c r="E20" i="10"/>
  <c r="C20" i="10"/>
  <c r="B20" i="10"/>
  <c r="L17" i="10"/>
  <c r="E17" i="10"/>
  <c r="C17" i="10"/>
  <c r="B17" i="10"/>
  <c r="M16" i="10"/>
  <c r="L16" i="10"/>
  <c r="I16" i="10"/>
  <c r="E16" i="10"/>
  <c r="C16" i="10"/>
  <c r="B16" i="10"/>
  <c r="L13" i="10"/>
  <c r="E13" i="10"/>
  <c r="C13" i="10"/>
  <c r="B13" i="10"/>
  <c r="L10" i="10"/>
  <c r="E10" i="10"/>
  <c r="C10" i="10"/>
  <c r="B10" i="10"/>
  <c r="L9" i="10"/>
  <c r="E9" i="10"/>
  <c r="C9" i="10"/>
  <c r="B9" i="10"/>
  <c r="L8" i="10"/>
  <c r="E8" i="10"/>
  <c r="C8" i="10"/>
  <c r="B8" i="10"/>
  <c r="L5" i="10"/>
  <c r="I5" i="10"/>
  <c r="E5" i="10"/>
  <c r="C5" i="10"/>
  <c r="B5" i="10"/>
  <c r="D28" i="9"/>
  <c r="G28" i="9" s="1"/>
  <c r="B28" i="9"/>
  <c r="B27" i="9"/>
  <c r="B26" i="9"/>
  <c r="B25" i="9"/>
  <c r="B24" i="9"/>
  <c r="B23" i="9"/>
  <c r="D22" i="9"/>
  <c r="B22" i="9"/>
  <c r="B21" i="9"/>
  <c r="B20" i="9"/>
  <c r="D19" i="9"/>
  <c r="B19" i="9"/>
  <c r="B18" i="9"/>
  <c r="D17" i="9"/>
  <c r="B17" i="9"/>
  <c r="B16" i="9"/>
  <c r="D15" i="9"/>
  <c r="G15" i="9" s="1"/>
  <c r="B15" i="9"/>
  <c r="B14" i="9"/>
  <c r="B13" i="9"/>
  <c r="B12" i="9"/>
  <c r="B11" i="9"/>
  <c r="D10" i="9"/>
  <c r="B10" i="9"/>
  <c r="B9" i="9"/>
  <c r="B8" i="9"/>
  <c r="D7" i="9"/>
  <c r="B7" i="9"/>
  <c r="C6" i="9"/>
  <c r="B6" i="9"/>
  <c r="B5" i="9"/>
  <c r="B4" i="9"/>
  <c r="C30" i="8"/>
  <c r="C29" i="8"/>
  <c r="C28" i="8"/>
  <c r="C27" i="8"/>
  <c r="C26" i="8"/>
  <c r="C25" i="8"/>
  <c r="C24" i="8"/>
  <c r="C23" i="8"/>
  <c r="C22" i="8"/>
  <c r="A15" i="8"/>
  <c r="A14" i="8"/>
  <c r="M10" i="8"/>
  <c r="V27" i="7"/>
  <c r="R27" i="7"/>
  <c r="Q27" i="7"/>
  <c r="P27" i="7"/>
  <c r="O27" i="7"/>
  <c r="N27" i="7"/>
  <c r="M27" i="7"/>
  <c r="E27" i="7"/>
  <c r="B27" i="7"/>
  <c r="A27" i="7"/>
  <c r="V26" i="7"/>
  <c r="R26" i="7"/>
  <c r="Q26" i="7"/>
  <c r="P26" i="7"/>
  <c r="O26" i="7"/>
  <c r="N26" i="7"/>
  <c r="M26" i="7"/>
  <c r="K26" i="7"/>
  <c r="E26" i="7"/>
  <c r="B26" i="7"/>
  <c r="A26" i="7"/>
  <c r="V25" i="7"/>
  <c r="R25" i="7"/>
  <c r="Q25" i="7"/>
  <c r="P25" i="7"/>
  <c r="O25" i="7"/>
  <c r="N25" i="7"/>
  <c r="M25" i="7"/>
  <c r="E25" i="7"/>
  <c r="B25" i="7"/>
  <c r="A25" i="7"/>
  <c r="V24" i="7"/>
  <c r="R24" i="7"/>
  <c r="Q24" i="7"/>
  <c r="P24" i="7"/>
  <c r="O24" i="7"/>
  <c r="N24" i="7"/>
  <c r="M24" i="7"/>
  <c r="K24" i="7"/>
  <c r="E24" i="7"/>
  <c r="B24" i="7"/>
  <c r="A24" i="7"/>
  <c r="V23" i="7"/>
  <c r="R23" i="7"/>
  <c r="Q23" i="7"/>
  <c r="P23" i="7"/>
  <c r="O23" i="7"/>
  <c r="N23" i="7"/>
  <c r="M23" i="7"/>
  <c r="E23" i="7"/>
  <c r="B23" i="7"/>
  <c r="A23" i="7"/>
  <c r="V22" i="7"/>
  <c r="R22" i="7"/>
  <c r="Q22" i="7"/>
  <c r="P22" i="7"/>
  <c r="O22" i="7"/>
  <c r="N22" i="7"/>
  <c r="M22" i="7"/>
  <c r="E22" i="7"/>
  <c r="B22" i="7"/>
  <c r="A22" i="7"/>
  <c r="V21" i="7"/>
  <c r="R21" i="7"/>
  <c r="Q21" i="7"/>
  <c r="P21" i="7"/>
  <c r="O21" i="7"/>
  <c r="N21" i="7"/>
  <c r="M21" i="7"/>
  <c r="K21" i="7"/>
  <c r="E21" i="7"/>
  <c r="B21" i="7"/>
  <c r="A21" i="7"/>
  <c r="V20" i="7"/>
  <c r="R20" i="7"/>
  <c r="Q20" i="7"/>
  <c r="P20" i="7"/>
  <c r="O20" i="7"/>
  <c r="N20" i="7"/>
  <c r="M20" i="7"/>
  <c r="K20" i="7"/>
  <c r="E20" i="7"/>
  <c r="B20" i="7"/>
  <c r="A20" i="7"/>
  <c r="V19" i="7"/>
  <c r="R19" i="7"/>
  <c r="Q19" i="7"/>
  <c r="P19" i="7"/>
  <c r="O19" i="7"/>
  <c r="N19" i="7"/>
  <c r="M19" i="7"/>
  <c r="E19" i="7"/>
  <c r="B19" i="7"/>
  <c r="A19" i="7"/>
  <c r="V18" i="7"/>
  <c r="R18" i="7"/>
  <c r="Q18" i="7"/>
  <c r="P18" i="7"/>
  <c r="O18" i="7"/>
  <c r="N18" i="7"/>
  <c r="M18" i="7"/>
  <c r="E18" i="7"/>
  <c r="B18" i="7"/>
  <c r="A18" i="7"/>
  <c r="V17" i="7"/>
  <c r="R17" i="7"/>
  <c r="Q17" i="7"/>
  <c r="P17" i="7"/>
  <c r="O17" i="7"/>
  <c r="N17" i="7"/>
  <c r="M17" i="7"/>
  <c r="K17" i="7"/>
  <c r="E17" i="7"/>
  <c r="B17" i="7"/>
  <c r="A17" i="7"/>
  <c r="V16" i="7"/>
  <c r="R16" i="7"/>
  <c r="Q16" i="7"/>
  <c r="P16" i="7"/>
  <c r="O16" i="7"/>
  <c r="N16" i="7"/>
  <c r="M16" i="7"/>
  <c r="J16" i="7"/>
  <c r="E16" i="7"/>
  <c r="B16" i="7"/>
  <c r="A16" i="7"/>
  <c r="V15" i="7"/>
  <c r="R15" i="7"/>
  <c r="Q15" i="7"/>
  <c r="P15" i="7"/>
  <c r="O15" i="7"/>
  <c r="N15" i="7"/>
  <c r="M15" i="7"/>
  <c r="K15" i="7"/>
  <c r="J15" i="7"/>
  <c r="E15" i="7"/>
  <c r="B15" i="7"/>
  <c r="A15" i="7"/>
  <c r="V14" i="7"/>
  <c r="R14" i="7"/>
  <c r="Q14" i="7"/>
  <c r="P14" i="7"/>
  <c r="O14" i="7"/>
  <c r="N14" i="7"/>
  <c r="M14" i="7"/>
  <c r="E14" i="7"/>
  <c r="B14" i="7"/>
  <c r="A14" i="7"/>
  <c r="V13" i="7"/>
  <c r="R13" i="7"/>
  <c r="Q13" i="7"/>
  <c r="P13" i="7"/>
  <c r="O13" i="7"/>
  <c r="N13" i="7"/>
  <c r="M13" i="7"/>
  <c r="E13" i="7"/>
  <c r="B13" i="7"/>
  <c r="A13" i="7"/>
  <c r="V12" i="7"/>
  <c r="R12" i="7"/>
  <c r="Q12" i="7"/>
  <c r="P12" i="7"/>
  <c r="O12" i="7"/>
  <c r="N12" i="7"/>
  <c r="M12" i="7"/>
  <c r="J12" i="7"/>
  <c r="E12" i="7"/>
  <c r="B12" i="7"/>
  <c r="A12" i="7"/>
  <c r="V11" i="7"/>
  <c r="R11" i="7"/>
  <c r="Q11" i="7"/>
  <c r="P11" i="7"/>
  <c r="O11" i="7"/>
  <c r="N11" i="7"/>
  <c r="M11" i="7"/>
  <c r="J11" i="7"/>
  <c r="E11" i="7"/>
  <c r="B11" i="7"/>
  <c r="A11" i="7"/>
  <c r="V10" i="7"/>
  <c r="R10" i="7"/>
  <c r="Q10" i="7"/>
  <c r="P10" i="7"/>
  <c r="O10" i="7"/>
  <c r="N10" i="7"/>
  <c r="M10" i="7"/>
  <c r="K10" i="7"/>
  <c r="E10" i="7"/>
  <c r="B10" i="7"/>
  <c r="A10" i="7"/>
  <c r="V9" i="7"/>
  <c r="R9" i="7"/>
  <c r="Q9" i="7"/>
  <c r="P9" i="7"/>
  <c r="O9" i="7"/>
  <c r="N9" i="7"/>
  <c r="M9" i="7"/>
  <c r="E9" i="7"/>
  <c r="B9" i="7"/>
  <c r="A9" i="7"/>
  <c r="V8" i="7"/>
  <c r="R8" i="7"/>
  <c r="Q8" i="7"/>
  <c r="P8" i="7"/>
  <c r="O8" i="7"/>
  <c r="N8" i="7"/>
  <c r="M8" i="7"/>
  <c r="K8" i="7"/>
  <c r="E8" i="7"/>
  <c r="B8" i="7"/>
  <c r="A8" i="7"/>
  <c r="V7" i="7"/>
  <c r="R7" i="7"/>
  <c r="Q7" i="7"/>
  <c r="P7" i="7"/>
  <c r="O7" i="7"/>
  <c r="N7" i="7"/>
  <c r="M7" i="7"/>
  <c r="K7" i="7"/>
  <c r="E7" i="7"/>
  <c r="B7" i="7"/>
  <c r="A7" i="7"/>
  <c r="V6" i="7"/>
  <c r="T6" i="7"/>
  <c r="R6" i="7"/>
  <c r="Q6" i="7"/>
  <c r="P6" i="7"/>
  <c r="O6" i="7"/>
  <c r="N6" i="7"/>
  <c r="M6" i="7"/>
  <c r="E6" i="7"/>
  <c r="D6" i="7"/>
  <c r="C6" i="7"/>
  <c r="B6" i="7"/>
  <c r="A6" i="7"/>
  <c r="V5" i="7"/>
  <c r="R5" i="7"/>
  <c r="Q5" i="7"/>
  <c r="P5" i="7"/>
  <c r="O5" i="7"/>
  <c r="N5" i="7"/>
  <c r="M5" i="7"/>
  <c r="J5" i="7"/>
  <c r="H5" i="7"/>
  <c r="F5" i="7"/>
  <c r="E5" i="7"/>
  <c r="D5" i="7"/>
  <c r="B5" i="7"/>
  <c r="A5" i="7"/>
  <c r="V4" i="7"/>
  <c r="R4" i="7"/>
  <c r="Q4" i="7"/>
  <c r="P4" i="7"/>
  <c r="O4" i="7"/>
  <c r="N4" i="7"/>
  <c r="M4" i="7"/>
  <c r="K4" i="7"/>
  <c r="J4" i="7"/>
  <c r="E4" i="7"/>
  <c r="B4" i="7"/>
  <c r="A4" i="7"/>
  <c r="V3" i="7"/>
  <c r="S3" i="7"/>
  <c r="R3" i="7"/>
  <c r="Q3" i="7"/>
  <c r="P3" i="7"/>
  <c r="O3" i="7"/>
  <c r="N3" i="7"/>
  <c r="M3" i="7"/>
  <c r="J3" i="7"/>
  <c r="E3" i="7"/>
  <c r="B3" i="7"/>
  <c r="A3" i="7"/>
  <c r="E29" i="6"/>
  <c r="N28" i="6"/>
  <c r="M28" i="6"/>
  <c r="L28" i="6"/>
  <c r="E28" i="6"/>
  <c r="C28" i="6"/>
  <c r="B28" i="6"/>
  <c r="P27" i="6"/>
  <c r="N27" i="6"/>
  <c r="M27" i="6"/>
  <c r="L27" i="6"/>
  <c r="J27" i="6"/>
  <c r="E27" i="6"/>
  <c r="C27" i="6"/>
  <c r="B27" i="6"/>
  <c r="O26" i="6"/>
  <c r="N26" i="6"/>
  <c r="M26" i="6"/>
  <c r="L26" i="6"/>
  <c r="E26" i="6"/>
  <c r="C26" i="6"/>
  <c r="B26" i="6"/>
  <c r="O25" i="6"/>
  <c r="N25" i="6"/>
  <c r="M25" i="6"/>
  <c r="L25" i="6"/>
  <c r="E25" i="6"/>
  <c r="C25" i="6"/>
  <c r="B25" i="6"/>
  <c r="N24" i="6"/>
  <c r="M24" i="6"/>
  <c r="L24" i="6"/>
  <c r="E24" i="6"/>
  <c r="C24" i="6"/>
  <c r="B24" i="6"/>
  <c r="O23" i="6"/>
  <c r="N23" i="6"/>
  <c r="M23" i="6"/>
  <c r="L23" i="6"/>
  <c r="E23" i="6"/>
  <c r="C23" i="6"/>
  <c r="B23" i="6"/>
  <c r="N22" i="6"/>
  <c r="M22" i="6"/>
  <c r="L22" i="6"/>
  <c r="J22" i="6"/>
  <c r="E22" i="6"/>
  <c r="C22" i="6"/>
  <c r="B22" i="6"/>
  <c r="O21" i="6"/>
  <c r="N21" i="6"/>
  <c r="M21" i="6"/>
  <c r="L21" i="6"/>
  <c r="E21" i="6"/>
  <c r="C21" i="6"/>
  <c r="B21" i="6"/>
  <c r="O20" i="6"/>
  <c r="N20" i="6"/>
  <c r="M20" i="6"/>
  <c r="L20" i="6"/>
  <c r="E20" i="6"/>
  <c r="C20" i="6"/>
  <c r="B20" i="6"/>
  <c r="N19" i="6"/>
  <c r="M19" i="6"/>
  <c r="L19" i="6"/>
  <c r="J19" i="6"/>
  <c r="E19" i="6"/>
  <c r="C19" i="6"/>
  <c r="B19" i="6"/>
  <c r="N18" i="6"/>
  <c r="M18" i="6"/>
  <c r="L18" i="6"/>
  <c r="E18" i="6"/>
  <c r="C18" i="6"/>
  <c r="B18" i="6"/>
  <c r="N17" i="6"/>
  <c r="M17" i="6"/>
  <c r="L17" i="6"/>
  <c r="J17" i="6"/>
  <c r="H17" i="6"/>
  <c r="F17" i="6"/>
  <c r="E17" i="6"/>
  <c r="C17" i="6"/>
  <c r="B17" i="6"/>
  <c r="O16" i="6"/>
  <c r="N16" i="6"/>
  <c r="M16" i="6"/>
  <c r="L16" i="6"/>
  <c r="E16" i="6"/>
  <c r="C16" i="6"/>
  <c r="B16" i="6"/>
  <c r="N15" i="6"/>
  <c r="M15" i="6"/>
  <c r="L15" i="6"/>
  <c r="J15" i="6"/>
  <c r="E15" i="6"/>
  <c r="C15" i="6"/>
  <c r="B15" i="6"/>
  <c r="N14" i="6"/>
  <c r="M14" i="6"/>
  <c r="L14" i="6"/>
  <c r="E14" i="6"/>
  <c r="C14" i="6"/>
  <c r="B14" i="6"/>
  <c r="N13" i="6"/>
  <c r="M13" i="6"/>
  <c r="L13" i="6"/>
  <c r="E13" i="6"/>
  <c r="C13" i="6"/>
  <c r="B13" i="6"/>
  <c r="O12" i="6"/>
  <c r="N12" i="6"/>
  <c r="M12" i="6"/>
  <c r="L12" i="6"/>
  <c r="E12" i="6"/>
  <c r="C12" i="6"/>
  <c r="B12" i="6"/>
  <c r="N11" i="6"/>
  <c r="M11" i="6"/>
  <c r="L11" i="6"/>
  <c r="E11" i="6"/>
  <c r="C11" i="6"/>
  <c r="B11" i="6"/>
  <c r="N10" i="6"/>
  <c r="M10" i="6"/>
  <c r="L10" i="6"/>
  <c r="J10" i="6"/>
  <c r="E10" i="6"/>
  <c r="C10" i="6"/>
  <c r="B10" i="6"/>
  <c r="N9" i="6"/>
  <c r="M9" i="6"/>
  <c r="L9" i="6"/>
  <c r="E9" i="6"/>
  <c r="C9" i="6"/>
  <c r="B9" i="6"/>
  <c r="N8" i="6"/>
  <c r="M8" i="6"/>
  <c r="L8" i="6"/>
  <c r="E8" i="6"/>
  <c r="C8" i="6"/>
  <c r="B8" i="6"/>
  <c r="O7" i="6"/>
  <c r="N7" i="6"/>
  <c r="M7" i="6"/>
  <c r="L7" i="6"/>
  <c r="J7" i="6"/>
  <c r="E7" i="6"/>
  <c r="C7" i="6"/>
  <c r="B7" i="6"/>
  <c r="O6" i="6"/>
  <c r="N6" i="6"/>
  <c r="M6" i="6"/>
  <c r="L6" i="6"/>
  <c r="E6" i="6"/>
  <c r="D6" i="6"/>
  <c r="C6" i="6"/>
  <c r="B6" i="6"/>
  <c r="O5" i="6"/>
  <c r="N5" i="6"/>
  <c r="M5" i="6"/>
  <c r="L5" i="6"/>
  <c r="E5" i="6"/>
  <c r="C5" i="6"/>
  <c r="B5" i="6"/>
  <c r="N4" i="6"/>
  <c r="M4" i="6"/>
  <c r="L4" i="6"/>
  <c r="E4" i="6"/>
  <c r="C4" i="6"/>
  <c r="B4" i="6"/>
  <c r="D41" i="5"/>
  <c r="E31" i="5"/>
  <c r="C31" i="5"/>
  <c r="E30" i="5"/>
  <c r="C30" i="5"/>
  <c r="E16" i="5"/>
  <c r="C16" i="5"/>
  <c r="E15" i="5"/>
  <c r="C15" i="5"/>
  <c r="M28" i="3"/>
  <c r="L28" i="3"/>
  <c r="F28" i="3"/>
  <c r="Y27" i="3"/>
  <c r="G27" i="3" s="1"/>
  <c r="F10" i="10" s="1"/>
  <c r="S27" i="3"/>
  <c r="H27" i="3"/>
  <c r="G27" i="7" s="1"/>
  <c r="Y26" i="3"/>
  <c r="D26" i="3" s="1"/>
  <c r="D5" i="13" s="1"/>
  <c r="U26" i="3"/>
  <c r="T3" i="7" s="1"/>
  <c r="T26" i="3"/>
  <c r="S26" i="3"/>
  <c r="H26" i="3"/>
  <c r="G5" i="10" s="1"/>
  <c r="Y25" i="3"/>
  <c r="D25" i="3" s="1"/>
  <c r="C8" i="7" s="1"/>
  <c r="S25" i="3"/>
  <c r="H25" i="3"/>
  <c r="Y24" i="3"/>
  <c r="G24" i="3" s="1"/>
  <c r="S24" i="3"/>
  <c r="K9" i="7" s="1"/>
  <c r="H24" i="3"/>
  <c r="D21" i="13" s="1"/>
  <c r="Y23" i="3"/>
  <c r="J23" i="3" s="1"/>
  <c r="D28" i="13" s="1"/>
  <c r="S23" i="3"/>
  <c r="O24" i="6" s="1"/>
  <c r="H23" i="3"/>
  <c r="G22" i="7" s="1"/>
  <c r="Y22" i="3"/>
  <c r="J22" i="3" s="1"/>
  <c r="M17" i="10" s="1"/>
  <c r="S22" i="3"/>
  <c r="H22" i="3"/>
  <c r="G23" i="6" s="1"/>
  <c r="Y21" i="3"/>
  <c r="G21" i="3" s="1"/>
  <c r="F16" i="10" s="1"/>
  <c r="S21" i="3"/>
  <c r="U21" i="3" s="1"/>
  <c r="T4" i="7" s="1"/>
  <c r="H21" i="3"/>
  <c r="G4" i="7" s="1"/>
  <c r="Y20" i="3"/>
  <c r="D20" i="3" s="1"/>
  <c r="C21" i="9" s="1"/>
  <c r="S20" i="3"/>
  <c r="H20" i="3"/>
  <c r="K21" i="10" s="1"/>
  <c r="Y19" i="3"/>
  <c r="G19" i="3" s="1"/>
  <c r="F25" i="7" s="1"/>
  <c r="S19" i="3"/>
  <c r="H19" i="3"/>
  <c r="V19" i="3" s="1"/>
  <c r="E19" i="3"/>
  <c r="D25" i="7" s="1"/>
  <c r="Y18" i="3"/>
  <c r="K18" i="3" s="1"/>
  <c r="N18" i="3" s="1"/>
  <c r="L15" i="7" s="1"/>
  <c r="U18" i="3"/>
  <c r="T15" i="7" s="1"/>
  <c r="T18" i="3"/>
  <c r="S18" i="3"/>
  <c r="M25" i="10" s="1"/>
  <c r="H18" i="3"/>
  <c r="G19" i="6" s="1"/>
  <c r="Y17" i="3"/>
  <c r="S17" i="3"/>
  <c r="H17" i="3"/>
  <c r="G13" i="7" s="1"/>
  <c r="Y16" i="3"/>
  <c r="K16" i="3" s="1"/>
  <c r="N16" i="3" s="1"/>
  <c r="T16" i="3"/>
  <c r="P17" i="6" s="1"/>
  <c r="S16" i="3"/>
  <c r="U16" i="3" s="1"/>
  <c r="T5" i="7" s="1"/>
  <c r="H16" i="3"/>
  <c r="Y15" i="3"/>
  <c r="S15" i="3"/>
  <c r="H15" i="3"/>
  <c r="G10" i="7" s="1"/>
  <c r="Y14" i="3"/>
  <c r="I14" i="3" s="1"/>
  <c r="H12" i="7" s="1"/>
  <c r="S14" i="3"/>
  <c r="T14" i="3" s="1"/>
  <c r="H14" i="3"/>
  <c r="E21" i="11" s="1"/>
  <c r="L21" i="11" s="1"/>
  <c r="Y13" i="3"/>
  <c r="G13" i="3" s="1"/>
  <c r="S13" i="3"/>
  <c r="O14" i="6" s="1"/>
  <c r="H13" i="3"/>
  <c r="G32" i="10" s="1"/>
  <c r="Y12" i="3"/>
  <c r="E12" i="3" s="1"/>
  <c r="D23" i="7" s="1"/>
  <c r="S12" i="3"/>
  <c r="K23" i="7" s="1"/>
  <c r="H12" i="3"/>
  <c r="G23" i="7" s="1"/>
  <c r="Y11" i="3"/>
  <c r="S11" i="3"/>
  <c r="H11" i="3"/>
  <c r="G21" i="7" s="1"/>
  <c r="Y10" i="3"/>
  <c r="S10" i="3"/>
  <c r="H10" i="3"/>
  <c r="K41" i="10" s="1"/>
  <c r="Y9" i="3"/>
  <c r="G9" i="3" s="1"/>
  <c r="F11" i="7" s="1"/>
  <c r="S9" i="3"/>
  <c r="H9" i="3"/>
  <c r="E16" i="11" s="1"/>
  <c r="L16" i="11" s="1"/>
  <c r="Y8" i="3"/>
  <c r="S8" i="3"/>
  <c r="K19" i="7" s="1"/>
  <c r="H8" i="3"/>
  <c r="V8" i="3" s="1"/>
  <c r="Y7" i="3"/>
  <c r="I7" i="3" s="1"/>
  <c r="S7" i="3"/>
  <c r="H7" i="3"/>
  <c r="X121" i="13" s="1"/>
  <c r="Y6" i="3"/>
  <c r="G6" i="3" s="1"/>
  <c r="F16" i="7" s="1"/>
  <c r="S6" i="3"/>
  <c r="K16" i="7" s="1"/>
  <c r="H6" i="3"/>
  <c r="Y5" i="3"/>
  <c r="I5" i="3" s="1"/>
  <c r="S5" i="3"/>
  <c r="K6" i="7" s="1"/>
  <c r="H5" i="3"/>
  <c r="V5" i="3" s="1"/>
  <c r="H47" i="10" s="1"/>
  <c r="Y4" i="3"/>
  <c r="I4" i="3" s="1"/>
  <c r="S4" i="3"/>
  <c r="H4" i="3"/>
  <c r="K52" i="10" s="1"/>
  <c r="Y3" i="3"/>
  <c r="G3" i="3" s="1"/>
  <c r="S3" i="3"/>
  <c r="O4" i="6" s="1"/>
  <c r="H3" i="3"/>
  <c r="D141" i="13" s="1"/>
  <c r="E23" i="2"/>
  <c r="E22" i="2"/>
  <c r="E21" i="2"/>
  <c r="D8" i="2"/>
  <c r="D7" i="2"/>
  <c r="H115" i="4"/>
  <c r="F115" i="4"/>
  <c r="E115" i="4"/>
  <c r="H114" i="4"/>
  <c r="F114" i="4"/>
  <c r="E114" i="4"/>
  <c r="L113" i="4"/>
  <c r="H113" i="4"/>
  <c r="F113" i="4"/>
  <c r="E113" i="4"/>
  <c r="J113" i="4" s="1"/>
  <c r="H112" i="4"/>
  <c r="F112" i="4"/>
  <c r="E112" i="4"/>
  <c r="H108" i="4"/>
  <c r="F108" i="4"/>
  <c r="E108" i="4"/>
  <c r="H107" i="4"/>
  <c r="F107" i="4"/>
  <c r="E107" i="4"/>
  <c r="J106" i="4"/>
  <c r="H106" i="4"/>
  <c r="F106" i="4"/>
  <c r="E106" i="4"/>
  <c r="H105" i="4"/>
  <c r="F105" i="4"/>
  <c r="E105" i="4"/>
  <c r="J105" i="4" s="1"/>
  <c r="H104" i="4"/>
  <c r="F104" i="4"/>
  <c r="E104" i="4"/>
  <c r="H103" i="4"/>
  <c r="F103" i="4"/>
  <c r="E103" i="4"/>
  <c r="H102" i="4"/>
  <c r="F102" i="4"/>
  <c r="J102" i="4" s="1"/>
  <c r="E102" i="4"/>
  <c r="E97" i="4"/>
  <c r="G96" i="4"/>
  <c r="F96" i="4"/>
  <c r="E96" i="4"/>
  <c r="C96" i="4"/>
  <c r="I95" i="4" a="1"/>
  <c r="I95" i="4" s="1"/>
  <c r="E95" i="4"/>
  <c r="C95" i="4"/>
  <c r="I94" i="4" a="1"/>
  <c r="I94" i="4" s="1"/>
  <c r="E94" i="4"/>
  <c r="C94" i="4"/>
  <c r="I93" i="4" a="1"/>
  <c r="I93" i="4" s="1"/>
  <c r="E93" i="4"/>
  <c r="C93" i="4"/>
  <c r="I92" i="4" a="1"/>
  <c r="I92" i="4" s="1"/>
  <c r="E92" i="4"/>
  <c r="C92" i="4"/>
  <c r="I91" i="4" a="1"/>
  <c r="I91" i="4" s="1"/>
  <c r="E91" i="4"/>
  <c r="C91" i="4"/>
  <c r="I90" i="4" a="1"/>
  <c r="I90" i="4" s="1"/>
  <c r="E90" i="4"/>
  <c r="C90" i="4"/>
  <c r="I89" i="4" a="1"/>
  <c r="I89" i="4" s="1"/>
  <c r="E89" i="4"/>
  <c r="C89" i="4"/>
  <c r="I88" i="4" a="1"/>
  <c r="I88" i="4" s="1"/>
  <c r="E88" i="4"/>
  <c r="C88" i="4"/>
  <c r="I87" i="4" a="1"/>
  <c r="I87" i="4" s="1"/>
  <c r="E87" i="4"/>
  <c r="C87" i="4"/>
  <c r="I86" i="4"/>
  <c r="E86" i="4"/>
  <c r="C86" i="4"/>
  <c r="I85" i="4"/>
  <c r="E85" i="4"/>
  <c r="C85" i="4"/>
  <c r="I84" i="4" a="1"/>
  <c r="I84" i="4" s="1"/>
  <c r="E84" i="4"/>
  <c r="C84" i="4"/>
  <c r="I83" i="4"/>
  <c r="E83" i="4"/>
  <c r="C83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51" i="4"/>
  <c r="E51" i="4"/>
  <c r="B51" i="4"/>
  <c r="G50" i="4"/>
  <c r="E50" i="4"/>
  <c r="B50" i="4"/>
  <c r="E49" i="4"/>
  <c r="B49" i="4"/>
  <c r="G48" i="4"/>
  <c r="E48" i="4"/>
  <c r="B48" i="4"/>
  <c r="G47" i="4"/>
  <c r="F47" i="4"/>
  <c r="I47" i="4" s="1"/>
  <c r="J47" i="4" s="1"/>
  <c r="E47" i="4"/>
  <c r="B47" i="4"/>
  <c r="G46" i="4"/>
  <c r="E46" i="4"/>
  <c r="B46" i="4"/>
  <c r="E45" i="4"/>
  <c r="B45" i="4"/>
  <c r="G44" i="4"/>
  <c r="F44" i="4"/>
  <c r="E44" i="4"/>
  <c r="B44" i="4"/>
  <c r="E43" i="4"/>
  <c r="B43" i="4"/>
  <c r="F42" i="4"/>
  <c r="E42" i="4"/>
  <c r="B42" i="4"/>
  <c r="G41" i="4"/>
  <c r="E41" i="4"/>
  <c r="B41" i="4"/>
  <c r="F40" i="4"/>
  <c r="E40" i="4"/>
  <c r="B40" i="4"/>
  <c r="G39" i="4"/>
  <c r="E39" i="4"/>
  <c r="B39" i="4"/>
  <c r="G38" i="4"/>
  <c r="E38" i="4"/>
  <c r="B38" i="4"/>
  <c r="G37" i="4"/>
  <c r="E37" i="4"/>
  <c r="B37" i="4"/>
  <c r="E36" i="4"/>
  <c r="B36" i="4"/>
  <c r="F35" i="4"/>
  <c r="E35" i="4"/>
  <c r="B35" i="4"/>
  <c r="G34" i="4"/>
  <c r="E34" i="4"/>
  <c r="B34" i="4"/>
  <c r="G33" i="4"/>
  <c r="E33" i="4"/>
  <c r="B33" i="4"/>
  <c r="G32" i="4"/>
  <c r="F32" i="4"/>
  <c r="E32" i="4"/>
  <c r="B32" i="4"/>
  <c r="G31" i="4"/>
  <c r="E31" i="4"/>
  <c r="C31" i="4"/>
  <c r="B31" i="4"/>
  <c r="G30" i="4"/>
  <c r="E30" i="4"/>
  <c r="B30" i="4"/>
  <c r="G29" i="4"/>
  <c r="E29" i="4"/>
  <c r="B29" i="4"/>
  <c r="G25" i="4"/>
  <c r="E25" i="4"/>
  <c r="C25" i="4"/>
  <c r="H24" i="4"/>
  <c r="G24" i="4"/>
  <c r="E24" i="4"/>
  <c r="F24" i="4" s="1"/>
  <c r="C24" i="4"/>
  <c r="D24" i="4" s="1"/>
  <c r="H23" i="4"/>
  <c r="G23" i="4"/>
  <c r="E23" i="4"/>
  <c r="F23" i="4" s="1"/>
  <c r="C23" i="4"/>
  <c r="D23" i="4" s="1"/>
  <c r="H22" i="4"/>
  <c r="G22" i="4"/>
  <c r="E22" i="4"/>
  <c r="F22" i="4" s="1"/>
  <c r="C22" i="4"/>
  <c r="D22" i="4" s="1"/>
  <c r="H21" i="4"/>
  <c r="G21" i="4"/>
  <c r="E21" i="4"/>
  <c r="F21" i="4" s="1"/>
  <c r="C21" i="4"/>
  <c r="D21" i="4" s="1"/>
  <c r="H20" i="4"/>
  <c r="G20" i="4"/>
  <c r="E20" i="4"/>
  <c r="F20" i="4" s="1"/>
  <c r="C20" i="4"/>
  <c r="D20" i="4" s="1"/>
  <c r="H19" i="4"/>
  <c r="G19" i="4"/>
  <c r="E19" i="4"/>
  <c r="F19" i="4" s="1"/>
  <c r="C19" i="4"/>
  <c r="D15" i="4"/>
  <c r="D14" i="4"/>
  <c r="C14" i="8" s="1"/>
  <c r="J9" i="4"/>
  <c r="H9" i="4"/>
  <c r="F9" i="4"/>
  <c r="B9" i="4"/>
  <c r="B5" i="4"/>
  <c r="G22" i="9" l="1"/>
  <c r="F22" i="9"/>
  <c r="G19" i="9"/>
  <c r="F19" i="9"/>
  <c r="G17" i="9"/>
  <c r="F17" i="9"/>
  <c r="G10" i="9"/>
  <c r="F10" i="9"/>
  <c r="G10" i="3"/>
  <c r="I10" i="3"/>
  <c r="K14" i="3"/>
  <c r="N14" i="3" s="1"/>
  <c r="I6" i="3"/>
  <c r="H7" i="6" s="1"/>
  <c r="T22" i="3"/>
  <c r="P23" i="6" s="1"/>
  <c r="K6" i="3"/>
  <c r="N6" i="3" s="1"/>
  <c r="J12" i="3"/>
  <c r="U12" i="3" s="1"/>
  <c r="T23" i="7" s="1"/>
  <c r="K28" i="10"/>
  <c r="I3" i="3"/>
  <c r="H20" i="7" s="1"/>
  <c r="J25" i="3"/>
  <c r="K25" i="3" s="1"/>
  <c r="N25" i="3" s="1"/>
  <c r="I21" i="3"/>
  <c r="H4" i="7" s="1"/>
  <c r="K22" i="3"/>
  <c r="N22" i="3" s="1"/>
  <c r="K23" i="6" s="1"/>
  <c r="K21" i="3"/>
  <c r="N21" i="3" s="1"/>
  <c r="D39" i="13" s="1"/>
  <c r="I25" i="3"/>
  <c r="H8" i="7" s="1"/>
  <c r="G8" i="10"/>
  <c r="G20" i="7"/>
  <c r="G27" i="6"/>
  <c r="I9" i="3"/>
  <c r="H11" i="7" s="1"/>
  <c r="I13" i="3"/>
  <c r="H14" i="7" s="1"/>
  <c r="D21" i="3"/>
  <c r="C4" i="7" s="1"/>
  <c r="G16" i="6"/>
  <c r="K9" i="3"/>
  <c r="N9" i="3" s="1"/>
  <c r="K10" i="6" s="1"/>
  <c r="J13" i="3"/>
  <c r="D78" i="13" s="1"/>
  <c r="E21" i="3"/>
  <c r="D4" i="7" s="1"/>
  <c r="G7" i="7"/>
  <c r="D100" i="13"/>
  <c r="G18" i="6"/>
  <c r="E31" i="11"/>
  <c r="L31" i="11" s="1"/>
  <c r="G14" i="6"/>
  <c r="K55" i="10"/>
  <c r="C5" i="7"/>
  <c r="E10" i="11"/>
  <c r="L10" i="11" s="1"/>
  <c r="D9" i="3"/>
  <c r="D40" i="10" s="1"/>
  <c r="E9" i="3"/>
  <c r="D11" i="7" s="1"/>
  <c r="I13" i="10"/>
  <c r="G28" i="10"/>
  <c r="D101" i="13"/>
  <c r="V20" i="3"/>
  <c r="I21" i="6" s="1"/>
  <c r="V26" i="3"/>
  <c r="H5" i="10" s="1"/>
  <c r="G6" i="6"/>
  <c r="K36" i="10"/>
  <c r="V3" i="3"/>
  <c r="W3" i="3" s="1"/>
  <c r="U20" i="7" s="1"/>
  <c r="E25" i="3"/>
  <c r="D8" i="7" s="1"/>
  <c r="G4" i="6"/>
  <c r="K17" i="10"/>
  <c r="K37" i="10"/>
  <c r="G24" i="7"/>
  <c r="V22" i="3"/>
  <c r="W22" i="3" s="1"/>
  <c r="U24" i="7" s="1"/>
  <c r="G14" i="7"/>
  <c r="V13" i="3"/>
  <c r="I14" i="6" s="1"/>
  <c r="D23" i="9"/>
  <c r="G23" i="9" s="1"/>
  <c r="G28" i="6"/>
  <c r="D11" i="13"/>
  <c r="G25" i="3"/>
  <c r="J20" i="13" s="1"/>
  <c r="G22" i="6"/>
  <c r="E29" i="11"/>
  <c r="L29" i="11" s="1"/>
  <c r="D81" i="13"/>
  <c r="G11" i="7"/>
  <c r="J41" i="13"/>
  <c r="G12" i="7"/>
  <c r="F25" i="6"/>
  <c r="F9" i="7"/>
  <c r="F8" i="10"/>
  <c r="D20" i="13"/>
  <c r="I25" i="4"/>
  <c r="E7" i="3"/>
  <c r="D7" i="7" s="1"/>
  <c r="C28" i="9"/>
  <c r="G7" i="3"/>
  <c r="J7" i="3"/>
  <c r="K7" i="3" s="1"/>
  <c r="N7" i="3" s="1"/>
  <c r="V9" i="3"/>
  <c r="W9" i="3" s="1"/>
  <c r="U11" i="7" s="1"/>
  <c r="V23" i="3"/>
  <c r="I22" i="7" s="1"/>
  <c r="D5" i="10"/>
  <c r="V14" i="3"/>
  <c r="W14" i="3" s="1"/>
  <c r="U12" i="7" s="1"/>
  <c r="D22" i="3"/>
  <c r="D29" i="11" s="1"/>
  <c r="D13" i="3"/>
  <c r="D32" i="10" s="1"/>
  <c r="E22" i="3"/>
  <c r="D24" i="7" s="1"/>
  <c r="I26" i="3"/>
  <c r="K19" i="6"/>
  <c r="J22" i="7"/>
  <c r="E3" i="3"/>
  <c r="D20" i="7" s="1"/>
  <c r="D6" i="3"/>
  <c r="D48" i="10" s="1"/>
  <c r="E10" i="3"/>
  <c r="D18" i="7" s="1"/>
  <c r="E13" i="3"/>
  <c r="I18" i="3"/>
  <c r="H19" i="6" s="1"/>
  <c r="G22" i="3"/>
  <c r="F17" i="10" s="1"/>
  <c r="E24" i="3"/>
  <c r="D9" i="7" s="1"/>
  <c r="K26" i="3"/>
  <c r="N26" i="3" s="1"/>
  <c r="J5" i="10" s="1"/>
  <c r="K10" i="10"/>
  <c r="E14" i="11"/>
  <c r="L14" i="11" s="1"/>
  <c r="E18" i="11"/>
  <c r="L18" i="11" s="1"/>
  <c r="D7" i="3"/>
  <c r="V11" i="3"/>
  <c r="W11" i="3" s="1"/>
  <c r="U21" i="7" s="1"/>
  <c r="K20" i="10"/>
  <c r="G10" i="6"/>
  <c r="V4" i="3"/>
  <c r="W4" i="3" s="1"/>
  <c r="V27" i="3"/>
  <c r="H10" i="10" s="1"/>
  <c r="G16" i="10"/>
  <c r="D61" i="13"/>
  <c r="G8" i="6"/>
  <c r="D21" i="10"/>
  <c r="D31" i="13"/>
  <c r="G26" i="3"/>
  <c r="F27" i="6" s="1"/>
  <c r="G18" i="3"/>
  <c r="S60" i="13" s="1"/>
  <c r="D10" i="3"/>
  <c r="J20" i="3"/>
  <c r="M21" i="10" s="1"/>
  <c r="D24" i="3"/>
  <c r="D15" i="12" s="1"/>
  <c r="C3" i="7"/>
  <c r="C17" i="7"/>
  <c r="G26" i="7"/>
  <c r="G10" i="10"/>
  <c r="G40" i="10"/>
  <c r="T20" i="13"/>
  <c r="E6" i="3"/>
  <c r="G17" i="10"/>
  <c r="D27" i="11"/>
  <c r="T21" i="13"/>
  <c r="C46" i="4"/>
  <c r="V17" i="3"/>
  <c r="W17" i="3" s="1"/>
  <c r="U13" i="7" s="1"/>
  <c r="E20" i="3"/>
  <c r="D17" i="7" s="1"/>
  <c r="G49" i="10"/>
  <c r="U45" i="13"/>
  <c r="G20" i="3"/>
  <c r="U50" i="13" s="1"/>
  <c r="E26" i="3"/>
  <c r="D3" i="7" s="1"/>
  <c r="K49" i="10"/>
  <c r="I20" i="3"/>
  <c r="G33" i="10"/>
  <c r="F40" i="10"/>
  <c r="D34" i="11"/>
  <c r="F48" i="4"/>
  <c r="H48" i="4" s="1"/>
  <c r="V7" i="3"/>
  <c r="H49" i="10" s="1"/>
  <c r="I22" i="3"/>
  <c r="G3" i="7"/>
  <c r="G24" i="10"/>
  <c r="E27" i="11"/>
  <c r="L27" i="11" s="1"/>
  <c r="I44" i="4"/>
  <c r="J44" i="4" s="1"/>
  <c r="H44" i="4"/>
  <c r="H20" i="10"/>
  <c r="I25" i="7"/>
  <c r="W19" i="3"/>
  <c r="U25" i="7" s="1"/>
  <c r="I20" i="6"/>
  <c r="K11" i="7"/>
  <c r="T9" i="3"/>
  <c r="M40" i="10"/>
  <c r="U9" i="3"/>
  <c r="T11" i="7" s="1"/>
  <c r="O10" i="6"/>
  <c r="G35" i="4"/>
  <c r="I35" i="4" s="1"/>
  <c r="J35" i="4" s="1"/>
  <c r="Q121" i="13"/>
  <c r="K48" i="10"/>
  <c r="G7" i="6"/>
  <c r="V6" i="3"/>
  <c r="G48" i="10"/>
  <c r="G16" i="7"/>
  <c r="I29" i="6" a="1"/>
  <c r="I29" i="6" s="1"/>
  <c r="E13" i="11"/>
  <c r="L13" i="11" s="1"/>
  <c r="E15" i="3"/>
  <c r="D10" i="7" s="1"/>
  <c r="J15" i="3"/>
  <c r="K15" i="3" s="1"/>
  <c r="N15" i="3" s="1"/>
  <c r="I15" i="3"/>
  <c r="D15" i="3"/>
  <c r="G15" i="3"/>
  <c r="I9" i="6"/>
  <c r="H44" i="10"/>
  <c r="I19" i="7"/>
  <c r="W8" i="3"/>
  <c r="U19" i="7" s="1"/>
  <c r="H5" i="6"/>
  <c r="H26" i="7"/>
  <c r="S12" i="7"/>
  <c r="P15" i="6"/>
  <c r="J17" i="3"/>
  <c r="K17" i="3" s="1"/>
  <c r="N17" i="3" s="1"/>
  <c r="I17" i="3"/>
  <c r="E17" i="3"/>
  <c r="D13" i="7" s="1"/>
  <c r="D17" i="3"/>
  <c r="G17" i="3"/>
  <c r="E32" i="11"/>
  <c r="L32" i="11" s="1"/>
  <c r="V25" i="3"/>
  <c r="G9" i="10"/>
  <c r="G8" i="7"/>
  <c r="G26" i="6"/>
  <c r="J21" i="13"/>
  <c r="K9" i="10"/>
  <c r="H6" i="7"/>
  <c r="H6" i="6"/>
  <c r="F7" i="6"/>
  <c r="F48" i="10"/>
  <c r="Q120" i="13"/>
  <c r="D24" i="9"/>
  <c r="U23" i="3"/>
  <c r="T22" i="7" s="1"/>
  <c r="M13" i="10"/>
  <c r="E25" i="11"/>
  <c r="L25" i="11" s="1"/>
  <c r="K25" i="10"/>
  <c r="S61" i="13"/>
  <c r="G15" i="7"/>
  <c r="V18" i="3"/>
  <c r="G25" i="10"/>
  <c r="D140" i="13"/>
  <c r="F4" i="6"/>
  <c r="K23" i="3"/>
  <c r="N23" i="3" s="1"/>
  <c r="E23" i="3"/>
  <c r="D22" i="7" s="1"/>
  <c r="D23" i="3"/>
  <c r="I23" i="3"/>
  <c r="G23" i="3"/>
  <c r="K18" i="7"/>
  <c r="G36" i="4"/>
  <c r="J25" i="10"/>
  <c r="S59" i="13"/>
  <c r="O11" i="6"/>
  <c r="G42" i="4"/>
  <c r="H42" i="4" s="1"/>
  <c r="L114" i="4"/>
  <c r="J114" i="4"/>
  <c r="D12" i="3"/>
  <c r="I12" i="3"/>
  <c r="G12" i="3"/>
  <c r="H15" i="6"/>
  <c r="F15" i="9"/>
  <c r="D32" i="11"/>
  <c r="I12" i="12"/>
  <c r="J24" i="6"/>
  <c r="G7" i="9"/>
  <c r="F7" i="9"/>
  <c r="N11" i="12"/>
  <c r="I42" i="4"/>
  <c r="J42" i="4" s="1"/>
  <c r="O15" i="6"/>
  <c r="M33" i="10"/>
  <c r="K12" i="7"/>
  <c r="G40" i="4"/>
  <c r="E8" i="3"/>
  <c r="D19" i="7" s="1"/>
  <c r="D8" i="3"/>
  <c r="J8" i="3"/>
  <c r="I8" i="3"/>
  <c r="G8" i="3"/>
  <c r="U14" i="3"/>
  <c r="T12" i="7" s="1"/>
  <c r="F20" i="10"/>
  <c r="F20" i="6"/>
  <c r="D50" i="13"/>
  <c r="D27" i="3"/>
  <c r="E27" i="3"/>
  <c r="D27" i="7" s="1"/>
  <c r="J27" i="3"/>
  <c r="I27" i="3"/>
  <c r="G49" i="4"/>
  <c r="K22" i="7"/>
  <c r="F55" i="10"/>
  <c r="G18" i="7"/>
  <c r="P101" i="13"/>
  <c r="G11" i="6"/>
  <c r="E17" i="11"/>
  <c r="L17" i="11" s="1"/>
  <c r="V10" i="3"/>
  <c r="S15" i="7"/>
  <c r="P19" i="6"/>
  <c r="F27" i="7"/>
  <c r="D25" i="4"/>
  <c r="J107" i="4"/>
  <c r="E11" i="3"/>
  <c r="D21" i="7" s="1"/>
  <c r="F14" i="7"/>
  <c r="D80" i="13"/>
  <c r="F28" i="9"/>
  <c r="E14" i="3"/>
  <c r="D12" i="7" s="1"/>
  <c r="D14" i="3"/>
  <c r="G14" i="3"/>
  <c r="G43" i="4"/>
  <c r="K13" i="7"/>
  <c r="O18" i="6"/>
  <c r="F32" i="10"/>
  <c r="K5" i="7"/>
  <c r="O17" i="6"/>
  <c r="M29" i="10"/>
  <c r="F25" i="4"/>
  <c r="K5" i="3"/>
  <c r="N5" i="3" s="1"/>
  <c r="L102" i="4"/>
  <c r="G45" i="4"/>
  <c r="K25" i="7"/>
  <c r="K3" i="7"/>
  <c r="M5" i="10"/>
  <c r="O27" i="6"/>
  <c r="F20" i="7"/>
  <c r="I32" i="4"/>
  <c r="J32" i="4" s="1"/>
  <c r="H32" i="4"/>
  <c r="D111" i="13"/>
  <c r="K44" i="10"/>
  <c r="G9" i="6"/>
  <c r="G19" i="7"/>
  <c r="G44" i="10"/>
  <c r="E15" i="11"/>
  <c r="L15" i="11" s="1"/>
  <c r="J11" i="3"/>
  <c r="K11" i="3" s="1"/>
  <c r="N11" i="3" s="1"/>
  <c r="I11" i="3"/>
  <c r="G11" i="3"/>
  <c r="D11" i="3"/>
  <c r="G29" i="10"/>
  <c r="T70" i="13"/>
  <c r="V16" i="3"/>
  <c r="T71" i="13"/>
  <c r="E23" i="11"/>
  <c r="L23" i="11" s="1"/>
  <c r="K29" i="10"/>
  <c r="G5" i="7"/>
  <c r="G17" i="6"/>
  <c r="T23" i="3"/>
  <c r="J29" i="10"/>
  <c r="L5" i="7"/>
  <c r="K17" i="6"/>
  <c r="T69" i="13"/>
  <c r="C26" i="9"/>
  <c r="D9" i="10"/>
  <c r="J15" i="13"/>
  <c r="D14" i="12"/>
  <c r="C51" i="4"/>
  <c r="S5" i="7"/>
  <c r="H8" i="6"/>
  <c r="H7" i="7"/>
  <c r="G25" i="7"/>
  <c r="G20" i="6"/>
  <c r="G20" i="10"/>
  <c r="D51" i="13"/>
  <c r="F28" i="6"/>
  <c r="E26" i="11"/>
  <c r="L26" i="11" s="1"/>
  <c r="F49" i="4"/>
  <c r="I40" i="4"/>
  <c r="J40" i="4" s="1"/>
  <c r="H40" i="4"/>
  <c r="O8" i="6"/>
  <c r="N13" i="12"/>
  <c r="F14" i="6"/>
  <c r="G41" i="10"/>
  <c r="J4" i="3"/>
  <c r="G4" i="3"/>
  <c r="E4" i="3"/>
  <c r="D26" i="7" s="1"/>
  <c r="T6" i="3"/>
  <c r="J10" i="3"/>
  <c r="G37" i="10"/>
  <c r="E19" i="11"/>
  <c r="L19" i="11" s="1"/>
  <c r="G13" i="6"/>
  <c r="V12" i="3"/>
  <c r="J19" i="3"/>
  <c r="I19" i="3"/>
  <c r="U22" i="3"/>
  <c r="T24" i="7" s="1"/>
  <c r="G9" i="7"/>
  <c r="K8" i="10"/>
  <c r="G25" i="6"/>
  <c r="V24" i="3"/>
  <c r="O19" i="6"/>
  <c r="E28" i="11"/>
  <c r="L28" i="11" s="1"/>
  <c r="K16" i="10"/>
  <c r="V21" i="3"/>
  <c r="D19" i="4"/>
  <c r="D121" i="13"/>
  <c r="D12" i="12"/>
  <c r="E12" i="11"/>
  <c r="L12" i="11" s="1"/>
  <c r="G47" i="10"/>
  <c r="K47" i="10"/>
  <c r="G6" i="7"/>
  <c r="U6" i="3"/>
  <c r="T16" i="7" s="1"/>
  <c r="O9" i="6"/>
  <c r="E22" i="11"/>
  <c r="L22" i="11" s="1"/>
  <c r="G17" i="7"/>
  <c r="G21" i="10"/>
  <c r="G21" i="6"/>
  <c r="J23" i="6"/>
  <c r="J38" i="13"/>
  <c r="J24" i="7"/>
  <c r="I17" i="10"/>
  <c r="K27" i="7"/>
  <c r="O28" i="6"/>
  <c r="G52" i="10"/>
  <c r="T91" i="13"/>
  <c r="J3" i="3"/>
  <c r="D3" i="3"/>
  <c r="D91" i="13"/>
  <c r="G36" i="10"/>
  <c r="G12" i="6"/>
  <c r="T21" i="3"/>
  <c r="O13" i="6"/>
  <c r="O22" i="6"/>
  <c r="D4" i="3"/>
  <c r="I6" i="7"/>
  <c r="I6" i="6"/>
  <c r="E18" i="3"/>
  <c r="D15" i="7" s="1"/>
  <c r="D18" i="3"/>
  <c r="G13" i="10"/>
  <c r="E30" i="11"/>
  <c r="L30" i="11" s="1"/>
  <c r="K13" i="10"/>
  <c r="J24" i="3"/>
  <c r="K24" i="3" s="1"/>
  <c r="N24" i="3" s="1"/>
  <c r="I24" i="3"/>
  <c r="K5" i="10"/>
  <c r="D41" i="13"/>
  <c r="U51" i="13"/>
  <c r="D71" i="13"/>
  <c r="S81" i="13"/>
  <c r="G8" i="15"/>
  <c r="C15" i="15"/>
  <c r="I8" i="15" s="1"/>
  <c r="H47" i="4"/>
  <c r="D131" i="13"/>
  <c r="E11" i="11"/>
  <c r="L11" i="11" s="1"/>
  <c r="G5" i="6"/>
  <c r="W5" i="3"/>
  <c r="U6" i="7" s="1"/>
  <c r="V15" i="3"/>
  <c r="D19" i="3"/>
  <c r="D40" i="13"/>
  <c r="F22" i="6"/>
  <c r="F4" i="7"/>
  <c r="F10" i="6"/>
  <c r="G15" i="6"/>
  <c r="G24" i="6"/>
  <c r="K14" i="7"/>
  <c r="K33" i="10"/>
  <c r="M48" i="10"/>
  <c r="N10" i="12"/>
  <c r="I9" i="15"/>
  <c r="H9" i="15"/>
  <c r="E20" i="11"/>
  <c r="L20" i="11" s="1"/>
  <c r="K32" i="10"/>
  <c r="E24" i="11"/>
  <c r="L24" i="11" s="1"/>
  <c r="K24" i="10"/>
  <c r="D15" i="16"/>
  <c r="D20" i="16" s="1"/>
  <c r="D21" i="16" s="1"/>
  <c r="D12" i="16"/>
  <c r="D13" i="16" s="1"/>
  <c r="K40" i="10"/>
  <c r="G55" i="10"/>
  <c r="Q119" i="13" l="1"/>
  <c r="J48" i="10"/>
  <c r="L16" i="7"/>
  <c r="K15" i="6"/>
  <c r="L12" i="7"/>
  <c r="S79" i="13"/>
  <c r="J33" i="10"/>
  <c r="F41" i="10"/>
  <c r="F11" i="6"/>
  <c r="F18" i="7"/>
  <c r="P100" i="13"/>
  <c r="H11" i="6"/>
  <c r="H18" i="7"/>
  <c r="M37" i="10"/>
  <c r="K12" i="3"/>
  <c r="N12" i="3" s="1"/>
  <c r="J19" i="13"/>
  <c r="K26" i="6"/>
  <c r="L8" i="7"/>
  <c r="J9" i="10"/>
  <c r="H16" i="7"/>
  <c r="S24" i="7"/>
  <c r="T88" i="13"/>
  <c r="F38" i="4"/>
  <c r="T12" i="3"/>
  <c r="P13" i="6" s="1"/>
  <c r="J26" i="6"/>
  <c r="U25" i="3"/>
  <c r="T8" i="7" s="1"/>
  <c r="I4" i="6"/>
  <c r="D26" i="6"/>
  <c r="T25" i="3"/>
  <c r="P26" i="6" s="1"/>
  <c r="J18" i="13"/>
  <c r="M9" i="10"/>
  <c r="J8" i="7"/>
  <c r="J39" i="13"/>
  <c r="L24" i="7"/>
  <c r="H4" i="6"/>
  <c r="J13" i="6"/>
  <c r="H10" i="6"/>
  <c r="C17" i="9"/>
  <c r="J17" i="10"/>
  <c r="L4" i="7"/>
  <c r="I9" i="10"/>
  <c r="J23" i="7"/>
  <c r="K7" i="6"/>
  <c r="I37" i="10"/>
  <c r="C35" i="4"/>
  <c r="H26" i="6"/>
  <c r="D35" i="13"/>
  <c r="F51" i="4"/>
  <c r="H51" i="4" s="1"/>
  <c r="D13" i="9"/>
  <c r="F13" i="9" s="1"/>
  <c r="D26" i="9"/>
  <c r="F26" i="9" s="1"/>
  <c r="C11" i="7"/>
  <c r="J16" i="10"/>
  <c r="D21" i="9"/>
  <c r="G21" i="9" s="1"/>
  <c r="K22" i="6"/>
  <c r="D16" i="11"/>
  <c r="D95" i="13"/>
  <c r="F86" i="4"/>
  <c r="C14" i="9"/>
  <c r="D14" i="9"/>
  <c r="F14" i="9" s="1"/>
  <c r="D16" i="10"/>
  <c r="J14" i="6"/>
  <c r="M32" i="10"/>
  <c r="D23" i="11"/>
  <c r="C42" i="4"/>
  <c r="J14" i="7"/>
  <c r="D29" i="10"/>
  <c r="H22" i="6"/>
  <c r="C47" i="4"/>
  <c r="D28" i="11"/>
  <c r="T13" i="3"/>
  <c r="P14" i="6" s="1"/>
  <c r="C22" i="9"/>
  <c r="L11" i="7"/>
  <c r="J40" i="10"/>
  <c r="D17" i="6"/>
  <c r="H14" i="6"/>
  <c r="G86" i="4"/>
  <c r="X118" i="13"/>
  <c r="D99" i="13"/>
  <c r="D11" i="12"/>
  <c r="T65" i="13"/>
  <c r="D10" i="6"/>
  <c r="F19" i="6"/>
  <c r="D8" i="9"/>
  <c r="G8" i="9" s="1"/>
  <c r="I32" i="10"/>
  <c r="F39" i="4"/>
  <c r="W26" i="3"/>
  <c r="U3" i="7" s="1"/>
  <c r="I27" i="6"/>
  <c r="K13" i="3"/>
  <c r="N13" i="3" s="1"/>
  <c r="F90" i="4" s="1"/>
  <c r="H13" i="10"/>
  <c r="D22" i="6"/>
  <c r="F15" i="7"/>
  <c r="U13" i="3"/>
  <c r="T14" i="7" s="1"/>
  <c r="I20" i="7"/>
  <c r="H55" i="10"/>
  <c r="I3" i="7"/>
  <c r="I17" i="7"/>
  <c r="H52" i="10"/>
  <c r="H21" i="10"/>
  <c r="I26" i="7"/>
  <c r="F24" i="7"/>
  <c r="D27" i="6"/>
  <c r="I5" i="6"/>
  <c r="J40" i="13"/>
  <c r="D11" i="6"/>
  <c r="D8" i="6"/>
  <c r="C10" i="9"/>
  <c r="D17" i="11"/>
  <c r="J7" i="7"/>
  <c r="F23" i="6"/>
  <c r="F9" i="10"/>
  <c r="P95" i="13"/>
  <c r="F26" i="6"/>
  <c r="W20" i="3"/>
  <c r="U17" i="7" s="1"/>
  <c r="H15" i="7"/>
  <c r="F8" i="7"/>
  <c r="I49" i="10"/>
  <c r="I15" i="6"/>
  <c r="C50" i="4"/>
  <c r="H17" i="10"/>
  <c r="I24" i="7"/>
  <c r="I13" i="7"/>
  <c r="C25" i="9"/>
  <c r="I24" i="6"/>
  <c r="I8" i="6"/>
  <c r="I7" i="7"/>
  <c r="I12" i="6"/>
  <c r="K20" i="3"/>
  <c r="N20" i="3" s="1"/>
  <c r="K21" i="6" s="1"/>
  <c r="I14" i="7"/>
  <c r="I23" i="6"/>
  <c r="C9" i="7"/>
  <c r="H36" i="10"/>
  <c r="H32" i="10"/>
  <c r="W13" i="3"/>
  <c r="U14" i="7" s="1"/>
  <c r="D49" i="10"/>
  <c r="I18" i="6"/>
  <c r="I21" i="7"/>
  <c r="D7" i="6"/>
  <c r="W7" i="3"/>
  <c r="U7" i="7" s="1"/>
  <c r="F5" i="10"/>
  <c r="F25" i="10"/>
  <c r="X115" i="13"/>
  <c r="D21" i="6"/>
  <c r="W23" i="3"/>
  <c r="U22" i="7" s="1"/>
  <c r="F23" i="9"/>
  <c r="X119" i="13"/>
  <c r="K8" i="6"/>
  <c r="J49" i="10"/>
  <c r="L7" i="7"/>
  <c r="J35" i="13"/>
  <c r="F83" i="4"/>
  <c r="I10" i="6"/>
  <c r="I11" i="7"/>
  <c r="H40" i="10"/>
  <c r="C23" i="9"/>
  <c r="D17" i="10"/>
  <c r="G83" i="4"/>
  <c r="I27" i="7"/>
  <c r="W27" i="3"/>
  <c r="U27" i="7" s="1"/>
  <c r="I28" i="6"/>
  <c r="D25" i="6"/>
  <c r="D14" i="6"/>
  <c r="D14" i="7"/>
  <c r="D13" i="11"/>
  <c r="C32" i="4"/>
  <c r="C7" i="9"/>
  <c r="Q115" i="13"/>
  <c r="C16" i="7"/>
  <c r="H24" i="10"/>
  <c r="F21" i="6"/>
  <c r="C14" i="7"/>
  <c r="D23" i="6"/>
  <c r="C48" i="4"/>
  <c r="H21" i="6"/>
  <c r="H17" i="7"/>
  <c r="D9" i="13"/>
  <c r="K27" i="6"/>
  <c r="D13" i="12"/>
  <c r="C24" i="7"/>
  <c r="F17" i="7"/>
  <c r="M49" i="10"/>
  <c r="D20" i="11"/>
  <c r="H24" i="7"/>
  <c r="H23" i="6"/>
  <c r="H3" i="7"/>
  <c r="H27" i="6"/>
  <c r="U7" i="3"/>
  <c r="T7" i="7" s="1"/>
  <c r="T7" i="3"/>
  <c r="F33" i="4"/>
  <c r="D16" i="7"/>
  <c r="I12" i="7"/>
  <c r="F7" i="7"/>
  <c r="F8" i="6"/>
  <c r="F49" i="10"/>
  <c r="X120" i="13"/>
  <c r="H33" i="10"/>
  <c r="L3" i="7"/>
  <c r="D31" i="11"/>
  <c r="D8" i="10"/>
  <c r="D15" i="13"/>
  <c r="U48" i="13"/>
  <c r="J17" i="7"/>
  <c r="U20" i="3"/>
  <c r="T17" i="7" s="1"/>
  <c r="F46" i="4"/>
  <c r="T20" i="3"/>
  <c r="J21" i="6"/>
  <c r="F21" i="10"/>
  <c r="C36" i="4"/>
  <c r="C18" i="7"/>
  <c r="C11" i="9"/>
  <c r="C39" i="4"/>
  <c r="C8" i="9"/>
  <c r="D14" i="11"/>
  <c r="C33" i="4"/>
  <c r="C7" i="7"/>
  <c r="I21" i="10"/>
  <c r="D41" i="10"/>
  <c r="J8" i="6"/>
  <c r="D75" i="13"/>
  <c r="I48" i="4"/>
  <c r="J48" i="4" s="1"/>
  <c r="D10" i="13"/>
  <c r="F3" i="7"/>
  <c r="D119" i="13"/>
  <c r="J47" i="10"/>
  <c r="K6" i="6"/>
  <c r="F94" i="4"/>
  <c r="L6" i="7"/>
  <c r="G94" i="4"/>
  <c r="L10" i="7"/>
  <c r="D69" i="13"/>
  <c r="K16" i="6"/>
  <c r="G89" i="4"/>
  <c r="J28" i="10"/>
  <c r="F89" i="4"/>
  <c r="D21" i="11"/>
  <c r="S75" i="13"/>
  <c r="D15" i="6"/>
  <c r="D33" i="10"/>
  <c r="C12" i="7"/>
  <c r="C40" i="4"/>
  <c r="C15" i="9"/>
  <c r="I44" i="10"/>
  <c r="D9" i="9"/>
  <c r="M44" i="10"/>
  <c r="F34" i="4"/>
  <c r="U8" i="3"/>
  <c r="T19" i="7" s="1"/>
  <c r="D108" i="13"/>
  <c r="T8" i="3"/>
  <c r="J19" i="7"/>
  <c r="J9" i="6"/>
  <c r="H19" i="7"/>
  <c r="H9" i="6"/>
  <c r="H29" i="10"/>
  <c r="W16" i="3"/>
  <c r="U5" i="7" s="1"/>
  <c r="I5" i="7"/>
  <c r="I17" i="6"/>
  <c r="D33" i="11"/>
  <c r="D10" i="12"/>
  <c r="D10" i="10"/>
  <c r="T15" i="13"/>
  <c r="C27" i="7"/>
  <c r="D28" i="6"/>
  <c r="C27" i="9"/>
  <c r="W12" i="3"/>
  <c r="U23" i="7" s="1"/>
  <c r="H37" i="10"/>
  <c r="I23" i="7"/>
  <c r="I13" i="6"/>
  <c r="D20" i="6"/>
  <c r="C20" i="9"/>
  <c r="D20" i="10"/>
  <c r="C25" i="7"/>
  <c r="D26" i="11"/>
  <c r="C45" i="4"/>
  <c r="D45" i="13"/>
  <c r="I16" i="6"/>
  <c r="H28" i="10"/>
  <c r="I10" i="7"/>
  <c r="W15" i="3"/>
  <c r="U10" i="7" s="1"/>
  <c r="W10" i="3"/>
  <c r="U18" i="7" s="1"/>
  <c r="I11" i="6"/>
  <c r="I18" i="7"/>
  <c r="H41" i="10"/>
  <c r="G24" i="9"/>
  <c r="F24" i="9"/>
  <c r="L13" i="7"/>
  <c r="G88" i="4"/>
  <c r="F88" i="4"/>
  <c r="D59" i="13"/>
  <c r="K18" i="6"/>
  <c r="J24" i="10"/>
  <c r="T18" i="13"/>
  <c r="D27" i="9"/>
  <c r="U27" i="3"/>
  <c r="T27" i="7" s="1"/>
  <c r="M10" i="10"/>
  <c r="T27" i="3"/>
  <c r="I10" i="10"/>
  <c r="J28" i="6"/>
  <c r="J27" i="7"/>
  <c r="H25" i="7"/>
  <c r="H20" i="6"/>
  <c r="K27" i="3"/>
  <c r="N27" i="3" s="1"/>
  <c r="G84" i="4" s="1"/>
  <c r="D20" i="9"/>
  <c r="U19" i="3"/>
  <c r="T25" i="7" s="1"/>
  <c r="D48" i="13"/>
  <c r="I20" i="10"/>
  <c r="F45" i="4"/>
  <c r="J25" i="7"/>
  <c r="T19" i="3"/>
  <c r="M20" i="10"/>
  <c r="J20" i="6"/>
  <c r="K19" i="3"/>
  <c r="N19" i="3" s="1"/>
  <c r="D138" i="13"/>
  <c r="D4" i="9"/>
  <c r="U3" i="3"/>
  <c r="T20" i="7" s="1"/>
  <c r="M55" i="10"/>
  <c r="T3" i="3"/>
  <c r="K3" i="3"/>
  <c r="I55" i="10"/>
  <c r="J4" i="6"/>
  <c r="J20" i="7"/>
  <c r="F29" i="4"/>
  <c r="I26" i="6"/>
  <c r="H9" i="10"/>
  <c r="W25" i="3"/>
  <c r="U8" i="7" s="1"/>
  <c r="I8" i="7"/>
  <c r="F22" i="7"/>
  <c r="F24" i="6"/>
  <c r="F13" i="10"/>
  <c r="D30" i="13"/>
  <c r="H24" i="6"/>
  <c r="H22" i="7"/>
  <c r="W18" i="3"/>
  <c r="U15" i="7" s="1"/>
  <c r="H25" i="10"/>
  <c r="I19" i="6"/>
  <c r="I15" i="7"/>
  <c r="H27" i="7"/>
  <c r="H28" i="6"/>
  <c r="S80" i="13"/>
  <c r="F15" i="6"/>
  <c r="F33" i="10"/>
  <c r="F12" i="7"/>
  <c r="D19" i="13"/>
  <c r="L9" i="7"/>
  <c r="K25" i="6"/>
  <c r="J8" i="10"/>
  <c r="W6" i="3"/>
  <c r="U16" i="7" s="1"/>
  <c r="I7" i="6"/>
  <c r="H48" i="10"/>
  <c r="I16" i="7"/>
  <c r="H25" i="6"/>
  <c r="H9" i="7"/>
  <c r="T24" i="3"/>
  <c r="D18" i="13"/>
  <c r="M8" i="10"/>
  <c r="U24" i="3"/>
  <c r="T9" i="7" s="1"/>
  <c r="J25" i="6"/>
  <c r="D25" i="9"/>
  <c r="I8" i="10"/>
  <c r="J9" i="7"/>
  <c r="F50" i="4"/>
  <c r="D85" i="13"/>
  <c r="C21" i="7"/>
  <c r="D18" i="11"/>
  <c r="C37" i="4"/>
  <c r="D12" i="6"/>
  <c r="C12" i="9"/>
  <c r="D36" i="10"/>
  <c r="F6" i="7"/>
  <c r="F6" i="6"/>
  <c r="F47" i="10"/>
  <c r="D120" i="13"/>
  <c r="D89" i="13"/>
  <c r="L21" i="7"/>
  <c r="K12" i="6"/>
  <c r="J36" i="10"/>
  <c r="I22" i="6"/>
  <c r="W21" i="3"/>
  <c r="U4" i="7" s="1"/>
  <c r="H16" i="10"/>
  <c r="I4" i="7"/>
  <c r="I49" i="4"/>
  <c r="J49" i="4" s="1"/>
  <c r="H49" i="4"/>
  <c r="H21" i="7"/>
  <c r="H12" i="6"/>
  <c r="D25" i="11"/>
  <c r="C15" i="7"/>
  <c r="S55" i="13"/>
  <c r="C19" i="9"/>
  <c r="D19" i="6"/>
  <c r="C44" i="4"/>
  <c r="D25" i="10"/>
  <c r="J11" i="6"/>
  <c r="F36" i="4"/>
  <c r="P98" i="13"/>
  <c r="U10" i="3"/>
  <c r="T18" i="7" s="1"/>
  <c r="M41" i="10"/>
  <c r="T10" i="3"/>
  <c r="J18" i="7"/>
  <c r="I41" i="10"/>
  <c r="D11" i="9"/>
  <c r="T11" i="3"/>
  <c r="D12" i="9"/>
  <c r="M36" i="10"/>
  <c r="D88" i="13"/>
  <c r="F37" i="4"/>
  <c r="J12" i="6"/>
  <c r="I36" i="10"/>
  <c r="J21" i="7"/>
  <c r="U11" i="3"/>
  <c r="T21" i="7" s="1"/>
  <c r="K10" i="3"/>
  <c r="N10" i="3" s="1"/>
  <c r="T90" i="13"/>
  <c r="F37" i="10"/>
  <c r="F13" i="6"/>
  <c r="F23" i="7"/>
  <c r="C24" i="9"/>
  <c r="C22" i="7"/>
  <c r="D24" i="6"/>
  <c r="D30" i="11"/>
  <c r="D25" i="13"/>
  <c r="C49" i="4"/>
  <c r="D13" i="10"/>
  <c r="H35" i="4"/>
  <c r="F28" i="10"/>
  <c r="F10" i="7"/>
  <c r="D70" i="13"/>
  <c r="F16" i="6"/>
  <c r="F36" i="10"/>
  <c r="F12" i="6"/>
  <c r="D90" i="13"/>
  <c r="F21" i="7"/>
  <c r="T5" i="3"/>
  <c r="D6" i="9"/>
  <c r="D118" i="13"/>
  <c r="J6" i="7"/>
  <c r="J6" i="6"/>
  <c r="F31" i="4"/>
  <c r="M47" i="10"/>
  <c r="I47" i="10"/>
  <c r="S16" i="7"/>
  <c r="P7" i="6"/>
  <c r="H13" i="6"/>
  <c r="H23" i="7"/>
  <c r="F18" i="6"/>
  <c r="F24" i="10"/>
  <c r="D60" i="13"/>
  <c r="F13" i="7"/>
  <c r="C16" i="9"/>
  <c r="D28" i="10"/>
  <c r="C10" i="7"/>
  <c r="C41" i="4"/>
  <c r="D22" i="11"/>
  <c r="D16" i="6"/>
  <c r="D65" i="13"/>
  <c r="S11" i="7"/>
  <c r="P10" i="6"/>
  <c r="D29" i="13"/>
  <c r="J13" i="10"/>
  <c r="K24" i="6"/>
  <c r="L22" i="7"/>
  <c r="G85" i="4"/>
  <c r="F85" i="4"/>
  <c r="D24" i="11"/>
  <c r="D24" i="10"/>
  <c r="D55" i="13"/>
  <c r="C18" i="9"/>
  <c r="C43" i="4"/>
  <c r="C13" i="7"/>
  <c r="D18" i="6"/>
  <c r="H16" i="6"/>
  <c r="H10" i="7"/>
  <c r="D110" i="13"/>
  <c r="F44" i="10"/>
  <c r="F19" i="7"/>
  <c r="F9" i="6"/>
  <c r="P22" i="6"/>
  <c r="S4" i="7"/>
  <c r="D105" i="13"/>
  <c r="D15" i="11"/>
  <c r="C9" i="9"/>
  <c r="D44" i="10"/>
  <c r="C19" i="7"/>
  <c r="C34" i="4"/>
  <c r="D9" i="6"/>
  <c r="K8" i="3"/>
  <c r="N8" i="3" s="1"/>
  <c r="D4" i="6"/>
  <c r="D135" i="13"/>
  <c r="H5" i="4" a="1"/>
  <c r="H5" i="4" s="1"/>
  <c r="C15" i="8" s="1"/>
  <c r="F5" i="4" a="1"/>
  <c r="F5" i="4" s="1"/>
  <c r="C20" i="7"/>
  <c r="C4" i="9"/>
  <c r="D10" i="11"/>
  <c r="J5" i="4"/>
  <c r="D55" i="10"/>
  <c r="C29" i="4"/>
  <c r="D5" i="4"/>
  <c r="D130" i="13"/>
  <c r="F52" i="10"/>
  <c r="F26" i="7"/>
  <c r="F5" i="6"/>
  <c r="C23" i="7"/>
  <c r="T85" i="13"/>
  <c r="D37" i="10"/>
  <c r="C13" i="9"/>
  <c r="D13" i="6"/>
  <c r="D19" i="11"/>
  <c r="C38" i="4"/>
  <c r="U15" i="3"/>
  <c r="T10" i="7" s="1"/>
  <c r="M28" i="10"/>
  <c r="J16" i="6"/>
  <c r="F41" i="4"/>
  <c r="T15" i="3"/>
  <c r="D16" i="9"/>
  <c r="D68" i="13"/>
  <c r="I28" i="10"/>
  <c r="J10" i="7"/>
  <c r="P24" i="6"/>
  <c r="S22" i="7"/>
  <c r="G10" i="15"/>
  <c r="H8" i="15"/>
  <c r="D125" i="13"/>
  <c r="C5" i="9"/>
  <c r="C26" i="7"/>
  <c r="D11" i="11"/>
  <c r="D52" i="10"/>
  <c r="C30" i="4"/>
  <c r="D5" i="6"/>
  <c r="W24" i="3"/>
  <c r="U9" i="7" s="1"/>
  <c r="I25" i="6"/>
  <c r="H8" i="10"/>
  <c r="I9" i="7"/>
  <c r="D128" i="13"/>
  <c r="M52" i="10"/>
  <c r="I52" i="10"/>
  <c r="D5" i="9"/>
  <c r="F30" i="4"/>
  <c r="U4" i="3"/>
  <c r="T26" i="7" s="1"/>
  <c r="T4" i="3"/>
  <c r="J26" i="7"/>
  <c r="J5" i="6"/>
  <c r="K4" i="3"/>
  <c r="N4" i="3" s="1"/>
  <c r="H13" i="7"/>
  <c r="H18" i="6"/>
  <c r="U26" i="7"/>
  <c r="T17" i="3"/>
  <c r="I24" i="10"/>
  <c r="D58" i="13"/>
  <c r="F43" i="4"/>
  <c r="J13" i="7"/>
  <c r="J18" i="6"/>
  <c r="U17" i="3"/>
  <c r="T13" i="7" s="1"/>
  <c r="M24" i="10"/>
  <c r="D18" i="9"/>
  <c r="K13" i="6" l="1"/>
  <c r="F91" i="4"/>
  <c r="L23" i="7"/>
  <c r="G91" i="4"/>
  <c r="J37" i="10"/>
  <c r="T89" i="13"/>
  <c r="H38" i="4"/>
  <c r="I38" i="4"/>
  <c r="J38" i="4" s="1"/>
  <c r="S23" i="7"/>
  <c r="S8" i="7"/>
  <c r="F84" i="4"/>
  <c r="G26" i="9"/>
  <c r="F8" i="9"/>
  <c r="I51" i="4"/>
  <c r="J51" i="4" s="1"/>
  <c r="G13" i="9"/>
  <c r="S14" i="7"/>
  <c r="F21" i="9"/>
  <c r="G14" i="9"/>
  <c r="G90" i="4"/>
  <c r="J32" i="10"/>
  <c r="L14" i="7"/>
  <c r="K14" i="6"/>
  <c r="I39" i="4"/>
  <c r="J39" i="4" s="1"/>
  <c r="H39" i="4"/>
  <c r="D79" i="13"/>
  <c r="L17" i="7"/>
  <c r="U49" i="13"/>
  <c r="J21" i="10"/>
  <c r="S17" i="7"/>
  <c r="P21" i="6"/>
  <c r="H33" i="4"/>
  <c r="I33" i="4"/>
  <c r="J33" i="4" s="1"/>
  <c r="I46" i="4"/>
  <c r="J46" i="4" s="1"/>
  <c r="H46" i="4"/>
  <c r="S7" i="7"/>
  <c r="P8" i="6"/>
  <c r="S19" i="7"/>
  <c r="P9" i="6"/>
  <c r="J44" i="10"/>
  <c r="G93" i="4"/>
  <c r="F93" i="4"/>
  <c r="K9" i="6"/>
  <c r="D109" i="13"/>
  <c r="L19" i="7"/>
  <c r="F20" i="9"/>
  <c r="G20" i="9"/>
  <c r="P18" i="6"/>
  <c r="S13" i="7"/>
  <c r="F11" i="9"/>
  <c r="G11" i="9"/>
  <c r="G5" i="14"/>
  <c r="E5" i="14"/>
  <c r="C5" i="14"/>
  <c r="D5" i="14" s="1"/>
  <c r="V28" i="3"/>
  <c r="K5" i="14"/>
  <c r="H5" i="14"/>
  <c r="F23" i="2"/>
  <c r="G52" i="4"/>
  <c r="F52" i="4"/>
  <c r="F21" i="2"/>
  <c r="D9" i="2"/>
  <c r="D30" i="9"/>
  <c r="F22" i="2"/>
  <c r="K28" i="3"/>
  <c r="N3" i="3"/>
  <c r="H93" i="4" s="1"/>
  <c r="D11" i="2"/>
  <c r="F16" i="9"/>
  <c r="G16" i="9"/>
  <c r="P16" i="6"/>
  <c r="S10" i="7"/>
  <c r="S9" i="7"/>
  <c r="P25" i="6"/>
  <c r="G9" i="9"/>
  <c r="F9" i="9"/>
  <c r="F5" i="9"/>
  <c r="G5" i="9"/>
  <c r="H50" i="4"/>
  <c r="I50" i="4"/>
  <c r="J50" i="4" s="1"/>
  <c r="H45" i="4"/>
  <c r="I45" i="4"/>
  <c r="J45" i="4" s="1"/>
  <c r="F6" i="9"/>
  <c r="G6" i="9"/>
  <c r="F12" i="9"/>
  <c r="G12" i="9"/>
  <c r="S21" i="7"/>
  <c r="P12" i="6"/>
  <c r="P4" i="6"/>
  <c r="S20" i="7"/>
  <c r="I34" i="4"/>
  <c r="J34" i="4" s="1"/>
  <c r="H34" i="4"/>
  <c r="H41" i="4"/>
  <c r="I41" i="4"/>
  <c r="J41" i="4" s="1"/>
  <c r="S18" i="7"/>
  <c r="P11" i="6"/>
  <c r="F4" i="9"/>
  <c r="G4" i="9"/>
  <c r="J10" i="10"/>
  <c r="K28" i="6"/>
  <c r="L27" i="7"/>
  <c r="T19" i="13"/>
  <c r="K20" i="6"/>
  <c r="D49" i="13"/>
  <c r="J20" i="10"/>
  <c r="L25" i="7"/>
  <c r="G87" i="4"/>
  <c r="F87" i="4"/>
  <c r="P28" i="6"/>
  <c r="S27" i="7"/>
  <c r="I29" i="4"/>
  <c r="J29" i="4" s="1"/>
  <c r="H29" i="4"/>
  <c r="S6" i="7"/>
  <c r="P6" i="6"/>
  <c r="P99" i="13"/>
  <c r="K11" i="6"/>
  <c r="L18" i="7"/>
  <c r="J41" i="10"/>
  <c r="G92" i="4"/>
  <c r="F92" i="4"/>
  <c r="I36" i="4"/>
  <c r="J36" i="4" s="1"/>
  <c r="H36" i="4"/>
  <c r="I30" i="4"/>
  <c r="J30" i="4" s="1"/>
  <c r="H30" i="4"/>
  <c r="I10" i="15"/>
  <c r="I11" i="15" s="1"/>
  <c r="H10" i="15"/>
  <c r="H11" i="15" s="1"/>
  <c r="G11" i="15"/>
  <c r="G25" i="9"/>
  <c r="F25" i="9"/>
  <c r="W28" i="3"/>
  <c r="D129" i="13"/>
  <c r="J52" i="10"/>
  <c r="G95" i="4"/>
  <c r="L26" i="7"/>
  <c r="K5" i="6"/>
  <c r="F95" i="4"/>
  <c r="G18" i="9"/>
  <c r="F18" i="9"/>
  <c r="S26" i="7"/>
  <c r="P5" i="6"/>
  <c r="I31" i="4"/>
  <c r="J31" i="4" s="1"/>
  <c r="H31" i="4"/>
  <c r="I37" i="4"/>
  <c r="J37" i="4" s="1"/>
  <c r="H37" i="4"/>
  <c r="I43" i="4"/>
  <c r="J43" i="4" s="1"/>
  <c r="H43" i="4"/>
  <c r="S25" i="7"/>
  <c r="P20" i="6"/>
  <c r="F27" i="9"/>
  <c r="G27" i="9"/>
  <c r="H52" i="4" l="1"/>
  <c r="I52" i="4" s="1"/>
  <c r="H87" i="4"/>
  <c r="J55" i="10"/>
  <c r="D139" i="13"/>
  <c r="G97" i="4"/>
  <c r="H96" i="4"/>
  <c r="K29" i="6"/>
  <c r="D12" i="2"/>
  <c r="D10" i="2"/>
  <c r="K4" i="6"/>
  <c r="N28" i="3"/>
  <c r="D9" i="4"/>
  <c r="L20" i="7"/>
  <c r="H86" i="4"/>
  <c r="H83" i="4"/>
  <c r="H90" i="4"/>
  <c r="H85" i="4"/>
  <c r="H89" i="4"/>
  <c r="H91" i="4"/>
  <c r="H94" i="4"/>
  <c r="H84" i="4"/>
  <c r="H88" i="4"/>
  <c r="H95" i="4"/>
  <c r="L5" i="14"/>
  <c r="H92" i="4"/>
  <c r="F5" i="14"/>
  <c r="J5" i="14" s="1"/>
  <c r="I5" i="14" l="1"/>
</calcChain>
</file>

<file path=xl/sharedStrings.xml><?xml version="1.0" encoding="utf-8"?>
<sst xmlns="http://schemas.openxmlformats.org/spreadsheetml/2006/main" count="1072" uniqueCount="694">
  <si>
    <t>GOLDBERG FAMILY OFFICE</t>
  </si>
  <si>
    <t>17 Castlereagh Street</t>
  </si>
  <si>
    <t>Asset Summary — Tenancy Schedule</t>
  </si>
  <si>
    <t>As at 30 June 2026</t>
  </si>
  <si>
    <t>—</t>
  </si>
  <si>
    <t>Prepared by jake goldberg</t>
  </si>
  <si>
    <t>17 CASTLEREAGH STREET, SYDNEY  —  TRACKER VERSION CONTROL</t>
  </si>
  <si>
    <t>Record each monthly update below. Update the 'Current Version' fields whenever Input Data is refreshed from the DJ Wear Tenancy Schedule.</t>
  </si>
  <si>
    <t xml:space="preserve">  CURRENT TRACKER STATUS</t>
  </si>
  <si>
    <t xml:space="preserve">  Property</t>
  </si>
  <si>
    <t>17 Castlereagh Street, Sydney</t>
  </si>
  <si>
    <t xml:space="preserve">  Current As At</t>
  </si>
  <si>
    <t xml:space="preserve">  Total NLA</t>
  </si>
  <si>
    <t xml:space="preserve">  Occupancy</t>
  </si>
  <si>
    <t xml:space="preserve">  WALE by NLA</t>
  </si>
  <si>
    <t xml:space="preserve">  WALE by Income</t>
  </si>
  <si>
    <t xml:space="preserve">  Gross Income PA</t>
  </si>
  <si>
    <t xml:space="preserve">  Net Income PA</t>
  </si>
  <si>
    <t xml:space="preserve">  No. of Leases</t>
  </si>
  <si>
    <t>23 active  |  1 vacant  |  1 owner-occupied</t>
  </si>
  <si>
    <t xml:space="preserve">  Car Parks</t>
  </si>
  <si>
    <t>2 garages, 1 tandem space each  (74 bay licences to tenants)</t>
  </si>
  <si>
    <t xml:space="preserve">  Last Updated By</t>
  </si>
  <si>
    <t xml:space="preserve">  Next Update Due</t>
  </si>
  <si>
    <t xml:space="preserve">  Notes / Changes</t>
  </si>
  <si>
    <t xml:space="preserve">  UPDATE LOG  —  add a row each time you refresh the data</t>
  </si>
  <si>
    <t>Date Updated</t>
  </si>
  <si>
    <t>Updated By</t>
  </si>
  <si>
    <t>As At Date (Schedule)</t>
  </si>
  <si>
    <t>Occupancy</t>
  </si>
  <si>
    <t>WALE (NLA)</t>
  </si>
  <si>
    <t>Key Changes / Notes</t>
  </si>
  <si>
    <t>30/04/2026</t>
  </si>
  <si>
    <t>Initial setup — data loaded from DJ Wear Tenancy Schedule Apr 2026</t>
  </si>
  <si>
    <t>Jake</t>
  </si>
  <si>
    <t>01/07/2026</t>
  </si>
  <si>
    <t>Refreshed from DJ Wear Tenancy Schedule as at 1.7.2026: PU Prime, IPM Residential, Threat Defence, Satellite Office rent reviews applied; Aitken Investment Mgmt lease dates/PSM corrected; TJC#1 trading name updated to Balance Insolvency. Suite 101&amp;2 (Blitzem) expires 30/6/2026 — will show vacant from next update.</t>
  </si>
  <si>
    <t>31/07/2026</t>
  </si>
  <si>
    <t>Refreshed from DJ Wear Tenancy Schedule as at 31.7.2026: corrected rent review dates/types for TJC#1 (Balance Insolvency), Pinpoint Talent, Hilliard &amp; Berry, and Aitken Investment Mgmt to match latest TS; renamed suite 1103 tenant from "Inferni Systems" to correct name "Interfi Systems" and confirmed nil Outgoings/Car Parks for that suite. Lewis Woolcott (1102, new lease from 15/8/26) still pending TS confirmation of rent — no financial detail issued yet.</t>
  </si>
  <si>
    <t xml:space="preserve">  MONTHLY UPDATE CHECKLIST</t>
  </si>
  <si>
    <t>1</t>
  </si>
  <si>
    <t xml:space="preserve">  Download DJ Wear Tenancy Schedule PDF from property management system</t>
  </si>
  <si>
    <t>2</t>
  </si>
  <si>
    <t xml:space="preserve">  Update Input Data tab — check each row for rent, dates, PSM, incentive changes</t>
  </si>
  <si>
    <t>3</t>
  </si>
  <si>
    <t xml:space="preserve">  Update Market Rents 26-27 tab if any market adjustments since last review</t>
  </si>
  <si>
    <t>4</t>
  </si>
  <si>
    <t xml:space="preserve">  Review Dashboard — confirm KPIs reconcile with schedule totals</t>
  </si>
  <si>
    <t>5</t>
  </si>
  <si>
    <t xml:space="preserve">  Update Expiry Profile — check any new leases or surrenders</t>
  </si>
  <si>
    <t>6</t>
  </si>
  <si>
    <t xml:space="preserve">  Update Leasing Activity tab with any new deals, HOAs or renewals</t>
  </si>
  <si>
    <t>7</t>
  </si>
  <si>
    <t xml:space="preserve">  Update Make Good Obligations — check notice periods and estimated costs</t>
  </si>
  <si>
    <t>8</t>
  </si>
  <si>
    <t xml:space="preserve">  Update Spec Fitouts tab with any new capex approvals or completions</t>
  </si>
  <si>
    <t>9</t>
  </si>
  <si>
    <t xml:space="preserve">  Fill in Update Log above with date, occupancy, WALE and key changes</t>
  </si>
  <si>
    <t>10</t>
  </si>
  <si>
    <t xml:space="preserve">  Save file with month-year in filename (e.g. 17Castlereagh_May26.xlsx)</t>
  </si>
  <si>
    <t>17 CASTLEREAGH ST, SYDNEY — TENANCY SCHEDULE INPUT  |  As at 31.7.2026</t>
  </si>
  <si>
    <t>Suite ID</t>
  </si>
  <si>
    <t>Floor</t>
  </si>
  <si>
    <t>Suite #</t>
  </si>
  <si>
    <t>Tenant Name</t>
  </si>
  <si>
    <t>Trading Name</t>
  </si>
  <si>
    <t>NLA (sqm)</t>
  </si>
  <si>
    <t>Lease Start</t>
  </si>
  <si>
    <t>Lease Expiry</t>
  </si>
  <si>
    <t>Term (Yrs)</t>
  </si>
  <si>
    <t>PSM (Face)</t>
  </si>
  <si>
    <t>Office Rent PA ($)</t>
  </si>
  <si>
    <t>Incentive Rent PA ($)</t>
  </si>
  <si>
    <t>Outgoings PA ($)</t>
  </si>
  <si>
    <t>Net Rent PA ($)</t>
  </si>
  <si>
    <t>Car Parks</t>
  </si>
  <si>
    <t>Review Type</t>
  </si>
  <si>
    <t>Next Review Date</t>
  </si>
  <si>
    <t>Outgoings Type</t>
  </si>
  <si>
    <t>Market Rent PSM ($)</t>
  </si>
  <si>
    <t>Variance to Mkt ($)</t>
  </si>
  <si>
    <t>Variance to Mkt (%)</t>
  </si>
  <si>
    <t>WALE (yrs)</t>
  </si>
  <si>
    <t>Weighted NLA</t>
  </si>
  <si>
    <t>Notes</t>
  </si>
  <si>
    <t>Status</t>
  </si>
  <si>
    <t>Expiry Date
(Source — Enter Here)</t>
  </si>
  <si>
    <t>PSM Src</t>
  </si>
  <si>
    <t>Display Name</t>
  </si>
  <si>
    <t>00001</t>
  </si>
  <si>
    <t>BSMT</t>
  </si>
  <si>
    <t>LWR GROUND</t>
  </si>
  <si>
    <t>FIXED 4%</t>
  </si>
  <si>
    <t>Net</t>
  </si>
  <si>
    <t>Opulent Two Enterprises</t>
  </si>
  <si>
    <t>00002</t>
  </si>
  <si>
    <t>GF</t>
  </si>
  <si>
    <t>GROUND</t>
  </si>
  <si>
    <t>Gross</t>
  </si>
  <si>
    <t>Recoverie</t>
  </si>
  <si>
    <t>00005</t>
  </si>
  <si>
    <t>L01</t>
  </si>
  <si>
    <t>101&amp;2</t>
  </si>
  <si>
    <t>VACANT</t>
  </si>
  <si>
    <t>FIXED 4.0%</t>
  </si>
  <si>
    <t>00008</t>
  </si>
  <si>
    <t>103</t>
  </si>
  <si>
    <t>PU Prime Trading</t>
  </si>
  <si>
    <t>00009</t>
  </si>
  <si>
    <t>104</t>
  </si>
  <si>
    <t>TJC#1</t>
  </si>
  <si>
    <t>00012</t>
  </si>
  <si>
    <t>L02</t>
  </si>
  <si>
    <t>WHOLE</t>
  </si>
  <si>
    <t>Princeton Financial Services</t>
  </si>
  <si>
    <t>00015</t>
  </si>
  <si>
    <t>L03</t>
  </si>
  <si>
    <t>301&amp;2</t>
  </si>
  <si>
    <t>LEASE RENEWAL</t>
  </si>
  <si>
    <t>IPM Residential</t>
  </si>
  <si>
    <t>00018</t>
  </si>
  <si>
    <t>303&amp;4</t>
  </si>
  <si>
    <t>FIXED 3.75%</t>
  </si>
  <si>
    <t>Broadridge</t>
  </si>
  <si>
    <t>00021</t>
  </si>
  <si>
    <t>L04</t>
  </si>
  <si>
    <t>401</t>
  </si>
  <si>
    <t>B-W International</t>
  </si>
  <si>
    <t>00022</t>
  </si>
  <si>
    <t>402</t>
  </si>
  <si>
    <t>Gray Dawes Travel</t>
  </si>
  <si>
    <t>00025</t>
  </si>
  <si>
    <t>L05</t>
  </si>
  <si>
    <t>501</t>
  </si>
  <si>
    <t>Montgomery Investment</t>
  </si>
  <si>
    <t>00026</t>
  </si>
  <si>
    <t>502</t>
  </si>
  <si>
    <t>Threat Defence</t>
  </si>
  <si>
    <t>00029</t>
  </si>
  <si>
    <t>L06</t>
  </si>
  <si>
    <t>601</t>
  </si>
  <si>
    <t>Fullcrm</t>
  </si>
  <si>
    <t>00030</t>
  </si>
  <si>
    <t>602</t>
  </si>
  <si>
    <t>00033</t>
  </si>
  <si>
    <t>L07</t>
  </si>
  <si>
    <t>701</t>
  </si>
  <si>
    <t>Pinpoint Talent</t>
  </si>
  <si>
    <t>00034</t>
  </si>
  <si>
    <t>702</t>
  </si>
  <si>
    <t>Satellite Office</t>
  </si>
  <si>
    <t>00037</t>
  </si>
  <si>
    <t>L08</t>
  </si>
  <si>
    <t>801</t>
  </si>
  <si>
    <t>Arkance Australia</t>
  </si>
  <si>
    <t>00038</t>
  </si>
  <si>
    <t>802</t>
  </si>
  <si>
    <t>Hilliard &amp; Berry</t>
  </si>
  <si>
    <t>00041</t>
  </si>
  <si>
    <t>L09</t>
  </si>
  <si>
    <t>901</t>
  </si>
  <si>
    <t>Aitken Investment Mgmt</t>
  </si>
  <si>
    <t>00044</t>
  </si>
  <si>
    <t>902&amp;3</t>
  </si>
  <si>
    <t>Capital E Marketing</t>
  </si>
  <si>
    <t>00048</t>
  </si>
  <si>
    <t>L10</t>
  </si>
  <si>
    <t>1001&amp;2</t>
  </si>
  <si>
    <t>FIXED</t>
  </si>
  <si>
    <t>Connectus Services</t>
  </si>
  <si>
    <t>00050</t>
  </si>
  <si>
    <t>L11</t>
  </si>
  <si>
    <t>1101</t>
  </si>
  <si>
    <t>Michael Flegg</t>
  </si>
  <si>
    <t>00051</t>
  </si>
  <si>
    <t>1102</t>
  </si>
  <si>
    <t>Lewis Woolcott new lease commences 15/8/26 (day after PharmX's lease ends), 2 yr term to 14/8/28, $1,271.10 psm. Outgoings carried forward at PharmX's existing rate pending TS confirmation.</t>
  </si>
  <si>
    <t>Lewis Woolcott</t>
  </si>
  <si>
    <t>00055</t>
  </si>
  <si>
    <t>L12</t>
  </si>
  <si>
    <t>MONTHLY TENANT</t>
  </si>
  <si>
    <t>N/A</t>
  </si>
  <si>
    <t>Dakota Corporation</t>
  </si>
  <si>
    <t>00052</t>
  </si>
  <si>
    <t>1103</t>
  </si>
  <si>
    <t>Interfi Systems (correct spelling per Jul26 TS, previously recorded as "Inferni Systems") — 3 yr term from 15/7/26 to 14/7/29, $1,150 psm. Jul26 TS confirms no Outgoings Cont or car parks for this suite (cleaning charged separately, not tracked in Outgoings PA column).</t>
  </si>
  <si>
    <t>Interfi Systems</t>
  </si>
  <si>
    <t>TOTALS / BUILDING SUMMARY</t>
  </si>
  <si>
    <t>LEGEND:</t>
  </si>
  <si>
    <t>Expired / Vacant</t>
  </si>
  <si>
    <t>Expiring in 2026</t>
  </si>
  <si>
    <t>Active (odd rows)</t>
  </si>
  <si>
    <t>Note: Blue text = hardcoded input  |  Black text = formula  |  Update monthly from DJ Wear Tenancy Schedule PDF</t>
  </si>
  <si>
    <t>17 CASTLEREAGH STREET, SYDNEY  —  ASSET MANAGEMENT DASHBOARD</t>
  </si>
  <si>
    <t>As at 31 July 2026  |  Data sourced from Input Data tab</t>
  </si>
  <si>
    <t>TOTAL NLA</t>
  </si>
  <si>
    <t>OCCUPIED NLA</t>
  </si>
  <si>
    <t>VACANT NLA</t>
  </si>
  <si>
    <t>OCCUPANCY</t>
  </si>
  <si>
    <t>VACANCY RATE</t>
  </si>
  <si>
    <t>CAR PARKS</t>
  </si>
  <si>
    <t>4 bays</t>
  </si>
  <si>
    <t>GROSS INCOME PA</t>
  </si>
  <si>
    <t>NET INCOME PA</t>
  </si>
  <si>
    <t>INCENTIVE RENT PA</t>
  </si>
  <si>
    <t>WALE BY NLA</t>
  </si>
  <si>
    <t>WALE BY INCOME</t>
  </si>
  <si>
    <t>TOTAL OUTGOINGS %</t>
  </si>
  <si>
    <t>92.32%</t>
  </si>
  <si>
    <t>WEIGHTED AVERAGE LEASE EXPIRY (WALE)</t>
  </si>
  <si>
    <t>Measure</t>
  </si>
  <si>
    <t>WALE</t>
  </si>
  <si>
    <t>Basis</t>
  </si>
  <si>
    <t>WALE by NLA</t>
  </si>
  <si>
    <t>Area-weighted avg of remaining lease terms</t>
  </si>
  <si>
    <t>WALE by Income</t>
  </si>
  <si>
    <t>Income-weighted avg of remaining lease terms</t>
  </si>
  <si>
    <t>LEASE EXPIRY PROFILE  —  BY INCOME &amp; AREA (5 YEAR FORWARD VIEW)</t>
  </si>
  <si>
    <t>Expiry Year</t>
  </si>
  <si>
    <t>Net Income ($)</t>
  </si>
  <si>
    <t>Income %</t>
  </si>
  <si>
    <t>Area %</t>
  </si>
  <si>
    <t># Leases</t>
  </si>
  <si>
    <t>Tenants Expiring</t>
  </si>
  <si>
    <t>2026</t>
  </si>
  <si>
    <t>2027</t>
  </si>
  <si>
    <t>2028</t>
  </si>
  <si>
    <t>2029</t>
  </si>
  <si>
    <t>2030</t>
  </si>
  <si>
    <t>2031+</t>
  </si>
  <si>
    <t>TOTAL (Occupied)</t>
  </si>
  <si>
    <t>PASSING RENT vs MARKET RENT ANALYSIS  —  'Market Rents 26-27'</t>
  </si>
  <si>
    <t>Suite</t>
  </si>
  <si>
    <t>Tenant</t>
  </si>
  <si>
    <t>NLA</t>
  </si>
  <si>
    <t>Passing PSM</t>
  </si>
  <si>
    <t>Market PSM</t>
  </si>
  <si>
    <t>Var ($)</t>
  </si>
  <si>
    <t>Var (%)</t>
  </si>
  <si>
    <t>Position</t>
  </si>
  <si>
    <t>Portfolio Avg Passing PSM</t>
  </si>
  <si>
    <t xml:space="preserve">  UPCOMING CRITICAL DATES  —  Next 12 Months</t>
  </si>
  <si>
    <t>Event Type</t>
  </si>
  <si>
    <t>Due Date</t>
  </si>
  <si>
    <t>Days Away</t>
  </si>
  <si>
    <t>Action Required</t>
  </si>
  <si>
    <t>602 | Capital Credit Solutions</t>
  </si>
  <si>
    <t>Lease EXPIRED</t>
  </si>
  <si>
    <t>Suite vacant — begin make good &amp; marketing</t>
  </si>
  <si>
    <t>101&amp;2 | Blitzem PTY LTD</t>
  </si>
  <si>
    <t>Issue make good notice; confirm not renewing; market suite</t>
  </si>
  <si>
    <t>104 | TJC#1 PTY LTD</t>
  </si>
  <si>
    <t>Confirm renewal or vacating; issue make good notice</t>
  </si>
  <si>
    <t>1102 | Pharmx Technologies</t>
  </si>
  <si>
    <t>Sublease in place — confirm make good; market suite</t>
  </si>
  <si>
    <t>1101 | Michael Flegg</t>
  </si>
  <si>
    <t>David Wear to reach out; no works required</t>
  </si>
  <si>
    <t>501 | Montgomery Investment</t>
  </si>
  <si>
    <t>Rent Review</t>
  </si>
  <si>
    <t>3.75% fixed review — confirm calculation and issue</t>
  </si>
  <si>
    <t>701 | Pinpoint Talent</t>
  </si>
  <si>
    <t>4% fixed review — confirm calculation and issue</t>
  </si>
  <si>
    <t>702 | Satellite Office</t>
  </si>
  <si>
    <t>3.75% fixed review — imminent; action now</t>
  </si>
  <si>
    <t>301&amp;2 | IPM Residential</t>
  </si>
  <si>
    <t>901 | Aitken Investment</t>
  </si>
  <si>
    <t>4% fixed review — confirm calculation</t>
  </si>
  <si>
    <t>GF | Recoverie</t>
  </si>
  <si>
    <t>4% fixed review — mark in calendar</t>
  </si>
  <si>
    <t>MG Notice Due</t>
  </si>
  <si>
    <t>Issue make good notice immediately</t>
  </si>
  <si>
    <t xml:space="preserve">  INCOME ANALYSIS  —  By Floor</t>
  </si>
  <si>
    <t>Tenant(s)</t>
  </si>
  <si>
    <t>Passing PSM ($)</t>
  </si>
  <si>
    <t>% of Total Income</t>
  </si>
  <si>
    <t>LWR GND</t>
  </si>
  <si>
    <t>TOTAL</t>
  </si>
  <si>
    <t xml:space="preserve">  ASSET VALUATION SUMMARY</t>
  </si>
  <si>
    <t>Latest Valuation
(Val 1)</t>
  </si>
  <si>
    <t>Previous Valuation
(Val 2)</t>
  </si>
  <si>
    <t>Prior Valuation
(Val 3)</t>
  </si>
  <si>
    <t>Movement (Val 1 vs Val 2)</t>
  </si>
  <si>
    <t xml:space="preserve">  Valuation Amount ($)</t>
  </si>
  <si>
    <t xml:space="preserve">  Date of Valuation</t>
  </si>
  <si>
    <t xml:space="preserve">  Valuer / Firm</t>
  </si>
  <si>
    <t xml:space="preserve">  Capitalisation Rate</t>
  </si>
  <si>
    <t xml:space="preserve">  Passing Yield</t>
  </si>
  <si>
    <t xml:space="preserve">  Land Value</t>
  </si>
  <si>
    <t xml:space="preserve">  Valuation Basis</t>
  </si>
  <si>
    <t xml:space="preserve">  LAND TAX SUMMARY  —  NSW</t>
  </si>
  <si>
    <t>Assessment 1
(Latest)</t>
  </si>
  <si>
    <t>Assessment 2</t>
  </si>
  <si>
    <t>Assessment 3</t>
  </si>
  <si>
    <t>Land Value Movement
(Assess 1 vs 2)</t>
  </si>
  <si>
    <t xml:space="preserve">  Land Tax Year</t>
  </si>
  <si>
    <t xml:space="preserve">  Assessed Land Value ($)</t>
  </si>
  <si>
    <t xml:space="preserve">  Land Tax Payable ($)</t>
  </si>
  <si>
    <t xml:space="preserve">  Assessment Date</t>
  </si>
  <si>
    <t xml:space="preserve">  Mortgage details recorded in Valuations tab only (not displayed here for confidentiality).  |  Last updated: enter in Valuations tab</t>
  </si>
  <si>
    <t>17 CASTLEREAGH STREET  —  VALUATIONS, LAND TAX &amp; MORTGAGE REGISTER</t>
  </si>
  <si>
    <t>Yellow cells = input. All Dashboard valuation figures pull from this tab automatically. Update each time a new valuation or assessment is received.</t>
  </si>
  <si>
    <t xml:space="preserve">  PROPERTY VALUATIONS</t>
  </si>
  <si>
    <t>Valuation 1
(Most Recent)</t>
  </si>
  <si>
    <t>Valuation 2</t>
  </si>
  <si>
    <t>Valuation 3</t>
  </si>
  <si>
    <t xml:space="preserve">  Valuation Amount</t>
  </si>
  <si>
    <t>Knight Frank</t>
  </si>
  <si>
    <t>JLL</t>
  </si>
  <si>
    <t>Market Value 'As Is'</t>
  </si>
  <si>
    <t>First Mortgage Security Purposes</t>
  </si>
  <si>
    <t xml:space="preserve">  Capitalisation Rate (%)</t>
  </si>
  <si>
    <t xml:space="preserve">  Passing Yield (%)</t>
  </si>
  <si>
    <t xml:space="preserve">  Land Value ($)</t>
  </si>
  <si>
    <t xml:space="preserve">  Improvement Value ($)</t>
  </si>
  <si>
    <t xml:space="preserve">  VALUATION MOVEMENT</t>
  </si>
  <si>
    <t xml:space="preserve">  Val 1 vs Val 2 Movement ($)</t>
  </si>
  <si>
    <t xml:space="preserve">  Positive = appreciation  |  Negative = decline</t>
  </si>
  <si>
    <t xml:space="preserve">  Val 2 vs Val 3 Movement ($)</t>
  </si>
  <si>
    <t xml:space="preserve">  LAND TAX ASSESSMENTS  —  NSW</t>
  </si>
  <si>
    <t>Assessment 1
(Most Recent)</t>
  </si>
  <si>
    <t>FY26</t>
  </si>
  <si>
    <t>FY25</t>
  </si>
  <si>
    <t>FY24</t>
  </si>
  <si>
    <t xml:space="preserve">  Threshold Applied ($)</t>
  </si>
  <si>
    <t xml:space="preserve">  Tax Rate Applied (%)</t>
  </si>
  <si>
    <t xml:space="preserve">  Payment Due Date</t>
  </si>
  <si>
    <t xml:space="preserve">  Assessment Reference / Notice</t>
  </si>
  <si>
    <t xml:space="preserve">  LAND VALUE MOVEMENT</t>
  </si>
  <si>
    <t xml:space="preserve">  Assessment 1 vs 2 Land Value Change</t>
  </si>
  <si>
    <t xml:space="preserve">  Assessment 2 vs 3 Land Value Change</t>
  </si>
  <si>
    <t xml:space="preserve">  MORTGAGE / DEBT DETAILS  —  (Not displayed on Dashboard)</t>
  </si>
  <si>
    <t>Field</t>
  </si>
  <si>
    <t>Current</t>
  </si>
  <si>
    <t>Prior</t>
  </si>
  <si>
    <t xml:space="preserve">  Lender / Bank</t>
  </si>
  <si>
    <t>ANZ</t>
  </si>
  <si>
    <t xml:space="preserve">  Loan Amount ($)</t>
  </si>
  <si>
    <t xml:space="preserve">  As at Date</t>
  </si>
  <si>
    <t xml:space="preserve">  Interest Rate (%)</t>
  </si>
  <si>
    <t>e.g. IO / P&amp;I</t>
  </si>
  <si>
    <t xml:space="preserve">  Loan Type</t>
  </si>
  <si>
    <t xml:space="preserve">  Facility Expiry / Review Date</t>
  </si>
  <si>
    <t xml:space="preserve">  LVR (%)</t>
  </si>
  <si>
    <t xml:space="preserve">  Interest Cover Ratio (ICR)</t>
  </si>
  <si>
    <t xml:space="preserve">  Loan Covenants / Notes</t>
  </si>
  <si>
    <t xml:space="preserve">  LEGEND:  Yellow cells = input (enter your data here)  |  Teal cells = calculated automatically  |  Valuation 1 = most recent</t>
  </si>
  <si>
    <t>17 CASTLEREAGH STREET  —  LEASE EXPIRY PROFILE  |  As at 30/04/2026  |  ALL DATA FORMULA-DRIVEN FROM INPUT DATA TAB</t>
  </si>
  <si>
    <t>Update Input Data tab only  |  This tab recalculates automatically  |  Sorted by Input Data row order  |  Use 'Expiry Year' column to filter  |  As at 30/04/2026</t>
  </si>
  <si>
    <t>Tenant / Trading Name</t>
  </si>
  <si>
    <t>NLA
(sqm)</t>
  </si>
  <si>
    <t>Lease
Start</t>
  </si>
  <si>
    <t>Lease
Expiry</t>
  </si>
  <si>
    <t>Term
(Yrs)</t>
  </si>
  <si>
    <t>Remaining
(Yrs)</t>
  </si>
  <si>
    <t>PSM
($)</t>
  </si>
  <si>
    <t>Net Rent
PA ($)</t>
  </si>
  <si>
    <t>Expiry
Year</t>
  </si>
  <si>
    <t>Car
Parks</t>
  </si>
  <si>
    <t>Review
Type</t>
  </si>
  <si>
    <t>Mkt PSM
($)</t>
  </si>
  <si>
    <t>Var to
Mkt ($)</t>
  </si>
  <si>
    <t>BUILDING TOTALS</t>
  </si>
  <si>
    <t>17 CASTLEREAGH STREET — LEASE REGISTER  |  As at 30/04/2026  |  Source: Input Data tab</t>
  </si>
  <si>
    <t>Remaining (Yrs)</t>
  </si>
  <si>
    <t>Face Rent PSM ($)</t>
  </si>
  <si>
    <t>Market PSM ($)</t>
  </si>
  <si>
    <t>Incentive PA ($)</t>
  </si>
  <si>
    <t>Next Review</t>
  </si>
  <si>
    <t>Var to Mkt PSM ($)</t>
  </si>
  <si>
    <t>Var to Mkt (%)</t>
  </si>
  <si>
    <t>WALE Contribution</t>
  </si>
  <si>
    <t>17 CASTLEREAGH STREET — LEASING ACTIVITY LOG  |  Past 12 Months</t>
  </si>
  <si>
    <t>Date</t>
  </si>
  <si>
    <t>Type</t>
  </si>
  <si>
    <t>Rent PSM ($)</t>
  </si>
  <si>
    <t>Review %</t>
  </si>
  <si>
    <t>Commencement</t>
  </si>
  <si>
    <t>Expiry</t>
  </si>
  <si>
    <t>Term</t>
  </si>
  <si>
    <t>Incentive %</t>
  </si>
  <si>
    <t>Fitout ($)</t>
  </si>
  <si>
    <t>Abatement ($)</t>
  </si>
  <si>
    <t>TR Fee ($)</t>
  </si>
  <si>
    <t>Broadridge (Australia) Pty Ltd</t>
  </si>
  <si>
    <t>New Lease</t>
  </si>
  <si>
    <t>3.02</t>
  </si>
  <si>
    <t>4 Years</t>
  </si>
  <si>
    <t>MP Travel Pty Ltd / Gray Dawes Travel</t>
  </si>
  <si>
    <t>4.02</t>
  </si>
  <si>
    <t>5 Years</t>
  </si>
  <si>
    <t>RCVRI Martin Place Pty Ltd (Recoverie)</t>
  </si>
  <si>
    <t>7 Years</t>
  </si>
  <si>
    <t>Capital E Marketing &amp; Events</t>
  </si>
  <si>
    <t>Renewal</t>
  </si>
  <si>
    <t>9.02</t>
  </si>
  <si>
    <t>TJC</t>
  </si>
  <si>
    <t>3 Years</t>
  </si>
  <si>
    <t>PU Prime Trading Pty Ltd</t>
  </si>
  <si>
    <t>1.03</t>
  </si>
  <si>
    <t>2 Years</t>
  </si>
  <si>
    <t>Inferni Systems</t>
  </si>
  <si>
    <t>LEASING ACTIVITY SUMMARY (LIVE)</t>
  </si>
  <si>
    <t>WALE by NLA (May 2025)</t>
  </si>
  <si>
    <t>3.11 years</t>
  </si>
  <si>
    <t>Occupancy (May 2025)</t>
  </si>
  <si>
    <t>95.3%</t>
  </si>
  <si>
    <t>WALE by NLA (May 2024)</t>
  </si>
  <si>
    <t>3.28 years</t>
  </si>
  <si>
    <t>Occupancy (May 2024)</t>
  </si>
  <si>
    <t>81.7%</t>
  </si>
  <si>
    <t>LEASING ACTIVITY — LAST 12 MONTHS (LIVE FROM LOG ABOVE)</t>
  </si>
  <si>
    <t>Total Deals</t>
  </si>
  <si>
    <t>New Leases</t>
  </si>
  <si>
    <t>Renewals</t>
  </si>
  <si>
    <t>Total NLA Transacted (sqm)</t>
  </si>
  <si>
    <t>Avg Incentive %</t>
  </si>
  <si>
    <t>Total Fitout Contribution ($)</t>
  </si>
  <si>
    <t>Total Rent Abatement ($)</t>
  </si>
  <si>
    <t>Total Leasing Fees ($)</t>
  </si>
  <si>
    <t>Total Leasing Cost ($)</t>
  </si>
  <si>
    <t>17 CASTLEREAGH STREET — MARKET RENTS 2026-27  |  Face Rent PSM &amp; Incentive Benchmarks</t>
  </si>
  <si>
    <t>Source: Market assessment 2025/2026  |  Update annually or as market conditions change</t>
  </si>
  <si>
    <t>Size (sqm)</t>
  </si>
  <si>
    <t>Current Tenant</t>
  </si>
  <si>
    <t>New Tenant Incentive
3yr</t>
  </si>
  <si>
    <t>4yr</t>
  </si>
  <si>
    <t>5yr</t>
  </si>
  <si>
    <t>Renewal Incentive
3yr</t>
  </si>
  <si>
    <t>PORTFOLIO MARKET RENT SUMMARY</t>
  </si>
  <si>
    <t>Passing &gt; Market (above mkt)</t>
  </si>
  <si>
    <t>Passing &lt; Market (reversion upside)</t>
  </si>
  <si>
    <t>At Market (within 5%)</t>
  </si>
  <si>
    <t>17 CASTLEREAGH STREET  —  BUILDING LEASE EXPIRY PROFILE  |  As at 30/04/2026</t>
  </si>
  <si>
    <t>Floor-by-floor lease status  |  Colour indicates expiry year  |  ▲ = Above Market   ▼ = Below Market   ≈ = At Market</t>
  </si>
  <si>
    <t>Yrs
Remain</t>
  </si>
  <si>
    <t xml:space="preserve">  LEVEL 12</t>
  </si>
  <si>
    <t xml:space="preserve">  LEVEL 11</t>
  </si>
  <si>
    <t xml:space="preserve">  LEVEL 10</t>
  </si>
  <si>
    <t xml:space="preserve">  LEVEL 9</t>
  </si>
  <si>
    <t xml:space="preserve">  LEVEL 8</t>
  </si>
  <si>
    <t xml:space="preserve">  LEVEL 7</t>
  </si>
  <si>
    <t xml:space="preserve">  LEVEL 6</t>
  </si>
  <si>
    <t xml:space="preserve">  LEVEL 5</t>
  </si>
  <si>
    <t xml:space="preserve">  LEVEL 4</t>
  </si>
  <si>
    <t xml:space="preserve">  LEVEL 3</t>
  </si>
  <si>
    <t xml:space="preserve">  LEVEL 2</t>
  </si>
  <si>
    <t xml:space="preserve">  LEVEL 1</t>
  </si>
  <si>
    <t xml:space="preserve">  LEVEL Ground Floor</t>
  </si>
  <si>
    <t xml:space="preserve">  LEVEL WR GND</t>
  </si>
  <si>
    <t xml:space="preserve">  LEGEND</t>
  </si>
  <si>
    <t>Expiring 2026</t>
  </si>
  <si>
    <t>Expiring 2027</t>
  </si>
  <si>
    <t>Expiring 2028</t>
  </si>
  <si>
    <t>Expiring 2029</t>
  </si>
  <si>
    <t>Expiring 2030</t>
  </si>
  <si>
    <t>Expiring 2031+</t>
  </si>
  <si>
    <t>Vacant</t>
  </si>
  <si>
    <t>Owner Occupied</t>
  </si>
  <si>
    <t xml:space="preserve">  GARAGES: 2 garages — each contains 1 tandem car space. 74 bay licences currently leased to tenants.</t>
  </si>
  <si>
    <t>17 CASTLEREAGH STREET  —  MAKE GOOD OBLIGATIONS REGISTER  |  As at 30/04/2026</t>
  </si>
  <si>
    <t>Track make-good obligations, notice periods and estimated costs for each suite. Update when leases are signed or when condition changes.</t>
  </si>
  <si>
    <t xml:space="preserve">  MAKE GOOD SUMMARY</t>
  </si>
  <si>
    <t xml:space="preserve">  Leases with Make Good Obligation</t>
  </si>
  <si>
    <t xml:space="preserve">  Total Estimated Cost ($)</t>
  </si>
  <si>
    <t xml:space="preserve">  High Risk (expiring &lt;12 mths)</t>
  </si>
  <si>
    <t xml:space="preserve">  Make Good Notice Period</t>
  </si>
  <si>
    <t>Input below</t>
  </si>
  <si>
    <t>See per lease</t>
  </si>
  <si>
    <t xml:space="preserve">  MAKE GOOD OBLIGATIONS  —  Per Lease  (update from lease schedule &amp; inspections)</t>
  </si>
  <si>
    <t>Notice
Period</t>
  </si>
  <si>
    <t>MG Obligation
in Lease?</t>
  </si>
  <si>
    <t>Estimated
Cost ($)</t>
  </si>
  <si>
    <t>Cost
PSM ($)</t>
  </si>
  <si>
    <t>Last
Inspected</t>
  </si>
  <si>
    <t>Condition
Rating</t>
  </si>
  <si>
    <t>MG
Status</t>
  </si>
  <si>
    <t>Action
Required</t>
  </si>
  <si>
    <t>Notes / Scope of Works</t>
  </si>
  <si>
    <t>Further detail</t>
  </si>
  <si>
    <t>60 days</t>
  </si>
  <si>
    <t>Yes</t>
  </si>
  <si>
    <t>Not Inspected</t>
  </si>
  <si>
    <t>None</t>
  </si>
  <si>
    <t>Repaint, steam clean carpet, remove tenant fit-out</t>
  </si>
  <si>
    <t>90 days</t>
  </si>
  <si>
    <t>Retail strip-out, restore to base build</t>
  </si>
  <si>
    <t>Payment in Lieu $250sqm ($74,575)</t>
  </si>
  <si>
    <t>10 days</t>
  </si>
  <si>
    <t>Repaint walls, replace carpet, patch partitions — contact HasBuilt re spec fitout</t>
  </si>
  <si>
    <t>Standard office make good — repaint, steam clean</t>
  </si>
  <si>
    <t>Payment in Lieu $200sqm ($19.260)</t>
  </si>
  <si>
    <t>TBC — confirm notice period in lease; repaint &amp; carpet</t>
  </si>
  <si>
    <t xml:space="preserve">Reinstate any alterations and restore premies
The Lessor may nominate an amount per square metre + GST for costs
1 June
</t>
  </si>
  <si>
    <t>30 days</t>
  </si>
  <si>
    <t>Full floor — strip fit-out, repaint, replace carpet</t>
  </si>
  <si>
    <t>Payment in Lieu of $200sqm + GST indexed annually to CPI) ($78,640)</t>
  </si>
  <si>
    <t>Repaint, carpet, remove internal joinery</t>
  </si>
  <si>
    <t>Payment in Lieu of $140sqm + GST ($22,736)</t>
  </si>
  <si>
    <t>Standard office make good — repaint, carpet</t>
  </si>
  <si>
    <t>Payment in Lieu of $150 sqm + GST ($29,010)</t>
  </si>
  <si>
    <t>Repaint, carpet, remove partitions</t>
  </si>
  <si>
    <t>Standard office make good</t>
  </si>
  <si>
    <t>In Addition, a payment of $100sqm  + GST ($14,560)</t>
  </si>
  <si>
    <t>Repaint, carpet, joinery removal</t>
  </si>
  <si>
    <t>Payment in Lieu of $250 sqm + GST ($53,075)</t>
  </si>
  <si>
    <t>Repaint, steam clean carpet</t>
  </si>
  <si>
    <t>Payment in Lieu of $250 sqm + GST ($)</t>
  </si>
  <si>
    <t>Tenant leaving — repaint $150/sqm notice required; internal partitions</t>
  </si>
  <si>
    <t>EXPIRED — tenant left early April. Clean carpets and repaint.</t>
  </si>
  <si>
    <t>No works required per David Wear — $200/sqm make good notice</t>
  </si>
  <si>
    <t>The Lessor may nominate an amount per square metre + GST for costs</t>
  </si>
  <si>
    <t>Full spec fitout — strip out at lease end</t>
  </si>
  <si>
    <t>Long-term tenant — repaint, carpet, minor remediation</t>
  </si>
  <si>
    <t>Holdover — no works required per notes; repaint &amp; carpet on vacating</t>
  </si>
  <si>
    <t>Full floor — strip fit-out and restore base build</t>
  </si>
  <si>
    <t>Full floor — strip fit-out, repaint, carpet</t>
  </si>
  <si>
    <t>The Lessor may nominate an amount per square metre + GST for costs
Quotes from both parties - amount will be lowest of both quotes</t>
  </si>
  <si>
    <t>David Wear to reach out — no works required; repaint $200/sqm</t>
  </si>
  <si>
    <t>Payment in Lieu of $200 sqm + GST ($)</t>
  </si>
  <si>
    <t>Current sublease — repaint &amp; steam carpet; alterations/damage to assess</t>
  </si>
  <si>
    <t>Suite vacant — repaint and carpet remediation complete</t>
  </si>
  <si>
    <t>Owner occupied — monthly; no make good obligation</t>
  </si>
  <si>
    <t xml:space="preserve">  KEY  |  Amber cells = user input required   |   Status automatically set from expiry date</t>
  </si>
  <si>
    <t>LIGHT_RED (expired/overdue)</t>
  </si>
  <si>
    <t>LT_ORANGE (&lt;6 mths)</t>
  </si>
  <si>
    <t>LT_AMBER (&lt;12 mths)</t>
  </si>
  <si>
    <t>Blue/White (&gt;12 mths)</t>
  </si>
  <si>
    <t>17 CASTLEREAGH STREET  —  SPEC FITOUT REGISTER  |  As at 30/04/2026</t>
  </si>
  <si>
    <t>Track approved and completed spec fitout works. Update when capex is approved, in progress, or completed. All costs ex-GST.</t>
  </si>
  <si>
    <t xml:space="preserve">  SPEC FITOUT SUMMARY  (auto-calculated from table below)</t>
  </si>
  <si>
    <t xml:space="preserve">  Total Approved ($)</t>
  </si>
  <si>
    <t xml:space="preserve">  Total Spent ($)</t>
  </si>
  <si>
    <t xml:space="preserve">  Remaining Budget ($)</t>
  </si>
  <si>
    <t xml:space="preserve">  Avg Cost PSM ($)</t>
  </si>
  <si>
    <t xml:space="preserve">  Suites in Progress</t>
  </si>
  <si>
    <t xml:space="preserve">  Suites Completed</t>
  </si>
  <si>
    <t xml:space="preserve">  SPEC FITOUT DETAILS  —  one row per suite / project</t>
  </si>
  <si>
    <t>Suite Description /
Last Tenant</t>
  </si>
  <si>
    <t>Date
Approved</t>
  </si>
  <si>
    <t>Total Budget
($)</t>
  </si>
  <si>
    <t>Fitout
Allowance ($)</t>
  </si>
  <si>
    <t>Net Cost
($)</t>
  </si>
  <si>
    <t>Contractor</t>
  </si>
  <si>
    <t>Date
Completed</t>
  </si>
  <si>
    <t>Estimated
Rent PSM ($)</t>
  </si>
  <si>
    <t>Incentive
% (new tenant)</t>
  </si>
  <si>
    <t>Notes / Scope</t>
  </si>
  <si>
    <t>Pending Approval</t>
  </si>
  <si>
    <t>Approved</t>
  </si>
  <si>
    <t>JC Painting Solutions
King Commercial</t>
  </si>
  <si>
    <t>HasBuilt</t>
  </si>
  <si>
    <t xml:space="preserve">  COST REFERENCE GUIDE  —  Typical Spec Fitout Costs (update from market quotes)</t>
  </si>
  <si>
    <t>Category</t>
  </si>
  <si>
    <t>Low ($ psm)</t>
  </si>
  <si>
    <t>Mid ($ psm)</t>
  </si>
  <si>
    <t>High ($ psm)</t>
  </si>
  <si>
    <t>Partition offices + open plan</t>
  </si>
  <si>
    <t>$350</t>
  </si>
  <si>
    <t>$550</t>
  </si>
  <si>
    <t>$750</t>
  </si>
  <si>
    <t>Includes demolition, new partitions, doors</t>
  </si>
  <si>
    <t>Carpet / floor coverings</t>
  </si>
  <si>
    <t>$65</t>
  </si>
  <si>
    <t>$90</t>
  </si>
  <si>
    <t>$130</t>
  </si>
  <si>
    <t>Quality commercial carpet tiles</t>
  </si>
  <si>
    <t>Painting – full repaint</t>
  </si>
  <si>
    <t>$25</t>
  </si>
  <si>
    <t>$40</t>
  </si>
  <si>
    <t>$55</t>
  </si>
  <si>
    <t>Per sqm NLA</t>
  </si>
  <si>
    <t>Lighting upgrade (LED)</t>
  </si>
  <si>
    <t>$70</t>
  </si>
  <si>
    <t>$110</t>
  </si>
  <si>
    <t>Per sqm; assume if &gt;10yrs old</t>
  </si>
  <si>
    <t>Joinery / kitchen</t>
  </si>
  <si>
    <t>$15,000</t>
  </si>
  <si>
    <t>$25,000</t>
  </si>
  <si>
    <t>$40,000</t>
  </si>
  <si>
    <t>Per kitchen (per fitout)</t>
  </si>
  <si>
    <t>A/C servicing &amp; balancing</t>
  </si>
  <si>
    <t>$20</t>
  </si>
  <si>
    <t>$35</t>
  </si>
  <si>
    <t>Full blank canvas fitout</t>
  </si>
  <si>
    <t>$600</t>
  </si>
  <si>
    <t>$850</t>
  </si>
  <si>
    <t>$1,200</t>
  </si>
  <si>
    <t>Complete stripped and refitted suite</t>
  </si>
  <si>
    <t>Cosmetic refresh only</t>
  </si>
  <si>
    <t>$100</t>
  </si>
  <si>
    <t>$180</t>
  </si>
  <si>
    <t>$260</t>
  </si>
  <si>
    <t>Carpet + paint + lighting only</t>
  </si>
  <si>
    <t>17 CASTLEREAGH STREET, SYDNEY  —  BUILDING STACK PLAN  |  As at 30/04/2026</t>
  </si>
  <si>
    <t>Blocks sized proportionally by NLA  |  Colour = lease expiry year  |  Source: Input Data tab</t>
  </si>
  <si>
    <t>Floor
NLA (sqm)</t>
  </si>
  <si>
    <t>◄──────────────────────────────────────  BUILDING STACK  (blocks proportional to NLA)  ──────────────────────────────────────►</t>
  </si>
  <si>
    <t>Level 12</t>
  </si>
  <si>
    <t>Level 11</t>
  </si>
  <si>
    <t>Level 10</t>
  </si>
  <si>
    <t>Level 9</t>
  </si>
  <si>
    <t>Level 8</t>
  </si>
  <si>
    <t>Level 7</t>
  </si>
  <si>
    <t>Level 6</t>
  </si>
  <si>
    <t>Level 5</t>
  </si>
  <si>
    <t>Level 4</t>
  </si>
  <si>
    <t>Level 3</t>
  </si>
  <si>
    <t>Level 2</t>
  </si>
  <si>
    <t>Level 1</t>
  </si>
  <si>
    <t>Ground Floor</t>
  </si>
  <si>
    <t>Lower Ground</t>
  </si>
  <si>
    <t xml:space="preserve">  LEGEND  —  Expiry Year Colour Code</t>
  </si>
  <si>
    <t>Expiring 2026  ⚠ URGENT</t>
  </si>
  <si>
    <t xml:space="preserve">  PORTFOLIO SUMMARY  |  As at 30/04/2026</t>
  </si>
  <si>
    <t>Total NLA
4,704.5 sqm</t>
  </si>
  <si>
    <t>Occupied
4,544.2 sqm (96.6%)</t>
  </si>
  <si>
    <t>WALE (NLA)
2.44 years</t>
  </si>
  <si>
    <t>Gross Income PA
$4,460,629</t>
  </si>
  <si>
    <t>Active Leases
23  |  1 vacant  |  1 owner</t>
  </si>
  <si>
    <t>Car Parks
2 garages</t>
  </si>
  <si>
    <t>17 CASTLEREAGH STREET  —  NET EFFECTIVE RENT (NER) TRACKING  |  Monthly Rolling Log</t>
  </si>
  <si>
    <t>Each month: paste the current NER snapshot into a new row. All values pull from Input Data for the current month row (row 5). Yellow = input (paste values each month). Chart updates automatically.</t>
  </si>
  <si>
    <t>NER PSM = Net Effective Rent per sqm = (Total Face Rent − Total Incentives) ÷ (Occupied NLA × Term)  |  Building NER = Weighted average across all active leases  |  An improving NER indicates stronger leasing conditions and declining incentive pressure</t>
  </si>
  <si>
    <t>Occupied NLA
(sqm)</t>
  </si>
  <si>
    <t>Occupancy
(%)</t>
  </si>
  <si>
    <t>Gross Income
PA ($)</t>
  </si>
  <si>
    <t>Net Effective
PA ($)</t>
  </si>
  <si>
    <t>Avg Face
PSM ($)</t>
  </si>
  <si>
    <t>Avg NER
PSM ($)</t>
  </si>
  <si>
    <t>Incentive
PSM ($)</t>
  </si>
  <si>
    <t>Incentive
%</t>
  </si>
  <si>
    <t>WALE
(yrs NLA)</t>
  </si>
  <si>
    <t>WALE
(yrs Inc)</t>
  </si>
  <si>
    <t>▶</t>
  </si>
  <si>
    <t>Apr 26 — initial snapshot</t>
  </si>
  <si>
    <t xml:space="preserve">  NER PSM TREND  —  Chart updates automatically as monthly rows are added</t>
  </si>
  <si>
    <t>Initial Proposal</t>
  </si>
  <si>
    <t>Incentive Summary</t>
  </si>
  <si>
    <t>Lease Term (Yrs.)</t>
  </si>
  <si>
    <t>Net Rent ($/sqm/pa ex GST)</t>
  </si>
  <si>
    <t>Item</t>
  </si>
  <si>
    <t>Total</t>
  </si>
  <si>
    <t>Percentage</t>
  </si>
  <si>
    <t>Per SQM</t>
  </si>
  <si>
    <t>Outgoings ($/sqm/pa ex GST)</t>
  </si>
  <si>
    <t>Incentive Total</t>
  </si>
  <si>
    <t>Rental ($/sqm/pa ex GST)</t>
  </si>
  <si>
    <t>Fit out costs</t>
  </si>
  <si>
    <t>Area (subject to survey)</t>
  </si>
  <si>
    <t>Tenant Incentive</t>
  </si>
  <si>
    <t>Annual reviews</t>
  </si>
  <si>
    <t>Fitout Costs</t>
  </si>
  <si>
    <t xml:space="preserve">Total incentive ($ value) </t>
  </si>
  <si>
    <t>Incentive $/sqm</t>
  </si>
  <si>
    <t>Year</t>
  </si>
  <si>
    <t>Rate per m² Net</t>
  </si>
  <si>
    <t>Outgoings</t>
  </si>
  <si>
    <t>Annual Rent</t>
  </si>
  <si>
    <t>Year 1</t>
  </si>
  <si>
    <t xml:space="preserve">Make good obligation </t>
  </si>
  <si>
    <t>DRAFT FEE ADVICE</t>
  </si>
  <si>
    <t>SUITE 3.03 - 17 Castlereagh</t>
  </si>
  <si>
    <t>Lessor</t>
  </si>
  <si>
    <t>Hartswan Pty Ltd</t>
  </si>
  <si>
    <t>Lessee</t>
  </si>
  <si>
    <t>Broadridge Financial</t>
  </si>
  <si>
    <t>Lease Commencement Date</t>
  </si>
  <si>
    <t>Lease term</t>
  </si>
  <si>
    <t>Area (m2)</t>
  </si>
  <si>
    <t>Rental</t>
  </si>
  <si>
    <t>Gross rent per sqm</t>
  </si>
  <si>
    <t>Year 1 Gross Rental</t>
  </si>
  <si>
    <t>Annual Increases</t>
  </si>
  <si>
    <t>Year 2 Gross Rental</t>
  </si>
  <si>
    <t>Year 3 Gross Rental</t>
  </si>
  <si>
    <t>Year 4 Gross Rental</t>
  </si>
  <si>
    <t>Fee Basis</t>
  </si>
  <si>
    <t>Gross Fee (100% of Scale)</t>
  </si>
  <si>
    <t>Average Annual Gross Rental</t>
  </si>
  <si>
    <t>Leasing Fee</t>
  </si>
  <si>
    <t>Cadigal</t>
  </si>
  <si>
    <t>Plus GST</t>
  </si>
  <si>
    <t>Total Leasing Fee</t>
  </si>
  <si>
    <t>Date of Quote</t>
  </si>
  <si>
    <t>Company</t>
  </si>
  <si>
    <t>Amount</t>
  </si>
  <si>
    <t>Comment</t>
  </si>
  <si>
    <t>Removal of old and supply of new gas boilers</t>
  </si>
  <si>
    <t>Coverall Plumbing</t>
  </si>
  <si>
    <t xml:space="preserve">Not going ahead yet, waiting for further deterioiration </t>
  </si>
  <si>
    <t>Work and inclosure of level 12</t>
  </si>
  <si>
    <t>Cullen Feng</t>
  </si>
  <si>
    <t xml:space="preserve">Holding off </t>
  </si>
  <si>
    <t>INNOVIS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</si>
</sst>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8" formatCode="&quot;$&quot;#,##0.00;[Red]\-&quot;$&quot;#,##0.00"/>
    <numFmt numFmtId="164" formatCode="_(\$* #,##0.00_);_(\$* \(#,##0.00\);_(\$* \-??_);_(@_)"/>
    <numFmt numFmtId="165" formatCode="m/d/yyyy"/>
    <numFmt numFmtId="166" formatCode="#,##0.0&quot; sqm&quot;"/>
    <numFmt numFmtId="167" formatCode="0.00&quot; years&quot;"/>
    <numFmt numFmtId="168" formatCode="\$#,##0"/>
    <numFmt numFmtId="169" formatCode="0.00&quot; yrs&quot;"/>
    <numFmt numFmtId="170" formatCode="yyyy\-mm\-dd\ h:mm:ss"/>
    <numFmt numFmtId="171" formatCode="#,##0.0"/>
    <numFmt numFmtId="172" formatCode="0.0"/>
    <numFmt numFmtId="173" formatCode="0.0%"/>
    <numFmt numFmtId="174" formatCode="\$#,##0.00"/>
    <numFmt numFmtId="176" formatCode="0.00&quot; yrs (WALE)&quot;"/>
    <numFmt numFmtId="177" formatCode="&quot;($&quot;#,##0\)"/>
    <numFmt numFmtId="178" formatCode="0&quot; days&quot;"/>
    <numFmt numFmtId="179" formatCode="0.000%"/>
    <numFmt numFmtId="180" formatCode="0.00\x"/>
    <numFmt numFmtId="181" formatCode="0.00&quot; yrs (WALE NLA)&quot;"/>
    <numFmt numFmtId="182" formatCode="\$#,##0.00;[Red]&quot;-$&quot;#,##0.00"/>
    <numFmt numFmtId="183" formatCode="\$#,##0;[Red]&quot;-$&quot;#,##0"/>
    <numFmt numFmtId="184" formatCode="_-\$* #,##0.00_-;&quot;-$&quot;* #,##0.00_-;_-\$* \-??_-;_-@_-"/>
    <numFmt numFmtId="185" formatCode="\$0&quot; psm pa&quot;"/>
    <numFmt numFmtId="186" formatCode="0.0&quot; sqm&quot;"/>
    <numFmt numFmtId="187" formatCode="0&quot; sqm&quot;"/>
    <numFmt numFmtId="188" formatCode="d\-mmm\-yy"/>
    <numFmt numFmtId="189" formatCode="d\-mmm"/>
    <numFmt numFmtId="190" formatCode="\$#,##0.00_);[Red]&quot;($&quot;#,##0.00\)"/>
    <numFmt numFmtId="191" formatCode="\$#,##0.00;[Red]\$#,##0.00"/>
  </numFmts>
  <fonts count="52" x14ac:knownFonts="1">
    <font>
      <sz val="11"/>
      <color theme="1"/>
      <name val="Calibri"/>
      <family val="2"/>
      <charset val="1"/>
    </font>
    <font>
      <sz val="10"/>
      <name val="Arial"/>
    </font>
    <font>
      <sz val="10"/>
      <name val="Arial"/>
      <family val="2"/>
      <charset val="1"/>
    </font>
    <font>
      <sz val="14"/>
      <color rgb="FF6B5E52"/>
      <name val="Georgia"/>
      <charset val="1"/>
    </font>
    <font>
      <b/>
      <sz val="32"/>
      <color rgb="FF2C2925"/>
      <name val="Georgia"/>
      <charset val="1"/>
    </font>
    <font>
      <i/>
      <sz val="16"/>
      <color rgb="FF6B5E52"/>
      <name val="Georgia"/>
      <charset val="1"/>
    </font>
    <font>
      <sz val="11"/>
      <color rgb="FF6B5E52"/>
      <name val="Georgia"/>
      <charset val="1"/>
    </font>
    <font>
      <b/>
      <sz val="14"/>
      <color rgb="FFB5A494"/>
      <name val="Georgia"/>
      <charset val="1"/>
    </font>
    <font>
      <b/>
      <sz val="13"/>
      <color rgb="FFF5F0EA"/>
      <name val="Georgia"/>
      <charset val="1"/>
    </font>
    <font>
      <i/>
      <sz val="9"/>
      <color rgb="FF6B5E52"/>
      <name val="Georgia"/>
      <charset val="1"/>
    </font>
    <font>
      <sz val="11"/>
      <color rgb="FF2C2925"/>
      <name val="Georgia"/>
      <charset val="1"/>
    </font>
    <font>
      <b/>
      <sz val="10"/>
      <color rgb="FFF5F0EA"/>
      <name val="Georgia"/>
      <charset val="1"/>
    </font>
    <font>
      <b/>
      <sz val="10"/>
      <color rgb="FF2C2925"/>
      <name val="Georgia"/>
      <charset val="1"/>
    </font>
    <font>
      <sz val="10"/>
      <color rgb="FF2C2925"/>
      <name val="Georgia"/>
      <charset val="1"/>
    </font>
    <font>
      <sz val="9"/>
      <color rgb="FF2C2925"/>
      <name val="Georgia"/>
      <charset val="1"/>
    </font>
    <font>
      <b/>
      <sz val="11"/>
      <color rgb="FFF5F0EA"/>
      <name val="Georgia"/>
      <charset val="1"/>
    </font>
    <font>
      <b/>
      <sz val="9"/>
      <color rgb="FFF5F0EA"/>
      <name val="Georgia"/>
      <charset val="1"/>
    </font>
    <font>
      <sz val="7"/>
      <color rgb="FF2C2925"/>
      <name val="Georgia"/>
      <charset val="1"/>
    </font>
    <font>
      <b/>
      <sz val="9"/>
      <color rgb="FF2C2925"/>
      <name val="Georgia"/>
      <charset val="1"/>
    </font>
    <font>
      <sz val="8"/>
      <color rgb="FF2C2925"/>
      <name val="Georgia"/>
      <charset val="1"/>
    </font>
    <font>
      <i/>
      <sz val="8"/>
      <color rgb="FF6B5E52"/>
      <name val="Georgia"/>
      <charset val="1"/>
    </font>
    <font>
      <b/>
      <sz val="15"/>
      <color rgb="FFF5F0EA"/>
      <name val="Georgia"/>
      <charset val="1"/>
    </font>
    <font>
      <i/>
      <sz val="10"/>
      <color rgb="FFF5F0EA"/>
      <name val="Georgia"/>
      <charset val="1"/>
    </font>
    <font>
      <b/>
      <sz val="14"/>
      <color rgb="FFF5F0EA"/>
      <name val="Georgia"/>
      <charset val="1"/>
    </font>
    <font>
      <sz val="11"/>
      <color rgb="FFF5F0EA"/>
      <name val="Georgia"/>
      <charset val="1"/>
    </font>
    <font>
      <b/>
      <sz val="12"/>
      <color rgb="FFF5F0EA"/>
      <name val="Georgia"/>
      <charset val="1"/>
    </font>
    <font>
      <b/>
      <sz val="11"/>
      <color rgb="FF2C2925"/>
      <name val="Georgia"/>
      <charset val="1"/>
    </font>
    <font>
      <sz val="9"/>
      <color rgb="FF6B5E52"/>
      <name val="Georgia"/>
      <charset val="1"/>
    </font>
    <font>
      <sz val="10"/>
      <color rgb="FFF5F0EA"/>
      <name val="Georgia"/>
      <charset val="1"/>
    </font>
    <font>
      <b/>
      <sz val="9"/>
      <color rgb="FF8A6E45"/>
      <name val="Georgia"/>
      <charset val="1"/>
    </font>
    <font>
      <b/>
      <sz val="9"/>
      <color rgb="FF6B5E52"/>
      <name val="Georgia"/>
      <charset val="1"/>
    </font>
    <font>
      <i/>
      <sz val="8"/>
      <color rgb="FF2C2925"/>
      <name val="Georgia"/>
      <charset val="1"/>
    </font>
    <font>
      <i/>
      <sz val="9"/>
      <color rgb="FF2C2925"/>
      <name val="Georgia"/>
      <charset val="1"/>
    </font>
    <font>
      <sz val="9"/>
      <color rgb="FFF5F0EA"/>
      <name val="Georgia"/>
      <charset val="1"/>
    </font>
    <font>
      <sz val="9"/>
      <color rgb="FF7A4F47"/>
      <name val="Georgia"/>
      <charset val="1"/>
    </font>
    <font>
      <sz val="9"/>
      <color rgb="FF5B6650"/>
      <name val="Georgia"/>
      <charset val="1"/>
    </font>
    <font>
      <b/>
      <sz val="8"/>
      <color rgb="FF8A6E45"/>
      <name val="Georgia"/>
      <charset val="1"/>
    </font>
    <font>
      <b/>
      <sz val="8"/>
      <color rgb="FF6B5E52"/>
      <name val="Georgia"/>
      <charset val="1"/>
    </font>
    <font>
      <b/>
      <sz val="8"/>
      <color rgb="FF2C2925"/>
      <name val="Georgia"/>
      <charset val="1"/>
    </font>
    <font>
      <b/>
      <sz val="8"/>
      <color rgb="FF5B6650"/>
      <name val="Georgia"/>
      <charset val="1"/>
    </font>
    <font>
      <b/>
      <sz val="8"/>
      <color rgb="FF7A4F47"/>
      <name val="Georgia"/>
      <charset val="1"/>
    </font>
    <font>
      <b/>
      <sz val="12"/>
      <color rgb="FF2C2925"/>
      <name val="Georgia"/>
      <charset val="1"/>
    </font>
    <font>
      <sz val="8"/>
      <color rgb="FF6B5E52"/>
      <name val="Georgia"/>
      <charset val="1"/>
    </font>
    <font>
      <b/>
      <sz val="8"/>
      <color rgb="FFF5F0EA"/>
      <name val="Georgia"/>
      <charset val="1"/>
    </font>
    <font>
      <sz val="8"/>
      <color rgb="FFF5F0EA"/>
      <name val="Georgia"/>
      <charset val="1"/>
    </font>
    <font>
      <sz val="11"/>
      <name val="Calibri"/>
      <family val="2"/>
      <charset val="1"/>
    </font>
    <font>
      <b/>
      <sz val="16"/>
      <color rgb="FF2C2925"/>
      <name val="Georgia"/>
      <charset val="1"/>
    </font>
    <font>
      <sz val="16"/>
      <color rgb="FF2C2925"/>
      <name val="Georgia"/>
      <charset val="1"/>
    </font>
    <font>
      <b/>
      <sz val="14"/>
      <color rgb="FF2C2925"/>
      <name val="Georgia"/>
      <charset val="1"/>
    </font>
    <font>
      <b/>
      <i/>
      <sz val="11"/>
      <color rgb="FF2C2925"/>
      <name val="Georgia"/>
      <charset val="1"/>
    </font>
    <font>
      <sz val="11"/>
      <color theme="1"/>
      <name val="Calibri"/>
      <family val="2"/>
      <charset val="1"/>
    </font>
    <font>
      <sz val="8"/>
      <color rgb="FF2C2925"/>
      <name val="Georgia"/>
      <family val="1"/>
    </font>
  </fonts>
  <fills count="20">
    <fill>
      <patternFill patternType="none"/>
    </fill>
    <fill>
      <patternFill patternType="gray125"/>
    </fill>
    <fill>
      <patternFill patternType="solid">
        <fgColor rgb="FFF5F0EA"/>
        <bgColor rgb="FFEDE7DE"/>
      </patternFill>
    </fill>
    <fill>
      <patternFill patternType="solid">
        <fgColor rgb="FF2C2925"/>
        <bgColor rgb="FF003300"/>
      </patternFill>
    </fill>
    <fill>
      <patternFill patternType="solid">
        <fgColor rgb="FFDCD9D2"/>
        <bgColor rgb="FFD9D9D9"/>
      </patternFill>
    </fill>
    <fill>
      <patternFill patternType="solid">
        <fgColor rgb="FFEBDFC4"/>
        <bgColor rgb="FFDDE2D0"/>
      </patternFill>
    </fill>
    <fill>
      <patternFill patternType="solid">
        <fgColor rgb="FFEDE7DE"/>
        <bgColor rgb="FFF5F0EA"/>
      </patternFill>
    </fill>
    <fill>
      <patternFill patternType="solid">
        <fgColor rgb="FFDDE2D0"/>
        <bgColor rgb="FFDCD9D2"/>
      </patternFill>
    </fill>
    <fill>
      <patternFill patternType="solid">
        <fgColor rgb="FFE3D2CC"/>
        <bgColor rgb="FFDCD5C9"/>
      </patternFill>
    </fill>
    <fill>
      <patternFill patternType="solid">
        <fgColor rgb="FF6B5E52"/>
        <bgColor rgb="FF5B6650"/>
      </patternFill>
    </fill>
    <fill>
      <patternFill patternType="solid">
        <fgColor rgb="FF5B6650"/>
        <bgColor rgb="FF6B5E52"/>
      </patternFill>
    </fill>
    <fill>
      <patternFill patternType="solid">
        <fgColor rgb="FF7A4F47"/>
        <bgColor rgb="FF6B5E52"/>
      </patternFill>
    </fill>
    <fill>
      <patternFill patternType="solid">
        <fgColor rgb="FF8A6E45"/>
        <bgColor rgb="FF6B5E52"/>
      </patternFill>
    </fill>
    <fill>
      <patternFill patternType="solid">
        <fgColor rgb="FF5B6E7A"/>
        <bgColor rgb="FF4F7A6E"/>
      </patternFill>
    </fill>
    <fill>
      <patternFill patternType="solid">
        <fgColor rgb="FFDCD5C9"/>
        <bgColor rgb="FFDCD9D2"/>
      </patternFill>
    </fill>
    <fill>
      <patternFill patternType="solid">
        <fgColor rgb="FF9C9486"/>
        <bgColor rgb="FFB5A494"/>
      </patternFill>
    </fill>
    <fill>
      <patternFill patternType="solid">
        <fgColor rgb="FF6B5670"/>
        <bgColor rgb="FF6B5E52"/>
      </patternFill>
    </fill>
    <fill>
      <patternFill patternType="solid">
        <fgColor rgb="FF4F7A6E"/>
        <bgColor rgb="FF5B6E7A"/>
      </patternFill>
    </fill>
    <fill>
      <patternFill patternType="solid">
        <fgColor rgb="FFFFFFFF"/>
        <bgColor rgb="FFF5F0EA"/>
      </patternFill>
    </fill>
    <fill>
      <patternFill patternType="solid">
        <fgColor theme="1"/>
        <bgColor rgb="FF0033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6B5E52"/>
      </bottom>
      <diagonal/>
    </border>
    <border>
      <left/>
      <right/>
      <top/>
      <bottom style="thin">
        <color rgb="FFB5A494"/>
      </bottom>
      <diagonal/>
    </border>
    <border>
      <left/>
      <right/>
      <top style="thin">
        <color rgb="FFB5A494"/>
      </top>
      <bottom/>
      <diagonal/>
    </border>
  </borders>
  <cellStyleXfs count="10">
    <xf numFmtId="0" fontId="0" fillId="0" borderId="0"/>
    <xf numFmtId="9" fontId="1" fillId="0" borderId="0" applyBorder="0" applyAlignment="0" applyProtection="0"/>
    <xf numFmtId="164" fontId="50" fillId="0" borderId="0"/>
    <xf numFmtId="164" fontId="2" fillId="0" borderId="0"/>
    <xf numFmtId="0" fontId="2" fillId="0" borderId="0"/>
    <xf numFmtId="0" fontId="50" fillId="0" borderId="0"/>
    <xf numFmtId="0" fontId="2" fillId="0" borderId="0"/>
    <xf numFmtId="0" fontId="50" fillId="0" borderId="0"/>
    <xf numFmtId="9" fontId="50" fillId="0" borderId="0"/>
    <xf numFmtId="9" fontId="2" fillId="0" borderId="0"/>
  </cellStyleXfs>
  <cellXfs count="452">
    <xf numFmtId="0" fontId="0" fillId="0" borderId="0" xfId="0"/>
    <xf numFmtId="0" fontId="10" fillId="4" borderId="0" xfId="0" applyFont="1" applyFill="1"/>
    <xf numFmtId="0" fontId="0" fillId="2" borderId="0" xfId="0" applyFill="1"/>
    <xf numFmtId="0" fontId="3" fillId="2" borderId="0" xfId="0" applyFont="1" applyFill="1"/>
    <xf numFmtId="0" fontId="7" fillId="2" borderId="0" xfId="0" applyFont="1" applyFill="1"/>
    <xf numFmtId="0" fontId="10" fillId="0" borderId="0" xfId="0" applyFont="1"/>
    <xf numFmtId="0" fontId="11" fillId="3" borderId="1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  <xf numFmtId="165" fontId="14" fillId="5" borderId="2" xfId="0" applyNumberFormat="1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10" fontId="14" fillId="4" borderId="2" xfId="0" applyNumberFormat="1" applyFont="1" applyFill="1" applyBorder="1" applyAlignment="1">
      <alignment horizontal="center" vertical="center"/>
    </xf>
    <xf numFmtId="169" fontId="14" fillId="4" borderId="2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left" vertical="center"/>
    </xf>
    <xf numFmtId="170" fontId="10" fillId="2" borderId="2" xfId="0" applyNumberFormat="1" applyFont="1" applyFill="1" applyBorder="1"/>
    <xf numFmtId="0" fontId="10" fillId="2" borderId="2" xfId="0" applyFont="1" applyFill="1" applyBorder="1"/>
    <xf numFmtId="170" fontId="10" fillId="4" borderId="0" xfId="0" applyNumberFormat="1" applyFont="1" applyFill="1"/>
    <xf numFmtId="0" fontId="10" fillId="2" borderId="0" xfId="0" applyFont="1" applyFill="1"/>
    <xf numFmtId="0" fontId="12" fillId="2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left" vertical="center"/>
    </xf>
    <xf numFmtId="171" fontId="14" fillId="4" borderId="2" xfId="0" applyNumberFormat="1" applyFont="1" applyFill="1" applyBorder="1" applyAlignment="1">
      <alignment horizontal="center" vertical="center"/>
    </xf>
    <xf numFmtId="165" fontId="14" fillId="4" borderId="2" xfId="0" applyNumberFormat="1" applyFont="1" applyFill="1" applyBorder="1" applyAlignment="1">
      <alignment horizontal="center" vertical="center"/>
    </xf>
    <xf numFmtId="172" fontId="14" fillId="4" borderId="2" xfId="0" applyNumberFormat="1" applyFont="1" applyFill="1" applyBorder="1" applyAlignment="1">
      <alignment horizontal="center" vertical="center"/>
    </xf>
    <xf numFmtId="168" fontId="14" fillId="4" borderId="2" xfId="0" applyNumberFormat="1" applyFont="1" applyFill="1" applyBorder="1" applyAlignment="1">
      <alignment horizontal="center" vertical="center"/>
    </xf>
    <xf numFmtId="173" fontId="14" fillId="4" borderId="2" xfId="0" applyNumberFormat="1" applyFont="1" applyFill="1" applyBorder="1" applyAlignment="1">
      <alignment horizontal="center" vertical="center"/>
    </xf>
    <xf numFmtId="2" fontId="14" fillId="4" borderId="2" xfId="0" applyNumberFormat="1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4" fontId="17" fillId="4" borderId="2" xfId="0" applyNumberFormat="1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/>
    </xf>
    <xf numFmtId="171" fontId="14" fillId="2" borderId="2" xfId="0" applyNumberFormat="1" applyFont="1" applyFill="1" applyBorder="1" applyAlignment="1">
      <alignment horizontal="center" vertical="center"/>
    </xf>
    <xf numFmtId="165" fontId="14" fillId="2" borderId="2" xfId="0" applyNumberFormat="1" applyFont="1" applyFill="1" applyBorder="1" applyAlignment="1">
      <alignment horizontal="center" vertical="center"/>
    </xf>
    <xf numFmtId="172" fontId="14" fillId="2" borderId="2" xfId="0" applyNumberFormat="1" applyFont="1" applyFill="1" applyBorder="1" applyAlignment="1">
      <alignment horizontal="center" vertical="center"/>
    </xf>
    <xf numFmtId="168" fontId="14" fillId="2" borderId="2" xfId="0" applyNumberFormat="1" applyFont="1" applyFill="1" applyBorder="1" applyAlignment="1">
      <alignment horizontal="center" vertical="center"/>
    </xf>
    <xf numFmtId="173" fontId="14" fillId="2" borderId="2" xfId="0" applyNumberFormat="1" applyFont="1" applyFill="1" applyBorder="1" applyAlignment="1">
      <alignment horizontal="center" vertical="center"/>
    </xf>
    <xf numFmtId="2" fontId="14" fillId="2" borderId="2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left" vertical="center"/>
    </xf>
    <xf numFmtId="171" fontId="14" fillId="5" borderId="2" xfId="0" applyNumberFormat="1" applyFont="1" applyFill="1" applyBorder="1" applyAlignment="1">
      <alignment horizontal="center" vertical="center"/>
    </xf>
    <xf numFmtId="172" fontId="14" fillId="5" borderId="2" xfId="0" applyNumberFormat="1" applyFont="1" applyFill="1" applyBorder="1" applyAlignment="1">
      <alignment horizontal="center" vertical="center"/>
    </xf>
    <xf numFmtId="168" fontId="14" fillId="5" borderId="2" xfId="0" applyNumberFormat="1" applyFont="1" applyFill="1" applyBorder="1" applyAlignment="1">
      <alignment horizontal="center" vertical="center"/>
    </xf>
    <xf numFmtId="173" fontId="14" fillId="5" borderId="2" xfId="0" applyNumberFormat="1" applyFont="1" applyFill="1" applyBorder="1" applyAlignment="1">
      <alignment horizontal="center" vertical="center"/>
    </xf>
    <xf numFmtId="2" fontId="14" fillId="5" borderId="2" xfId="0" applyNumberFormat="1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8" fillId="8" borderId="2" xfId="0" applyFont="1" applyFill="1" applyBorder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165" fontId="14" fillId="5" borderId="0" xfId="0" applyNumberFormat="1" applyFont="1" applyFill="1" applyAlignment="1">
      <alignment horizontal="center" vertical="center"/>
    </xf>
    <xf numFmtId="172" fontId="14" fillId="5" borderId="0" xfId="0" applyNumberFormat="1" applyFont="1" applyFill="1" applyAlignment="1">
      <alignment horizontal="center" vertical="center"/>
    </xf>
    <xf numFmtId="168" fontId="14" fillId="5" borderId="0" xfId="0" applyNumberFormat="1" applyFont="1" applyFill="1" applyAlignment="1">
      <alignment horizontal="center" vertical="center"/>
    </xf>
    <xf numFmtId="165" fontId="14" fillId="7" borderId="2" xfId="0" applyNumberFormat="1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left" vertical="center"/>
    </xf>
    <xf numFmtId="171" fontId="14" fillId="8" borderId="2" xfId="0" applyNumberFormat="1" applyFont="1" applyFill="1" applyBorder="1" applyAlignment="1">
      <alignment horizontal="center" vertical="center"/>
    </xf>
    <xf numFmtId="165" fontId="14" fillId="8" borderId="2" xfId="0" applyNumberFormat="1" applyFont="1" applyFill="1" applyBorder="1" applyAlignment="1">
      <alignment horizontal="center" vertical="center"/>
    </xf>
    <xf numFmtId="172" fontId="14" fillId="8" borderId="2" xfId="0" applyNumberFormat="1" applyFont="1" applyFill="1" applyBorder="1" applyAlignment="1">
      <alignment horizontal="center" vertical="center"/>
    </xf>
    <xf numFmtId="168" fontId="14" fillId="8" borderId="2" xfId="0" applyNumberFormat="1" applyFont="1" applyFill="1" applyBorder="1" applyAlignment="1">
      <alignment horizontal="center" vertical="center"/>
    </xf>
    <xf numFmtId="173" fontId="14" fillId="8" borderId="2" xfId="0" applyNumberFormat="1" applyFont="1" applyFill="1" applyBorder="1" applyAlignment="1">
      <alignment horizontal="center" vertical="center"/>
    </xf>
    <xf numFmtId="2" fontId="14" fillId="8" borderId="2" xfId="0" applyNumberFormat="1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171" fontId="18" fillId="8" borderId="2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71" fontId="11" fillId="3" borderId="1" xfId="0" applyNumberFormat="1" applyFont="1" applyFill="1" applyBorder="1" applyAlignment="1">
      <alignment horizontal="center" vertical="center"/>
    </xf>
    <xf numFmtId="168" fontId="11" fillId="3" borderId="1" xfId="0" applyNumberFormat="1" applyFont="1" applyFill="1" applyBorder="1" applyAlignment="1">
      <alignment horizontal="center" vertical="center"/>
    </xf>
    <xf numFmtId="176" fontId="11" fillId="3" borderId="1" xfId="0" applyNumberFormat="1" applyFont="1" applyFill="1" applyBorder="1" applyAlignment="1">
      <alignment horizontal="center" vertical="center"/>
    </xf>
    <xf numFmtId="171" fontId="10" fillId="0" borderId="0" xfId="0" applyNumberFormat="1" applyFont="1"/>
    <xf numFmtId="10" fontId="10" fillId="0" borderId="0" xfId="0" applyNumberFormat="1" applyFont="1"/>
    <xf numFmtId="0" fontId="18" fillId="2" borderId="2" xfId="0" applyFont="1" applyFill="1" applyBorder="1"/>
    <xf numFmtId="0" fontId="10" fillId="8" borderId="0" xfId="0" applyFont="1" applyFill="1"/>
    <xf numFmtId="0" fontId="14" fillId="2" borderId="2" xfId="0" applyFont="1" applyFill="1" applyBorder="1"/>
    <xf numFmtId="0" fontId="10" fillId="5" borderId="0" xfId="0" applyFont="1" applyFill="1"/>
    <xf numFmtId="0" fontId="10" fillId="7" borderId="0" xfId="0" applyFont="1" applyFill="1"/>
    <xf numFmtId="0" fontId="24" fillId="3" borderId="1" xfId="0" applyFont="1" applyFill="1" applyBorder="1"/>
    <xf numFmtId="0" fontId="16" fillId="3" borderId="1" xfId="0" applyFont="1" applyFill="1" applyBorder="1" applyAlignment="1">
      <alignment horizontal="center" vertical="center"/>
    </xf>
    <xf numFmtId="169" fontId="26" fillId="4" borderId="2" xfId="0" applyNumberFormat="1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/>
    </xf>
    <xf numFmtId="169" fontId="26" fillId="6" borderId="2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168" fontId="13" fillId="4" borderId="2" xfId="0" applyNumberFormat="1" applyFont="1" applyFill="1" applyBorder="1" applyAlignment="1">
      <alignment horizontal="center" vertical="center"/>
    </xf>
    <xf numFmtId="173" fontId="13" fillId="4" borderId="2" xfId="0" applyNumberFormat="1" applyFont="1" applyFill="1" applyBorder="1" applyAlignment="1">
      <alignment horizontal="center" vertical="center"/>
    </xf>
    <xf numFmtId="171" fontId="13" fillId="4" borderId="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/>
    </xf>
    <xf numFmtId="168" fontId="13" fillId="2" borderId="2" xfId="0" applyNumberFormat="1" applyFont="1" applyFill="1" applyBorder="1" applyAlignment="1">
      <alignment horizontal="center" vertical="center"/>
    </xf>
    <xf numFmtId="173" fontId="13" fillId="2" borderId="2" xfId="0" applyNumberFormat="1" applyFont="1" applyFill="1" applyBorder="1" applyAlignment="1">
      <alignment horizontal="center" vertical="center"/>
    </xf>
    <xf numFmtId="171" fontId="13" fillId="2" borderId="2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173" fontId="11" fillId="3" borderId="1" xfId="0" applyNumberFormat="1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left" vertical="center"/>
    </xf>
    <xf numFmtId="171" fontId="14" fillId="7" borderId="2" xfId="0" applyNumberFormat="1" applyFont="1" applyFill="1" applyBorder="1" applyAlignment="1">
      <alignment horizontal="center" vertical="center"/>
    </xf>
    <xf numFmtId="168" fontId="14" fillId="7" borderId="2" xfId="0" applyNumberFormat="1" applyFont="1" applyFill="1" applyBorder="1" applyAlignment="1">
      <alignment horizontal="center" vertical="center"/>
    </xf>
    <xf numFmtId="173" fontId="14" fillId="7" borderId="2" xfId="0" applyNumberFormat="1" applyFont="1" applyFill="1" applyBorder="1" applyAlignment="1">
      <alignment horizontal="center" vertical="center"/>
    </xf>
    <xf numFmtId="0" fontId="14" fillId="2" borderId="0" xfId="0" applyFont="1" applyFill="1"/>
    <xf numFmtId="0" fontId="14" fillId="2" borderId="0" xfId="0" applyFont="1" applyFill="1" applyAlignment="1">
      <alignment horizontal="left" vertical="center" wrapText="1"/>
    </xf>
    <xf numFmtId="0" fontId="14" fillId="6" borderId="0" xfId="0" applyFont="1" applyFill="1"/>
    <xf numFmtId="0" fontId="14" fillId="6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left" vertical="center"/>
    </xf>
    <xf numFmtId="171" fontId="14" fillId="2" borderId="0" xfId="0" applyNumberFormat="1" applyFont="1" applyFill="1" applyAlignment="1">
      <alignment horizontal="center" vertical="center"/>
    </xf>
    <xf numFmtId="168" fontId="14" fillId="2" borderId="0" xfId="0" applyNumberFormat="1" applyFont="1" applyFill="1" applyAlignment="1">
      <alignment horizontal="center" vertical="center"/>
    </xf>
    <xf numFmtId="173" fontId="14" fillId="2" borderId="0" xfId="0" applyNumberFormat="1" applyFont="1" applyFill="1" applyAlignment="1">
      <alignment horizontal="center" vertical="center"/>
    </xf>
    <xf numFmtId="165" fontId="14" fillId="2" borderId="0" xfId="0" applyNumberFormat="1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 vertical="center"/>
    </xf>
    <xf numFmtId="171" fontId="14" fillId="6" borderId="0" xfId="0" applyNumberFormat="1" applyFont="1" applyFill="1" applyAlignment="1">
      <alignment horizontal="center" vertical="center"/>
    </xf>
    <xf numFmtId="168" fontId="14" fillId="6" borderId="0" xfId="0" applyNumberFormat="1" applyFont="1" applyFill="1" applyAlignment="1">
      <alignment horizontal="center" vertical="center"/>
    </xf>
    <xf numFmtId="173" fontId="14" fillId="6" borderId="0" xfId="0" applyNumberFormat="1" applyFont="1" applyFill="1" applyAlignment="1">
      <alignment horizontal="center" vertical="center"/>
    </xf>
    <xf numFmtId="165" fontId="14" fillId="6" borderId="0" xfId="0" applyNumberFormat="1" applyFont="1" applyFill="1" applyAlignment="1">
      <alignment horizontal="center" vertical="center"/>
    </xf>
    <xf numFmtId="165" fontId="18" fillId="5" borderId="2" xfId="0" applyNumberFormat="1" applyFont="1" applyFill="1" applyBorder="1" applyAlignment="1">
      <alignment horizontal="center" vertical="center"/>
    </xf>
    <xf numFmtId="178" fontId="14" fillId="5" borderId="2" xfId="0" applyNumberFormat="1" applyFont="1" applyFill="1" applyBorder="1" applyAlignment="1">
      <alignment horizontal="center" vertical="center"/>
    </xf>
    <xf numFmtId="178" fontId="10" fillId="6" borderId="2" xfId="0" applyNumberFormat="1" applyFont="1" applyFill="1" applyBorder="1" applyAlignment="1">
      <alignment horizontal="center" vertical="center"/>
    </xf>
    <xf numFmtId="178" fontId="10" fillId="2" borderId="2" xfId="0" applyNumberFormat="1" applyFont="1" applyFill="1" applyBorder="1" applyAlignment="1">
      <alignment horizontal="center" vertical="center"/>
    </xf>
    <xf numFmtId="165" fontId="18" fillId="4" borderId="2" xfId="0" applyNumberFormat="1" applyFont="1" applyFill="1" applyBorder="1" applyAlignment="1">
      <alignment horizontal="center" vertical="center"/>
    </xf>
    <xf numFmtId="178" fontId="14" fillId="4" borderId="2" xfId="0" applyNumberFormat="1" applyFont="1" applyFill="1" applyBorder="1" applyAlignment="1">
      <alignment horizontal="center" vertical="center"/>
    </xf>
    <xf numFmtId="165" fontId="29" fillId="2" borderId="2" xfId="0" applyNumberFormat="1" applyFont="1" applyFill="1" applyBorder="1" applyAlignment="1">
      <alignment horizontal="center" vertical="center"/>
    </xf>
    <xf numFmtId="178" fontId="14" fillId="2" borderId="2" xfId="0" applyNumberFormat="1" applyFont="1" applyFill="1" applyBorder="1" applyAlignment="1">
      <alignment horizontal="center" vertical="center"/>
    </xf>
    <xf numFmtId="165" fontId="30" fillId="2" borderId="2" xfId="0" applyNumberFormat="1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168" fontId="12" fillId="7" borderId="2" xfId="0" applyNumberFormat="1" applyFont="1" applyFill="1" applyBorder="1" applyAlignment="1">
      <alignment horizontal="center" vertical="center"/>
    </xf>
    <xf numFmtId="173" fontId="12" fillId="4" borderId="2" xfId="0" applyNumberFormat="1" applyFont="1" applyFill="1" applyBorder="1" applyAlignment="1">
      <alignment horizontal="center" vertical="center"/>
    </xf>
    <xf numFmtId="165" fontId="13" fillId="7" borderId="2" xfId="0" applyNumberFormat="1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10" fontId="13" fillId="7" borderId="2" xfId="0" applyNumberFormat="1" applyFont="1" applyFill="1" applyBorder="1" applyAlignment="1">
      <alignment horizontal="center" vertical="center"/>
    </xf>
    <xf numFmtId="10" fontId="18" fillId="4" borderId="2" xfId="0" applyNumberFormat="1" applyFont="1" applyFill="1" applyBorder="1" applyAlignment="1">
      <alignment horizontal="center" vertical="center"/>
    </xf>
    <xf numFmtId="168" fontId="13" fillId="7" borderId="2" xfId="0" applyNumberFormat="1" applyFont="1" applyFill="1" applyBorder="1" applyAlignment="1">
      <alignment horizontal="center" vertical="center"/>
    </xf>
    <xf numFmtId="168" fontId="18" fillId="4" borderId="2" xfId="0" applyNumberFormat="1" applyFont="1" applyFill="1" applyBorder="1" applyAlignment="1">
      <alignment horizontal="center" vertical="center"/>
    </xf>
    <xf numFmtId="168" fontId="13" fillId="5" borderId="2" xfId="0" applyNumberFormat="1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165" fontId="13" fillId="5" borderId="2" xfId="0" applyNumberFormat="1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10" fontId="13" fillId="5" borderId="2" xfId="0" applyNumberFormat="1" applyFont="1" applyFill="1" applyBorder="1" applyAlignment="1">
      <alignment horizontal="center" vertical="center"/>
    </xf>
    <xf numFmtId="168" fontId="13" fillId="5" borderId="0" xfId="0" applyNumberFormat="1" applyFont="1" applyFill="1" applyAlignment="1">
      <alignment horizontal="center" vertical="center"/>
    </xf>
    <xf numFmtId="0" fontId="16" fillId="3" borderId="1" xfId="0" applyFont="1" applyFill="1" applyBorder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179" fontId="13" fillId="5" borderId="0" xfId="0" applyNumberFormat="1" applyFont="1" applyFill="1" applyAlignment="1">
      <alignment horizontal="center" vertical="center"/>
    </xf>
    <xf numFmtId="165" fontId="13" fillId="5" borderId="0" xfId="0" applyNumberFormat="1" applyFont="1" applyFill="1" applyAlignment="1">
      <alignment horizontal="center" vertical="center"/>
    </xf>
    <xf numFmtId="0" fontId="18" fillId="6" borderId="2" xfId="0" applyFont="1" applyFill="1" applyBorder="1" applyAlignment="1">
      <alignment horizontal="left" vertical="center"/>
    </xf>
    <xf numFmtId="179" fontId="31" fillId="5" borderId="2" xfId="0" applyNumberFormat="1" applyFont="1" applyFill="1" applyBorder="1" applyAlignment="1">
      <alignment horizontal="center" vertical="center"/>
    </xf>
    <xf numFmtId="173" fontId="13" fillId="5" borderId="0" xfId="0" applyNumberFormat="1" applyFont="1" applyFill="1" applyAlignment="1">
      <alignment horizontal="center" vertical="center"/>
    </xf>
    <xf numFmtId="180" fontId="13" fillId="5" borderId="0" xfId="0" applyNumberFormat="1" applyFont="1" applyFill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171" fontId="14" fillId="6" borderId="2" xfId="0" applyNumberFormat="1" applyFont="1" applyFill="1" applyBorder="1" applyAlignment="1">
      <alignment horizontal="center" vertical="center"/>
    </xf>
    <xf numFmtId="165" fontId="14" fillId="6" borderId="2" xfId="0" applyNumberFormat="1" applyFont="1" applyFill="1" applyBorder="1" applyAlignment="1">
      <alignment horizontal="center" vertical="center"/>
    </xf>
    <xf numFmtId="172" fontId="14" fillId="6" borderId="2" xfId="0" applyNumberFormat="1" applyFont="1" applyFill="1" applyBorder="1" applyAlignment="1">
      <alignment horizontal="center" vertical="center"/>
    </xf>
    <xf numFmtId="2" fontId="14" fillId="6" borderId="2" xfId="0" applyNumberFormat="1" applyFont="1" applyFill="1" applyBorder="1" applyAlignment="1">
      <alignment horizontal="center" vertical="center"/>
    </xf>
    <xf numFmtId="168" fontId="14" fillId="6" borderId="2" xfId="0" applyNumberFormat="1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left" vertical="center"/>
    </xf>
    <xf numFmtId="172" fontId="14" fillId="7" borderId="2" xfId="0" applyNumberFormat="1" applyFont="1" applyFill="1" applyBorder="1" applyAlignment="1">
      <alignment horizontal="center" vertical="center"/>
    </xf>
    <xf numFmtId="2" fontId="14" fillId="7" borderId="2" xfId="0" applyNumberFormat="1" applyFont="1" applyFill="1" applyBorder="1" applyAlignment="1">
      <alignment horizontal="center" vertical="center"/>
    </xf>
    <xf numFmtId="166" fontId="11" fillId="3" borderId="1" xfId="0" applyNumberFormat="1" applyFont="1" applyFill="1" applyBorder="1" applyAlignment="1">
      <alignment horizontal="center" vertical="center"/>
    </xf>
    <xf numFmtId="181" fontId="11" fillId="3" borderId="1" xfId="0" applyNumberFormat="1" applyFont="1" applyFill="1" applyBorder="1" applyAlignment="1">
      <alignment horizontal="center" vertical="center"/>
    </xf>
    <xf numFmtId="1" fontId="14" fillId="8" borderId="2" xfId="0" applyNumberFormat="1" applyFont="1" applyFill="1" applyBorder="1" applyAlignment="1">
      <alignment horizontal="center" vertical="center"/>
    </xf>
    <xf numFmtId="1" fontId="14" fillId="5" borderId="2" xfId="0" applyNumberFormat="1" applyFont="1" applyFill="1" applyBorder="1" applyAlignment="1">
      <alignment horizontal="center" vertical="center"/>
    </xf>
    <xf numFmtId="1" fontId="14" fillId="2" borderId="2" xfId="0" applyNumberFormat="1" applyFont="1" applyFill="1" applyBorder="1" applyAlignment="1">
      <alignment horizontal="center" vertical="center"/>
    </xf>
    <xf numFmtId="1" fontId="14" fillId="4" borderId="2" xfId="0" applyNumberFormat="1" applyFont="1" applyFill="1" applyBorder="1" applyAlignment="1">
      <alignment horizontal="center" vertical="center"/>
    </xf>
    <xf numFmtId="9" fontId="14" fillId="4" borderId="2" xfId="0" applyNumberFormat="1" applyFont="1" applyFill="1" applyBorder="1" applyAlignment="1">
      <alignment horizontal="center" vertical="center"/>
    </xf>
    <xf numFmtId="10" fontId="14" fillId="2" borderId="2" xfId="0" applyNumberFormat="1" applyFont="1" applyFill="1" applyBorder="1" applyAlignment="1">
      <alignment horizontal="center" vertical="center"/>
    </xf>
    <xf numFmtId="9" fontId="14" fillId="2" borderId="2" xfId="0" applyNumberFormat="1" applyFont="1" applyFill="1" applyBorder="1" applyAlignment="1">
      <alignment horizontal="center" vertical="center"/>
    </xf>
    <xf numFmtId="10" fontId="14" fillId="6" borderId="2" xfId="0" applyNumberFormat="1" applyFont="1" applyFill="1" applyBorder="1" applyAlignment="1">
      <alignment horizontal="center" vertical="center"/>
    </xf>
    <xf numFmtId="9" fontId="14" fillId="6" borderId="2" xfId="0" applyNumberFormat="1" applyFont="1" applyFill="1" applyBorder="1" applyAlignment="1">
      <alignment horizontal="center" vertical="center"/>
    </xf>
    <xf numFmtId="182" fontId="10" fillId="0" borderId="0" xfId="0" applyNumberFormat="1" applyFont="1"/>
    <xf numFmtId="169" fontId="12" fillId="4" borderId="2" xfId="0" applyNumberFormat="1" applyFont="1" applyFill="1" applyBorder="1" applyAlignment="1">
      <alignment horizontal="center" vertical="center"/>
    </xf>
    <xf numFmtId="9" fontId="10" fillId="0" borderId="0" xfId="0" applyNumberFormat="1" applyFont="1"/>
    <xf numFmtId="10" fontId="12" fillId="6" borderId="2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171" fontId="12" fillId="6" borderId="2" xfId="0" applyNumberFormat="1" applyFont="1" applyFill="1" applyBorder="1" applyAlignment="1">
      <alignment horizontal="center" vertical="center"/>
    </xf>
    <xf numFmtId="3" fontId="12" fillId="6" borderId="2" xfId="0" applyNumberFormat="1" applyFont="1" applyFill="1" applyBorder="1" applyAlignment="1">
      <alignment horizontal="center" vertical="center"/>
    </xf>
    <xf numFmtId="3" fontId="12" fillId="4" borderId="2" xfId="0" applyNumberFormat="1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173" fontId="14" fillId="6" borderId="2" xfId="0" applyNumberFormat="1" applyFont="1" applyFill="1" applyBorder="1" applyAlignment="1">
      <alignment horizontal="center" vertical="center"/>
    </xf>
    <xf numFmtId="168" fontId="33" fillId="3" borderId="1" xfId="0" applyNumberFormat="1" applyFont="1" applyFill="1" applyBorder="1" applyAlignment="1">
      <alignment horizontal="center" vertical="center"/>
    </xf>
    <xf numFmtId="168" fontId="16" fillId="3" borderId="1" xfId="0" applyNumberFormat="1" applyFont="1" applyFill="1" applyBorder="1" applyAlignment="1">
      <alignment horizontal="center" vertical="center"/>
    </xf>
    <xf numFmtId="173" fontId="16" fillId="3" borderId="1" xfId="0" applyNumberFormat="1" applyFont="1" applyFill="1" applyBorder="1" applyAlignment="1">
      <alignment horizontal="center" vertical="center"/>
    </xf>
    <xf numFmtId="0" fontId="34" fillId="2" borderId="2" xfId="0" applyFont="1" applyFill="1" applyBorder="1"/>
    <xf numFmtId="0" fontId="35" fillId="2" borderId="2" xfId="0" applyFont="1" applyFill="1" applyBorder="1"/>
    <xf numFmtId="0" fontId="10" fillId="6" borderId="0" xfId="0" applyFont="1" applyFill="1"/>
    <xf numFmtId="0" fontId="36" fillId="2" borderId="2" xfId="0" applyFont="1" applyFill="1" applyBorder="1" applyAlignment="1">
      <alignment horizontal="center" vertical="center" wrapText="1"/>
    </xf>
    <xf numFmtId="0" fontId="37" fillId="2" borderId="2" xfId="0" applyFont="1" applyFill="1" applyBorder="1" applyAlignment="1">
      <alignment horizontal="center" vertical="center" wrapText="1"/>
    </xf>
    <xf numFmtId="0" fontId="38" fillId="2" borderId="2" xfId="0" applyFont="1" applyFill="1" applyBorder="1" applyAlignment="1">
      <alignment horizontal="center" vertical="center" wrapText="1"/>
    </xf>
    <xf numFmtId="0" fontId="39" fillId="2" borderId="2" xfId="0" applyFont="1" applyFill="1" applyBorder="1" applyAlignment="1">
      <alignment horizontal="center" vertical="center" wrapText="1"/>
    </xf>
    <xf numFmtId="0" fontId="40" fillId="2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wrapText="1"/>
    </xf>
    <xf numFmtId="0" fontId="14" fillId="6" borderId="2" xfId="0" applyFont="1" applyFill="1" applyBorder="1" applyAlignment="1">
      <alignment horizontal="center" vertical="center" wrapText="1"/>
    </xf>
    <xf numFmtId="183" fontId="14" fillId="5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vertical="top" wrapText="1"/>
    </xf>
    <xf numFmtId="0" fontId="14" fillId="8" borderId="2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center" vertical="center" wrapText="1"/>
    </xf>
    <xf numFmtId="182" fontId="14" fillId="5" borderId="2" xfId="0" applyNumberFormat="1" applyFont="1" applyFill="1" applyBorder="1" applyAlignment="1">
      <alignment horizontal="center" vertical="center"/>
    </xf>
    <xf numFmtId="184" fontId="14" fillId="5" borderId="2" xfId="0" applyNumberFormat="1" applyFont="1" applyFill="1" applyBorder="1" applyAlignment="1">
      <alignment horizontal="center" vertical="center"/>
    </xf>
    <xf numFmtId="171" fontId="10" fillId="2" borderId="0" xfId="0" applyNumberFormat="1" applyFont="1" applyFill="1"/>
    <xf numFmtId="171" fontId="10" fillId="6" borderId="0" xfId="0" applyNumberFormat="1" applyFont="1" applyFill="1"/>
    <xf numFmtId="171" fontId="18" fillId="4" borderId="2" xfId="0" applyNumberFormat="1" applyFont="1" applyFill="1" applyBorder="1" applyAlignment="1">
      <alignment horizontal="center" vertical="center"/>
    </xf>
    <xf numFmtId="173" fontId="18" fillId="4" borderId="2" xfId="0" applyNumberFormat="1" applyFont="1" applyFill="1" applyBorder="1" applyAlignment="1">
      <alignment horizontal="center" vertical="center"/>
    </xf>
    <xf numFmtId="2" fontId="18" fillId="4" borderId="2" xfId="0" applyNumberFormat="1" applyFont="1" applyFill="1" applyBorder="1" applyAlignment="1">
      <alignment horizontal="center" vertical="center"/>
    </xf>
    <xf numFmtId="0" fontId="42" fillId="2" borderId="2" xfId="0" applyFont="1" applyFill="1" applyBorder="1" applyAlignment="1">
      <alignment horizontal="center" vertical="center"/>
    </xf>
    <xf numFmtId="10" fontId="14" fillId="5" borderId="2" xfId="0" applyNumberFormat="1" applyFont="1" applyFill="1" applyBorder="1" applyAlignment="1">
      <alignment horizontal="center" vertical="center"/>
    </xf>
    <xf numFmtId="0" fontId="42" fillId="6" borderId="2" xfId="0" applyFont="1" applyFill="1" applyBorder="1" applyAlignment="1">
      <alignment horizontal="center" vertical="center"/>
    </xf>
    <xf numFmtId="165" fontId="10" fillId="5" borderId="0" xfId="0" applyNumberFormat="1" applyFont="1" applyFill="1" applyAlignment="1">
      <alignment horizontal="center" vertical="center"/>
    </xf>
    <xf numFmtId="171" fontId="10" fillId="5" borderId="0" xfId="0" applyNumberFormat="1" applyFont="1" applyFill="1" applyAlignment="1">
      <alignment horizontal="center" vertical="center"/>
    </xf>
    <xf numFmtId="10" fontId="10" fillId="5" borderId="0" xfId="0" applyNumberFormat="1" applyFont="1" applyFill="1" applyAlignment="1">
      <alignment horizontal="center" vertical="center"/>
    </xf>
    <xf numFmtId="168" fontId="10" fillId="5" borderId="0" xfId="0" applyNumberFormat="1" applyFont="1" applyFill="1" applyAlignment="1">
      <alignment horizontal="center" vertical="center"/>
    </xf>
    <xf numFmtId="173" fontId="10" fillId="5" borderId="0" xfId="0" applyNumberFormat="1" applyFont="1" applyFill="1" applyAlignment="1">
      <alignment horizontal="center" vertical="center"/>
    </xf>
    <xf numFmtId="2" fontId="10" fillId="5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0" fontId="45" fillId="18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46" fillId="6" borderId="2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46" fillId="2" borderId="0" xfId="0" applyFont="1" applyFill="1" applyAlignment="1">
      <alignment vertical="center"/>
    </xf>
    <xf numFmtId="0" fontId="47" fillId="6" borderId="2" xfId="0" applyFont="1" applyFill="1" applyBorder="1" applyAlignment="1">
      <alignment vertical="center"/>
    </xf>
    <xf numFmtId="0" fontId="26" fillId="2" borderId="0" xfId="0" applyFont="1" applyFill="1" applyAlignment="1">
      <alignment vertical="center"/>
    </xf>
    <xf numFmtId="174" fontId="10" fillId="2" borderId="0" xfId="0" applyNumberFormat="1" applyFont="1" applyFill="1" applyAlignment="1">
      <alignment vertical="center"/>
    </xf>
    <xf numFmtId="0" fontId="48" fillId="6" borderId="2" xfId="0" applyFont="1" applyFill="1" applyBorder="1" applyAlignment="1">
      <alignment vertical="center"/>
    </xf>
    <xf numFmtId="0" fontId="10" fillId="19" borderId="0" xfId="0" applyFont="1" applyFill="1" applyAlignment="1">
      <alignment vertical="center"/>
    </xf>
    <xf numFmtId="0" fontId="26" fillId="6" borderId="2" xfId="0" applyFont="1" applyFill="1" applyBorder="1" applyAlignment="1">
      <alignment vertical="center"/>
    </xf>
    <xf numFmtId="0" fontId="26" fillId="6" borderId="0" xfId="0" applyFont="1" applyFill="1" applyAlignment="1">
      <alignment vertical="center"/>
    </xf>
    <xf numFmtId="0" fontId="10" fillId="4" borderId="2" xfId="0" applyFont="1" applyFill="1" applyBorder="1" applyAlignment="1">
      <alignment vertical="center"/>
    </xf>
    <xf numFmtId="0" fontId="10" fillId="4" borderId="0" xfId="0" applyFont="1" applyFill="1" applyAlignment="1">
      <alignment vertical="center"/>
    </xf>
    <xf numFmtId="183" fontId="10" fillId="4" borderId="2" xfId="0" applyNumberFormat="1" applyFont="1" applyFill="1" applyBorder="1" applyAlignment="1">
      <alignment vertical="center"/>
    </xf>
    <xf numFmtId="174" fontId="26" fillId="6" borderId="2" xfId="0" applyNumberFormat="1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182" fontId="10" fillId="4" borderId="2" xfId="0" applyNumberFormat="1" applyFont="1" applyFill="1" applyBorder="1" applyAlignment="1">
      <alignment vertical="center"/>
    </xf>
    <xf numFmtId="0" fontId="26" fillId="2" borderId="2" xfId="0" applyFont="1" applyFill="1" applyBorder="1" applyAlignment="1">
      <alignment vertical="center"/>
    </xf>
    <xf numFmtId="174" fontId="10" fillId="2" borderId="2" xfId="0" applyNumberFormat="1" applyFont="1" applyFill="1" applyBorder="1" applyAlignment="1">
      <alignment horizontal="center" vertical="center"/>
    </xf>
    <xf numFmtId="10" fontId="10" fillId="2" borderId="2" xfId="0" applyNumberFormat="1" applyFont="1" applyFill="1" applyBorder="1" applyAlignment="1">
      <alignment horizontal="center" vertical="center"/>
    </xf>
    <xf numFmtId="174" fontId="10" fillId="4" borderId="2" xfId="0" applyNumberFormat="1" applyFont="1" applyFill="1" applyBorder="1" applyAlignment="1">
      <alignment horizontal="right" vertical="center"/>
    </xf>
    <xf numFmtId="185" fontId="10" fillId="4" borderId="0" xfId="0" applyNumberFormat="1" applyFont="1" applyFill="1" applyAlignment="1">
      <alignment horizontal="right" vertical="center"/>
    </xf>
    <xf numFmtId="174" fontId="10" fillId="6" borderId="2" xfId="0" applyNumberFormat="1" applyFont="1" applyFill="1" applyBorder="1" applyAlignment="1">
      <alignment vertical="center"/>
    </xf>
    <xf numFmtId="174" fontId="10" fillId="6" borderId="2" xfId="0" applyNumberFormat="1" applyFont="1" applyFill="1" applyBorder="1" applyAlignment="1">
      <alignment horizontal="center" vertical="center"/>
    </xf>
    <xf numFmtId="10" fontId="10" fillId="6" borderId="2" xfId="0" applyNumberFormat="1" applyFont="1" applyFill="1" applyBorder="1" applyAlignment="1">
      <alignment horizontal="center" vertical="center"/>
    </xf>
    <xf numFmtId="186" fontId="10" fillId="4" borderId="2" xfId="0" applyNumberFormat="1" applyFont="1" applyFill="1" applyBorder="1" applyAlignment="1">
      <alignment horizontal="right" vertical="center"/>
    </xf>
    <xf numFmtId="187" fontId="10" fillId="4" borderId="0" xfId="0" applyNumberFormat="1" applyFont="1" applyFill="1" applyAlignment="1">
      <alignment horizontal="right" vertical="center"/>
    </xf>
    <xf numFmtId="174" fontId="10" fillId="2" borderId="2" xfId="0" applyNumberFormat="1" applyFont="1" applyFill="1" applyBorder="1" applyAlignment="1">
      <alignment vertical="center"/>
    </xf>
    <xf numFmtId="10" fontId="10" fillId="4" borderId="2" xfId="0" applyNumberFormat="1" applyFont="1" applyFill="1" applyBorder="1" applyAlignment="1">
      <alignment vertical="center"/>
    </xf>
    <xf numFmtId="10" fontId="10" fillId="4" borderId="0" xfId="0" applyNumberFormat="1" applyFont="1" applyFill="1" applyAlignment="1">
      <alignment vertical="center"/>
    </xf>
    <xf numFmtId="168" fontId="10" fillId="2" borderId="0" xfId="0" applyNumberFormat="1" applyFont="1" applyFill="1" applyAlignment="1">
      <alignment horizontal="center" vertical="center"/>
    </xf>
    <xf numFmtId="168" fontId="10" fillId="6" borderId="2" xfId="0" applyNumberFormat="1" applyFont="1" applyFill="1" applyBorder="1" applyAlignment="1">
      <alignment vertical="center"/>
    </xf>
    <xf numFmtId="184" fontId="10" fillId="6" borderId="0" xfId="0" applyNumberFormat="1" applyFont="1" applyFill="1" applyAlignment="1">
      <alignment vertical="center"/>
    </xf>
    <xf numFmtId="174" fontId="10" fillId="4" borderId="2" xfId="0" applyNumberFormat="1" applyFont="1" applyFill="1" applyBorder="1" applyAlignment="1">
      <alignment vertical="center"/>
    </xf>
    <xf numFmtId="174" fontId="10" fillId="4" borderId="0" xfId="0" applyNumberFormat="1" applyFont="1" applyFill="1" applyAlignment="1">
      <alignment vertical="center"/>
    </xf>
    <xf numFmtId="184" fontId="10" fillId="2" borderId="0" xfId="0" applyNumberFormat="1" applyFont="1" applyFill="1" applyAlignment="1">
      <alignment vertical="center"/>
    </xf>
    <xf numFmtId="174" fontId="10" fillId="6" borderId="0" xfId="0" applyNumberFormat="1" applyFont="1" applyFill="1" applyAlignment="1">
      <alignment vertical="center"/>
    </xf>
    <xf numFmtId="174" fontId="26" fillId="6" borderId="2" xfId="0" applyNumberFormat="1" applyFont="1" applyFill="1" applyBorder="1" applyAlignment="1">
      <alignment horizontal="left" vertical="center"/>
    </xf>
    <xf numFmtId="0" fontId="26" fillId="6" borderId="2" xfId="0" applyFont="1" applyFill="1" applyBorder="1" applyAlignment="1">
      <alignment horizontal="left" vertical="center"/>
    </xf>
    <xf numFmtId="174" fontId="10" fillId="6" borderId="0" xfId="0" applyNumberFormat="1" applyFont="1" applyFill="1" applyAlignment="1">
      <alignment horizontal="center" vertical="center"/>
    </xf>
    <xf numFmtId="0" fontId="10" fillId="4" borderId="2" xfId="0" applyFont="1" applyFill="1" applyBorder="1" applyAlignment="1">
      <alignment horizontal="left" vertical="center"/>
    </xf>
    <xf numFmtId="174" fontId="10" fillId="4" borderId="2" xfId="0" applyNumberFormat="1" applyFont="1" applyFill="1" applyBorder="1" applyAlignment="1">
      <alignment horizontal="left" vertical="center"/>
    </xf>
    <xf numFmtId="174" fontId="26" fillId="2" borderId="0" xfId="0" applyNumberFormat="1" applyFont="1" applyFill="1" applyAlignment="1">
      <alignment vertical="center"/>
    </xf>
    <xf numFmtId="174" fontId="26" fillId="6" borderId="0" xfId="0" applyNumberFormat="1" applyFont="1" applyFill="1" applyAlignment="1">
      <alignment vertical="center"/>
    </xf>
    <xf numFmtId="174" fontId="10" fillId="2" borderId="0" xfId="0" applyNumberFormat="1" applyFont="1" applyFill="1" applyAlignment="1">
      <alignment horizontal="left" vertical="center"/>
    </xf>
    <xf numFmtId="10" fontId="10" fillId="2" borderId="0" xfId="0" applyNumberFormat="1" applyFont="1" applyFill="1" applyAlignment="1">
      <alignment vertical="center"/>
    </xf>
    <xf numFmtId="0" fontId="49" fillId="6" borderId="0" xfId="0" applyFont="1" applyFill="1" applyAlignment="1">
      <alignment vertical="center"/>
    </xf>
    <xf numFmtId="0" fontId="26" fillId="2" borderId="0" xfId="0" applyFont="1" applyFill="1" applyAlignment="1">
      <alignment horizontal="right" vertical="center"/>
    </xf>
    <xf numFmtId="174" fontId="10" fillId="6" borderId="0" xfId="0" applyNumberFormat="1" applyFont="1" applyFill="1" applyAlignment="1">
      <alignment horizontal="right" vertical="center"/>
    </xf>
    <xf numFmtId="174" fontId="10" fillId="2" borderId="0" xfId="0" applyNumberFormat="1" applyFont="1" applyFill="1" applyAlignment="1">
      <alignment horizontal="right" vertical="center"/>
    </xf>
    <xf numFmtId="0" fontId="10" fillId="6" borderId="2" xfId="0" applyFont="1" applyFill="1" applyBorder="1" applyAlignment="1">
      <alignment vertical="center"/>
    </xf>
    <xf numFmtId="0" fontId="2" fillId="0" borderId="0" xfId="0" applyFont="1"/>
    <xf numFmtId="0" fontId="12" fillId="6" borderId="2" xfId="0" applyFont="1" applyFill="1" applyBorder="1" applyAlignment="1">
      <alignment horizontal="left"/>
    </xf>
    <xf numFmtId="0" fontId="13" fillId="6" borderId="0" xfId="0" applyFont="1" applyFill="1" applyAlignment="1">
      <alignment horizontal="left"/>
    </xf>
    <xf numFmtId="0" fontId="12" fillId="2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left"/>
    </xf>
    <xf numFmtId="0" fontId="12" fillId="4" borderId="2" xfId="0" applyFont="1" applyFill="1" applyBorder="1" applyAlignment="1">
      <alignment horizontal="left"/>
    </xf>
    <xf numFmtId="0" fontId="13" fillId="4" borderId="2" xfId="0" applyFont="1" applyFill="1" applyBorder="1" applyAlignment="1">
      <alignment horizontal="left"/>
    </xf>
    <xf numFmtId="0" fontId="13" fillId="4" borderId="0" xfId="0" applyFont="1" applyFill="1" applyAlignment="1">
      <alignment horizontal="left"/>
    </xf>
    <xf numFmtId="0" fontId="13" fillId="4" borderId="2" xfId="0" applyFont="1" applyFill="1" applyBorder="1"/>
    <xf numFmtId="0" fontId="12" fillId="4" borderId="0" xfId="0" applyFont="1" applyFill="1" applyAlignment="1">
      <alignment horizontal="left"/>
    </xf>
    <xf numFmtId="10" fontId="13" fillId="4" borderId="0" xfId="0" applyNumberFormat="1" applyFont="1" applyFill="1" applyAlignment="1">
      <alignment horizontal="left"/>
    </xf>
    <xf numFmtId="0" fontId="12" fillId="4" borderId="0" xfId="0" applyFont="1" applyFill="1" applyAlignment="1">
      <alignment horizontal="right"/>
    </xf>
    <xf numFmtId="188" fontId="13" fillId="4" borderId="2" xfId="0" applyNumberFormat="1" applyFont="1" applyFill="1" applyBorder="1" applyAlignment="1">
      <alignment horizontal="left"/>
    </xf>
    <xf numFmtId="189" fontId="13" fillId="4" borderId="0" xfId="0" applyNumberFormat="1" applyFont="1" applyFill="1" applyAlignment="1">
      <alignment horizontal="left"/>
    </xf>
    <xf numFmtId="1" fontId="13" fillId="4" borderId="2" xfId="0" applyNumberFormat="1" applyFont="1" applyFill="1" applyBorder="1" applyAlignment="1">
      <alignment horizontal="left"/>
    </xf>
    <xf numFmtId="0" fontId="12" fillId="4" borderId="2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right"/>
    </xf>
    <xf numFmtId="182" fontId="13" fillId="4" borderId="2" xfId="0" applyNumberFormat="1" applyFont="1" applyFill="1" applyBorder="1" applyAlignment="1">
      <alignment horizontal="left"/>
    </xf>
    <xf numFmtId="174" fontId="13" fillId="4" borderId="2" xfId="0" applyNumberFormat="1" applyFont="1" applyFill="1" applyBorder="1" applyAlignment="1">
      <alignment horizontal="right"/>
    </xf>
    <xf numFmtId="17" fontId="13" fillId="4" borderId="0" xfId="0" applyNumberFormat="1" applyFont="1" applyFill="1" applyAlignment="1">
      <alignment horizontal="left"/>
    </xf>
    <xf numFmtId="10" fontId="13" fillId="4" borderId="2" xfId="0" applyNumberFormat="1" applyFont="1" applyFill="1" applyBorder="1" applyAlignment="1">
      <alignment horizontal="left"/>
    </xf>
    <xf numFmtId="0" fontId="12" fillId="4" borderId="0" xfId="0" applyFont="1" applyFill="1" applyAlignment="1">
      <alignment horizontal="left" wrapText="1"/>
    </xf>
    <xf numFmtId="174" fontId="13" fillId="4" borderId="0" xfId="0" applyNumberFormat="1" applyFont="1" applyFill="1" applyAlignment="1">
      <alignment horizontal="right"/>
    </xf>
    <xf numFmtId="174" fontId="12" fillId="4" borderId="0" xfId="0" applyNumberFormat="1" applyFont="1" applyFill="1" applyAlignment="1">
      <alignment horizontal="left"/>
    </xf>
    <xf numFmtId="0" fontId="12" fillId="4" borderId="2" xfId="0" applyFont="1" applyFill="1" applyBorder="1" applyAlignment="1">
      <alignment horizontal="left" wrapText="1"/>
    </xf>
    <xf numFmtId="173" fontId="13" fillId="4" borderId="2" xfId="0" applyNumberFormat="1" applyFont="1" applyFill="1" applyBorder="1" applyAlignment="1">
      <alignment horizontal="left" wrapText="1"/>
    </xf>
    <xf numFmtId="0" fontId="13" fillId="4" borderId="0" xfId="0" applyFont="1" applyFill="1" applyAlignment="1">
      <alignment horizontal="center" wrapText="1"/>
    </xf>
    <xf numFmtId="174" fontId="13" fillId="4" borderId="0" xfId="0" applyNumberFormat="1" applyFont="1" applyFill="1" applyAlignment="1">
      <alignment horizontal="left" wrapText="1"/>
    </xf>
    <xf numFmtId="0" fontId="13" fillId="4" borderId="0" xfId="0" applyFont="1" applyFill="1" applyAlignment="1">
      <alignment horizontal="left" wrapText="1"/>
    </xf>
    <xf numFmtId="173" fontId="13" fillId="4" borderId="0" xfId="0" applyNumberFormat="1" applyFont="1" applyFill="1" applyAlignment="1">
      <alignment horizontal="left" wrapText="1"/>
    </xf>
    <xf numFmtId="182" fontId="13" fillId="4" borderId="0" xfId="0" applyNumberFormat="1" applyFont="1" applyFill="1" applyAlignment="1">
      <alignment horizontal="left"/>
    </xf>
    <xf numFmtId="174" fontId="13" fillId="4" borderId="0" xfId="0" applyNumberFormat="1" applyFont="1" applyFill="1" applyAlignment="1">
      <alignment horizontal="left"/>
    </xf>
    <xf numFmtId="190" fontId="13" fillId="4" borderId="0" xfId="0" applyNumberFormat="1" applyFont="1" applyFill="1" applyAlignment="1">
      <alignment horizontal="left"/>
    </xf>
    <xf numFmtId="9" fontId="13" fillId="4" borderId="2" xfId="0" applyNumberFormat="1" applyFont="1" applyFill="1" applyBorder="1" applyAlignment="1">
      <alignment horizontal="left"/>
    </xf>
    <xf numFmtId="190" fontId="13" fillId="4" borderId="2" xfId="0" applyNumberFormat="1" applyFont="1" applyFill="1" applyBorder="1" applyAlignment="1">
      <alignment horizontal="left"/>
    </xf>
    <xf numFmtId="9" fontId="12" fillId="4" borderId="0" xfId="0" applyNumberFormat="1" applyFont="1" applyFill="1" applyAlignment="1">
      <alignment horizontal="left"/>
    </xf>
    <xf numFmtId="191" fontId="13" fillId="0" borderId="0" xfId="0" applyNumberFormat="1" applyFont="1"/>
    <xf numFmtId="0" fontId="26" fillId="6" borderId="2" xfId="0" applyFont="1" applyFill="1" applyBorder="1"/>
    <xf numFmtId="188" fontId="10" fillId="2" borderId="2" xfId="0" applyNumberFormat="1" applyFont="1" applyFill="1" applyBorder="1"/>
    <xf numFmtId="183" fontId="10" fillId="2" borderId="2" xfId="0" applyNumberFormat="1" applyFont="1" applyFill="1" applyBorder="1"/>
    <xf numFmtId="0" fontId="10" fillId="6" borderId="2" xfId="0" applyFont="1" applyFill="1" applyBorder="1"/>
    <xf numFmtId="188" fontId="10" fillId="6" borderId="2" xfId="0" applyNumberFormat="1" applyFont="1" applyFill="1" applyBorder="1"/>
    <xf numFmtId="183" fontId="10" fillId="6" borderId="2" xfId="0" applyNumberFormat="1" applyFont="1" applyFill="1" applyBorder="1"/>
    <xf numFmtId="10" fontId="1" fillId="0" borderId="2" xfId="1" applyNumberFormat="1" applyBorder="1"/>
    <xf numFmtId="10" fontId="1" fillId="0" borderId="0" xfId="1" applyNumberFormat="1"/>
    <xf numFmtId="8" fontId="10" fillId="5" borderId="0" xfId="0" applyNumberFormat="1" applyFont="1" applyFill="1"/>
    <xf numFmtId="0" fontId="8" fillId="3" borderId="1" xfId="0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8" fillId="4" borderId="2" xfId="0" applyFont="1" applyFill="1" applyBorder="1" applyAlignment="1">
      <alignment horizontal="left" vertical="center"/>
    </xf>
    <xf numFmtId="0" fontId="41" fillId="5" borderId="2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/>
    </xf>
    <xf numFmtId="0" fontId="14" fillId="4" borderId="2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 shrinkToFit="1"/>
    </xf>
    <xf numFmtId="0" fontId="5" fillId="2" borderId="0" xfId="0" applyFont="1" applyFill="1"/>
    <xf numFmtId="0" fontId="6" fillId="2" borderId="0" xfId="0" applyFont="1" applyFill="1"/>
    <xf numFmtId="0" fontId="9" fillId="2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165" fontId="12" fillId="5" borderId="2" xfId="0" applyNumberFormat="1" applyFont="1" applyFill="1" applyBorder="1" applyAlignment="1">
      <alignment horizontal="left" vertical="center"/>
    </xf>
    <xf numFmtId="166" fontId="13" fillId="4" borderId="2" xfId="0" applyNumberFormat="1" applyFont="1" applyFill="1" applyBorder="1" applyAlignment="1">
      <alignment horizontal="left" vertical="center"/>
    </xf>
    <xf numFmtId="10" fontId="13" fillId="2" borderId="2" xfId="0" applyNumberFormat="1" applyFont="1" applyFill="1" applyBorder="1" applyAlignment="1">
      <alignment horizontal="left" vertical="center"/>
    </xf>
    <xf numFmtId="167" fontId="13" fillId="4" borderId="2" xfId="0" applyNumberFormat="1" applyFont="1" applyFill="1" applyBorder="1" applyAlignment="1">
      <alignment horizontal="left" vertical="center"/>
    </xf>
    <xf numFmtId="167" fontId="13" fillId="2" borderId="2" xfId="0" applyNumberFormat="1" applyFont="1" applyFill="1" applyBorder="1" applyAlignment="1">
      <alignment horizontal="left" vertical="center"/>
    </xf>
    <xf numFmtId="168" fontId="13" fillId="4" borderId="2" xfId="0" applyNumberFormat="1" applyFont="1" applyFill="1" applyBorder="1" applyAlignment="1">
      <alignment horizontal="left" vertical="center"/>
    </xf>
    <xf numFmtId="168" fontId="14" fillId="2" borderId="2" xfId="0" applyNumberFormat="1" applyFont="1" applyFill="1" applyBorder="1" applyAlignment="1">
      <alignment horizontal="left" vertical="center"/>
    </xf>
    <xf numFmtId="0" fontId="13" fillId="4" borderId="2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13" fillId="5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5" borderId="2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20" fillId="6" borderId="2" xfId="0" applyFont="1" applyFill="1" applyBorder="1"/>
    <xf numFmtId="0" fontId="21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166" fontId="23" fillId="9" borderId="1" xfId="0" applyNumberFormat="1" applyFont="1" applyFill="1" applyBorder="1" applyAlignment="1">
      <alignment horizontal="center" vertical="center"/>
    </xf>
    <xf numFmtId="166" fontId="23" fillId="10" borderId="1" xfId="0" applyNumberFormat="1" applyFont="1" applyFill="1" applyBorder="1" applyAlignment="1">
      <alignment horizontal="center" vertical="center"/>
    </xf>
    <xf numFmtId="166" fontId="23" fillId="11" borderId="1" xfId="0" applyNumberFormat="1" applyFont="1" applyFill="1" applyBorder="1" applyAlignment="1">
      <alignment horizontal="center" vertical="center"/>
    </xf>
    <xf numFmtId="10" fontId="23" fillId="10" borderId="1" xfId="0" applyNumberFormat="1" applyFont="1" applyFill="1" applyBorder="1" applyAlignment="1">
      <alignment horizontal="center" vertical="center"/>
    </xf>
    <xf numFmtId="10" fontId="23" fillId="12" borderId="1" xfId="0" applyNumberFormat="1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center" vertical="center"/>
    </xf>
    <xf numFmtId="0" fontId="10" fillId="4" borderId="0" xfId="0" applyFont="1" applyFill="1"/>
    <xf numFmtId="0" fontId="10" fillId="7" borderId="0" xfId="0" applyFont="1" applyFill="1"/>
    <xf numFmtId="0" fontId="10" fillId="8" borderId="0" xfId="0" applyFont="1" applyFill="1"/>
    <xf numFmtId="0" fontId="10" fillId="5" borderId="0" xfId="0" applyFont="1" applyFill="1"/>
    <xf numFmtId="0" fontId="24" fillId="3" borderId="1" xfId="0" applyFont="1" applyFill="1" applyBorder="1"/>
    <xf numFmtId="168" fontId="25" fillId="9" borderId="1" xfId="0" applyNumberFormat="1" applyFont="1" applyFill="1" applyBorder="1" applyAlignment="1">
      <alignment horizontal="center" vertical="center"/>
    </xf>
    <xf numFmtId="168" fontId="8" fillId="13" borderId="1" xfId="0" applyNumberFormat="1" applyFont="1" applyFill="1" applyBorder="1" applyAlignment="1">
      <alignment horizontal="center" vertical="center"/>
    </xf>
    <xf numFmtId="177" fontId="8" fillId="11" borderId="1" xfId="0" applyNumberFormat="1" applyFont="1" applyFill="1" applyBorder="1" applyAlignment="1">
      <alignment horizontal="center" vertical="center"/>
    </xf>
    <xf numFmtId="169" fontId="25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/>
    </xf>
    <xf numFmtId="0" fontId="27" fillId="6" borderId="2" xfId="0" applyFont="1" applyFill="1" applyBorder="1" applyAlignment="1">
      <alignment horizontal="left" vertical="center"/>
    </xf>
    <xf numFmtId="0" fontId="14" fillId="4" borderId="2" xfId="0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left" vertical="center" wrapText="1"/>
    </xf>
    <xf numFmtId="1" fontId="28" fillId="3" borderId="1" xfId="0" applyNumberFormat="1" applyFont="1" applyFill="1" applyBorder="1"/>
    <xf numFmtId="0" fontId="14" fillId="8" borderId="2" xfId="0" applyFont="1" applyFill="1" applyBorder="1" applyAlignment="1">
      <alignment horizontal="left" vertical="center"/>
    </xf>
    <xf numFmtId="0" fontId="14" fillId="7" borderId="2" xfId="0" applyFont="1" applyFill="1" applyBorder="1" applyAlignment="1">
      <alignment horizontal="left" vertical="center"/>
    </xf>
    <xf numFmtId="0" fontId="10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wrapText="1"/>
    </xf>
    <xf numFmtId="168" fontId="13" fillId="4" borderId="2" xfId="0" applyNumberFormat="1" applyFont="1" applyFill="1" applyBorder="1" applyAlignment="1">
      <alignment horizontal="center" vertical="center"/>
    </xf>
    <xf numFmtId="168" fontId="12" fillId="4" borderId="2" xfId="0" applyNumberFormat="1" applyFont="1" applyFill="1" applyBorder="1" applyAlignment="1">
      <alignment horizontal="center" vertical="center"/>
    </xf>
    <xf numFmtId="173" fontId="12" fillId="4" borderId="2" xfId="0" applyNumberFormat="1" applyFont="1" applyFill="1" applyBorder="1" applyAlignment="1">
      <alignment horizontal="center" vertical="center"/>
    </xf>
    <xf numFmtId="165" fontId="13" fillId="4" borderId="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10" fontId="13" fillId="4" borderId="2" xfId="0" applyNumberFormat="1" applyFont="1" applyFill="1" applyBorder="1" applyAlignment="1">
      <alignment horizontal="center" vertical="center"/>
    </xf>
    <xf numFmtId="10" fontId="18" fillId="4" borderId="2" xfId="0" applyNumberFormat="1" applyFont="1" applyFill="1" applyBorder="1" applyAlignment="1">
      <alignment horizontal="center" vertical="center"/>
    </xf>
    <xf numFmtId="168" fontId="18" fillId="4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 wrapText="1"/>
    </xf>
    <xf numFmtId="0" fontId="31" fillId="4" borderId="2" xfId="0" applyFont="1" applyFill="1" applyBorder="1" applyAlignment="1">
      <alignment horizontal="left" vertical="center"/>
    </xf>
    <xf numFmtId="0" fontId="32" fillId="4" borderId="2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168" fontId="13" fillId="5" borderId="2" xfId="0" applyNumberFormat="1" applyFont="1" applyFill="1" applyBorder="1" applyAlignment="1">
      <alignment horizontal="center" vertical="center"/>
    </xf>
    <xf numFmtId="165" fontId="13" fillId="5" borderId="2" xfId="0" applyNumberFormat="1" applyFont="1" applyFill="1" applyBorder="1" applyAlignment="1">
      <alignment horizontal="center" vertical="center"/>
    </xf>
    <xf numFmtId="179" fontId="13" fillId="5" borderId="0" xfId="0" applyNumberFormat="1" applyFont="1" applyFill="1" applyAlignment="1">
      <alignment horizontal="center" vertical="center"/>
    </xf>
    <xf numFmtId="165" fontId="13" fillId="5" borderId="0" xfId="0" applyNumberFormat="1" applyFont="1" applyFill="1" applyAlignment="1">
      <alignment horizontal="center" vertical="center"/>
    </xf>
    <xf numFmtId="0" fontId="32" fillId="4" borderId="2" xfId="0" applyFont="1" applyFill="1" applyBorder="1" applyAlignment="1">
      <alignment horizontal="left" vertical="center"/>
    </xf>
    <xf numFmtId="180" fontId="13" fillId="5" borderId="0" xfId="0" applyNumberFormat="1" applyFont="1" applyFill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top"/>
    </xf>
    <xf numFmtId="0" fontId="42" fillId="6" borderId="2" xfId="0" applyFont="1" applyFill="1" applyBorder="1" applyAlignment="1">
      <alignment horizontal="left" vertical="center"/>
    </xf>
    <xf numFmtId="0" fontId="44" fillId="11" borderId="1" xfId="0" applyFont="1" applyFill="1" applyBorder="1" applyAlignment="1">
      <alignment horizontal="center" vertical="center"/>
    </xf>
    <xf numFmtId="0" fontId="44" fillId="15" borderId="1" xfId="0" applyFont="1" applyFill="1" applyBorder="1" applyAlignment="1">
      <alignment horizontal="center" vertical="center"/>
    </xf>
    <xf numFmtId="0" fontId="42" fillId="14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10" fillId="2" borderId="0" xfId="0" applyFont="1" applyFill="1"/>
    <xf numFmtId="0" fontId="11" fillId="3" borderId="0" xfId="0" applyFont="1" applyFill="1" applyAlignment="1">
      <alignment horizontal="center" vertical="center" wrapText="1"/>
    </xf>
    <xf numFmtId="171" fontId="12" fillId="4" borderId="0" xfId="0" applyNumberFormat="1" applyFont="1" applyFill="1" applyAlignment="1">
      <alignment horizontal="center" vertical="center"/>
    </xf>
    <xf numFmtId="0" fontId="38" fillId="6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0" fontId="19" fillId="4" borderId="2" xfId="0" applyFont="1" applyFill="1" applyBorder="1"/>
    <xf numFmtId="0" fontId="44" fillId="9" borderId="1" xfId="0" applyFont="1" applyFill="1" applyBorder="1"/>
    <xf numFmtId="0" fontId="43" fillId="13" borderId="1" xfId="0" applyFont="1" applyFill="1" applyBorder="1" applyAlignment="1">
      <alignment horizontal="center" vertical="center" wrapText="1"/>
    </xf>
    <xf numFmtId="0" fontId="44" fillId="13" borderId="1" xfId="0" applyFont="1" applyFill="1" applyBorder="1" applyAlignment="1">
      <alignment horizontal="center" vertical="center"/>
    </xf>
    <xf numFmtId="0" fontId="43" fillId="11" borderId="1" xfId="0" applyFont="1" applyFill="1" applyBorder="1" applyAlignment="1">
      <alignment horizontal="center" vertical="center" wrapText="1"/>
    </xf>
    <xf numFmtId="0" fontId="37" fillId="14" borderId="1" xfId="0" applyFont="1" applyFill="1" applyBorder="1" applyAlignment="1">
      <alignment horizontal="center" vertical="center" wrapText="1"/>
    </xf>
    <xf numFmtId="0" fontId="43" fillId="16" borderId="1" xfId="0" applyFont="1" applyFill="1" applyBorder="1" applyAlignment="1">
      <alignment horizontal="center" vertical="center" wrapText="1"/>
    </xf>
    <xf numFmtId="0" fontId="44" fillId="16" borderId="1" xfId="0" applyFont="1" applyFill="1" applyBorder="1" applyAlignment="1">
      <alignment horizontal="center" vertical="center"/>
    </xf>
    <xf numFmtId="0" fontId="43" fillId="10" borderId="1" xfId="0" applyFont="1" applyFill="1" applyBorder="1" applyAlignment="1">
      <alignment horizontal="center" vertical="center" wrapText="1"/>
    </xf>
    <xf numFmtId="0" fontId="44" fillId="10" borderId="1" xfId="0" applyFont="1" applyFill="1" applyBorder="1" applyAlignment="1">
      <alignment horizontal="center" vertical="center"/>
    </xf>
    <xf numFmtId="0" fontId="43" fillId="12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/>
    </xf>
    <xf numFmtId="0" fontId="43" fillId="17" borderId="1" xfId="0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 wrapText="1"/>
    </xf>
    <xf numFmtId="0" fontId="10" fillId="6" borderId="0" xfId="0" applyFont="1" applyFill="1"/>
    <xf numFmtId="0" fontId="16" fillId="16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left" vertical="center" wrapText="1"/>
    </xf>
    <xf numFmtId="174" fontId="26" fillId="2" borderId="0" xfId="0" applyNumberFormat="1" applyFont="1" applyFill="1" applyAlignment="1">
      <alignment horizontal="left" vertical="center"/>
    </xf>
    <xf numFmtId="14" fontId="14" fillId="4" borderId="2" xfId="0" applyNumberFormat="1" applyFont="1" applyFill="1" applyBorder="1" applyAlignment="1">
      <alignment horizontal="center" vertical="center"/>
    </xf>
    <xf numFmtId="14" fontId="14" fillId="2" borderId="2" xfId="0" applyNumberFormat="1" applyFont="1" applyFill="1" applyBorder="1" applyAlignment="1">
      <alignment horizontal="center" vertical="center"/>
    </xf>
    <xf numFmtId="14" fontId="14" fillId="5" borderId="2" xfId="0" applyNumberFormat="1" applyFont="1" applyFill="1" applyBorder="1" applyAlignment="1">
      <alignment horizontal="center" vertical="center"/>
    </xf>
    <xf numFmtId="14" fontId="14" fillId="5" borderId="0" xfId="0" applyNumberFormat="1" applyFont="1" applyFill="1" applyAlignment="1">
      <alignment horizontal="center" vertical="center"/>
    </xf>
    <xf numFmtId="14" fontId="14" fillId="8" borderId="2" xfId="0" applyNumberFormat="1" applyFont="1" applyFill="1" applyBorder="1" applyAlignment="1">
      <alignment horizontal="center" vertical="center"/>
    </xf>
    <xf numFmtId="0" fontId="51" fillId="4" borderId="0" xfId="0" applyFont="1" applyFill="1" applyAlignment="1">
      <alignment horizontal="left" vertical="center"/>
    </xf>
    <xf numFmtId="9" fontId="0" fillId="0" borderId="0" xfId="0" applyNumberFormat="1"/>
  </cellXfs>
  <cellStyles count="10">
    <cellStyle name="Currency 2" xfId="2" xr:uid="{00000000-0005-0000-0000-000006000000}"/>
    <cellStyle name="Currency 2 2" xfId="3" xr:uid="{00000000-0005-0000-0000-000007000000}"/>
    <cellStyle name="Normal" xfId="0" builtinId="0"/>
    <cellStyle name="Normal 2" xfId="4" xr:uid="{00000000-0005-0000-0000-000008000000}"/>
    <cellStyle name="Normal 3" xfId="5" xr:uid="{00000000-0005-0000-0000-000009000000}"/>
    <cellStyle name="Normal 3 2" xfId="6" xr:uid="{00000000-0005-0000-0000-00000A000000}"/>
    <cellStyle name="Normal 4" xfId="7" xr:uid="{00000000-0005-0000-0000-00000B000000}"/>
    <cellStyle name="Percent" xfId="1" builtinId="5"/>
    <cellStyle name="Percent 2" xfId="8" xr:uid="{00000000-0005-0000-0000-00000C000000}"/>
    <cellStyle name="Percent 2 2" xfId="9" xr:uid="{00000000-0005-0000-0000-00000D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B6650"/>
      <rgbColor rgb="FF800080"/>
      <rgbColor rgb="FF008080"/>
      <rgbColor rgb="FFB3B3B3"/>
      <rgbColor rgb="FF8A6E45"/>
      <rgbColor rgb="FF9999FF"/>
      <rgbColor rgb="FF7A4F47"/>
      <rgbColor rgb="FFF5F0EA"/>
      <rgbColor rgb="FFEDE7D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D9D2"/>
      <rgbColor rgb="FFDDE2D0"/>
      <rgbColor rgb="FFDCD5C9"/>
      <rgbColor rgb="FFE3D2CC"/>
      <rgbColor rgb="FFFF99CC"/>
      <rgbColor rgb="FFB5A494"/>
      <rgbColor rgb="FFEBDFC4"/>
      <rgbColor rgb="FF6B5670"/>
      <rgbColor rgb="FF33CCCC"/>
      <rgbColor rgb="FF99CC00"/>
      <rgbColor rgb="FFFFCC00"/>
      <rgbColor rgb="FFFF9900"/>
      <rgbColor rgb="FFED7D31"/>
      <rgbColor rgb="FF5B6E7A"/>
      <rgbColor rgb="FF9C9486"/>
      <rgbColor rgb="FF003366"/>
      <rgbColor rgb="FF4F7A6E"/>
      <rgbColor rgb="FF003300"/>
      <rgbColor rgb="FF375623"/>
      <rgbColor rgb="FF6B5E52"/>
      <rgbColor rgb="FF7030A0"/>
      <rgbColor rgb="FF2E5090"/>
      <rgbColor rgb="FF2C292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A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Net Effective Rent PSM — Monthly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Avg NER PSM ($)</c:v>
          </c:tx>
          <c:spPr>
            <a:ln w="24840">
              <a:solidFill>
                <a:srgbClr val="2E509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'NER Tracking'!$B$6:$B$30</c:f>
              <c:numCache>
                <c:formatCode>m/d/yyyy</c:formatCode>
                <c:ptCount val="25"/>
                <c:pt idx="0">
                  <c:v>46142</c:v>
                </c:pt>
              </c:numCache>
            </c:numRef>
          </c:cat>
          <c:val>
            <c:numRef>
              <c:f>'NER Tracking'!$H$6:$H$30</c:f>
              <c:numCache>
                <c:formatCode>\$#,##0</c:formatCode>
                <c:ptCount val="25"/>
                <c:pt idx="0">
                  <c:v>882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4B3-4EC0-BD4F-82840B13AF1C}"/>
            </c:ext>
          </c:extLst>
        </c:ser>
        <c:ser>
          <c:idx val="1"/>
          <c:order val="1"/>
          <c:tx>
            <c:v>Avg Face PSM ($)</c:v>
          </c:tx>
          <c:spPr>
            <a:ln w="201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'NER Tracking'!$B$6:$B$30</c:f>
              <c:numCache>
                <c:formatCode>m/d/yyyy</c:formatCode>
                <c:ptCount val="25"/>
                <c:pt idx="0">
                  <c:v>46142</c:v>
                </c:pt>
              </c:numCache>
            </c:numRef>
          </c:cat>
          <c:val>
            <c:numRef>
              <c:f>'NER Tracking'!$G$6:$G$30</c:f>
              <c:numCache>
                <c:formatCode>\$#,##0</c:formatCode>
                <c:ptCount val="25"/>
                <c:pt idx="0">
                  <c:v>980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4B3-4EC0-BD4F-82840B13A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476281"/>
        <c:axId val="5596290"/>
      </c:lineChart>
      <c:dateAx>
        <c:axId val="1476281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en-AU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/d/yyyy" sourceLinked="1"/>
        <c:majorTickMark val="none"/>
        <c:minorTickMark val="none"/>
        <c:tickLblPos val="nextTo"/>
        <c:crossAx val="5596290"/>
        <c:crosses val="autoZero"/>
        <c:auto val="1"/>
        <c:lblOffset val="100"/>
        <c:baseTimeUnit val="days"/>
      </c:dateAx>
      <c:valAx>
        <c:axId val="5596290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AU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NER ($/sqm)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crossAx val="14762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A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Occupancy % &amp; WALE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Occupancy %</c:v>
          </c:tx>
          <c:spPr>
            <a:ln w="2484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'NER Tracking'!$B$6:$B$30</c:f>
              <c:numCache>
                <c:formatCode>m/d/yyyy</c:formatCode>
                <c:ptCount val="25"/>
                <c:pt idx="0">
                  <c:v>46142</c:v>
                </c:pt>
              </c:numCache>
            </c:numRef>
          </c:cat>
          <c:val>
            <c:numRef>
              <c:f>'NER Tracking'!$D$6:$D$30</c:f>
              <c:numCache>
                <c:formatCode>0.00%</c:formatCode>
                <c:ptCount val="25"/>
                <c:pt idx="0">
                  <c:v>0.96589999999999998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67F-4068-A758-3C9790D989AA}"/>
            </c:ext>
          </c:extLst>
        </c:ser>
        <c:ser>
          <c:idx val="1"/>
          <c:order val="1"/>
          <c:tx>
            <c:v>WALE (yrs, NLA)</c:v>
          </c:tx>
          <c:spPr>
            <a:ln w="2016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'NER Tracking'!$B$6:$B$30</c:f>
              <c:numCache>
                <c:formatCode>m/d/yyyy</c:formatCode>
                <c:ptCount val="25"/>
                <c:pt idx="0">
                  <c:v>46142</c:v>
                </c:pt>
              </c:numCache>
            </c:numRef>
          </c:cat>
          <c:val>
            <c:numRef>
              <c:f>'NER Tracking'!$K$6:$K$30</c:f>
              <c:numCache>
                <c:formatCode>0.00</c:formatCode>
                <c:ptCount val="25"/>
                <c:pt idx="0">
                  <c:v>2.44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67F-4068-A758-3C9790D98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201212"/>
        <c:axId val="42979147"/>
      </c:lineChart>
      <c:dateAx>
        <c:axId val="1201212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en-AU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/d/yyyy" sourceLinked="1"/>
        <c:majorTickMark val="none"/>
        <c:minorTickMark val="none"/>
        <c:tickLblPos val="nextTo"/>
        <c:crossAx val="42979147"/>
        <c:crosses val="autoZero"/>
        <c:auto val="1"/>
        <c:lblOffset val="100"/>
        <c:baseTimeUnit val="days"/>
      </c:dateAx>
      <c:valAx>
        <c:axId val="42979147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AU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crossAx val="12012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9</xdr:col>
      <xdr:colOff>588600</xdr:colOff>
      <xdr:row>60</xdr:row>
      <xdr:rowOff>152280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56</xdr:row>
      <xdr:rowOff>0</xdr:rowOff>
    </xdr:from>
    <xdr:to>
      <xdr:col>9</xdr:col>
      <xdr:colOff>588600</xdr:colOff>
      <xdr:row>75</xdr:row>
      <xdr:rowOff>160560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134640</xdr:rowOff>
    </xdr:from>
    <xdr:to>
      <xdr:col>8</xdr:col>
      <xdr:colOff>920880</xdr:colOff>
      <xdr:row>1</xdr:row>
      <xdr:rowOff>178920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366920" y="134640"/>
          <a:ext cx="920880" cy="291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52200</xdr:colOff>
      <xdr:row>0</xdr:row>
      <xdr:rowOff>95400</xdr:rowOff>
    </xdr:from>
    <xdr:to>
      <xdr:col>6</xdr:col>
      <xdr:colOff>513360</xdr:colOff>
      <xdr:row>1</xdr:row>
      <xdr:rowOff>303840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357320" y="95400"/>
          <a:ext cx="1178640" cy="360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showGridLines="0" zoomScaleNormal="100" workbookViewId="0"/>
  </sheetViews>
  <sheetFormatPr defaultColWidth="8.6328125" defaultRowHeight="14.5" x14ac:dyDescent="0.35"/>
  <cols>
    <col min="1" max="1" width="4" customWidth="1"/>
    <col min="2" max="8" width="14" customWidth="1"/>
    <col min="9" max="9" width="4" customWidth="1"/>
  </cols>
  <sheetData>
    <row r="1" spans="1:9" x14ac:dyDescent="0.35">
      <c r="A1" s="2"/>
      <c r="B1" s="2"/>
      <c r="C1" s="2"/>
      <c r="D1" s="2"/>
      <c r="E1" s="2"/>
      <c r="F1" s="2"/>
      <c r="G1" s="2"/>
      <c r="H1" s="2"/>
      <c r="I1" s="2"/>
    </row>
    <row r="2" spans="1:9" x14ac:dyDescent="0.35">
      <c r="A2" s="2"/>
      <c r="B2" s="2"/>
      <c r="C2" s="2"/>
      <c r="D2" s="2"/>
      <c r="E2" s="2"/>
      <c r="F2" s="2"/>
      <c r="G2" s="2"/>
      <c r="H2" s="2"/>
      <c r="I2" s="2"/>
    </row>
    <row r="3" spans="1:9" ht="17.25" customHeight="1" x14ac:dyDescent="0.35">
      <c r="A3" s="2"/>
      <c r="B3" s="3" t="s">
        <v>0</v>
      </c>
      <c r="C3" s="2"/>
      <c r="D3" s="2"/>
      <c r="E3" s="2"/>
      <c r="F3" s="2"/>
      <c r="G3" s="2"/>
      <c r="H3" s="2"/>
      <c r="I3" s="2"/>
    </row>
    <row r="4" spans="1:9" x14ac:dyDescent="0.35">
      <c r="A4" s="2"/>
      <c r="B4" s="2"/>
      <c r="C4" s="2"/>
      <c r="D4" s="2"/>
      <c r="E4" s="2"/>
      <c r="F4" s="2"/>
      <c r="G4" s="2"/>
      <c r="H4" s="2"/>
      <c r="I4" s="2"/>
    </row>
    <row r="5" spans="1:9" x14ac:dyDescent="0.35">
      <c r="A5" s="2"/>
      <c r="B5" s="2"/>
      <c r="C5" s="2"/>
      <c r="D5" s="2"/>
      <c r="E5" s="2"/>
      <c r="F5" s="2"/>
      <c r="G5" s="2"/>
      <c r="H5" s="2"/>
      <c r="I5" s="2"/>
    </row>
    <row r="6" spans="1:9" x14ac:dyDescent="0.35">
      <c r="A6" s="2"/>
      <c r="B6" s="2"/>
      <c r="C6" s="2"/>
      <c r="D6" s="2"/>
      <c r="E6" s="2"/>
      <c r="F6" s="2"/>
      <c r="G6" s="2"/>
      <c r="H6" s="2"/>
      <c r="I6" s="2"/>
    </row>
    <row r="7" spans="1:9" x14ac:dyDescent="0.35">
      <c r="A7" s="2"/>
      <c r="B7" s="2"/>
      <c r="C7" s="2"/>
      <c r="D7" s="2"/>
      <c r="E7" s="2"/>
      <c r="F7" s="2"/>
      <c r="G7" s="2"/>
      <c r="H7" s="2"/>
      <c r="I7" s="2"/>
    </row>
    <row r="8" spans="1:9" x14ac:dyDescent="0.35">
      <c r="A8" s="2"/>
      <c r="B8" s="2"/>
      <c r="C8" s="2"/>
      <c r="D8" s="2"/>
      <c r="E8" s="2"/>
      <c r="F8" s="2"/>
      <c r="G8" s="2"/>
      <c r="H8" s="2"/>
      <c r="I8" s="2"/>
    </row>
    <row r="9" spans="1:9" x14ac:dyDescent="0.35">
      <c r="A9" s="2"/>
      <c r="B9" s="329" t="s">
        <v>1</v>
      </c>
      <c r="C9" s="329"/>
      <c r="D9" s="329"/>
      <c r="E9" s="329"/>
      <c r="F9" s="329"/>
      <c r="G9" s="329"/>
      <c r="H9" s="329"/>
      <c r="I9" s="2"/>
    </row>
    <row r="10" spans="1:9" x14ac:dyDescent="0.35">
      <c r="A10" s="2"/>
      <c r="B10" s="329"/>
      <c r="C10" s="329"/>
      <c r="D10" s="329"/>
      <c r="E10" s="329"/>
      <c r="F10" s="329"/>
      <c r="G10" s="329"/>
      <c r="H10" s="329"/>
      <c r="I10" s="2"/>
    </row>
    <row r="11" spans="1:9" x14ac:dyDescent="0.35">
      <c r="A11" s="2"/>
      <c r="B11" s="329"/>
      <c r="C11" s="329"/>
      <c r="D11" s="329"/>
      <c r="E11" s="329"/>
      <c r="F11" s="329"/>
      <c r="G11" s="329"/>
      <c r="H11" s="329"/>
      <c r="I11" s="2"/>
    </row>
    <row r="12" spans="1:9" x14ac:dyDescent="0.35">
      <c r="A12" s="2"/>
      <c r="B12" s="329"/>
      <c r="C12" s="329"/>
      <c r="D12" s="329"/>
      <c r="E12" s="329"/>
      <c r="F12" s="329"/>
      <c r="G12" s="329"/>
      <c r="H12" s="329"/>
      <c r="I12" s="2"/>
    </row>
    <row r="13" spans="1:9" x14ac:dyDescent="0.35">
      <c r="A13" s="2"/>
      <c r="B13" s="329"/>
      <c r="C13" s="329"/>
      <c r="D13" s="329"/>
      <c r="E13" s="329"/>
      <c r="F13" s="329"/>
      <c r="G13" s="329"/>
      <c r="H13" s="329"/>
      <c r="I13" s="2"/>
    </row>
    <row r="14" spans="1:9" x14ac:dyDescent="0.35">
      <c r="A14" s="2"/>
      <c r="B14" s="329"/>
      <c r="C14" s="329"/>
      <c r="D14" s="329"/>
      <c r="E14" s="329"/>
      <c r="F14" s="329"/>
      <c r="G14" s="329"/>
      <c r="H14" s="329"/>
      <c r="I14" s="2"/>
    </row>
    <row r="15" spans="1:9" x14ac:dyDescent="0.35">
      <c r="A15" s="2"/>
      <c r="B15" s="2"/>
      <c r="C15" s="2"/>
      <c r="D15" s="2"/>
      <c r="E15" s="2"/>
      <c r="F15" s="2"/>
      <c r="G15" s="2"/>
      <c r="H15" s="2"/>
      <c r="I15" s="2"/>
    </row>
    <row r="16" spans="1:9" ht="19.5" customHeight="1" x14ac:dyDescent="0.4">
      <c r="A16" s="2"/>
      <c r="B16" s="330" t="s">
        <v>2</v>
      </c>
      <c r="C16" s="330"/>
      <c r="D16" s="330"/>
      <c r="E16" s="330"/>
      <c r="F16" s="330"/>
      <c r="G16" s="330"/>
      <c r="H16" s="330"/>
      <c r="I16" s="2"/>
    </row>
    <row r="17" spans="1:9" x14ac:dyDescent="0.3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5">
      <c r="A18" s="2"/>
      <c r="B18" s="331" t="s">
        <v>3</v>
      </c>
      <c r="C18" s="331"/>
      <c r="D18" s="331"/>
      <c r="E18" s="331"/>
      <c r="F18" s="331"/>
      <c r="G18" s="331"/>
      <c r="H18" s="331"/>
      <c r="I18" s="2"/>
    </row>
    <row r="19" spans="1:9" x14ac:dyDescent="0.3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5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5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5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35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5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5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5">
      <c r="A26" s="2"/>
      <c r="B26" s="2"/>
      <c r="C26" s="2"/>
      <c r="D26" s="2"/>
      <c r="E26" s="2"/>
      <c r="F26" s="2"/>
      <c r="G26" s="2"/>
      <c r="H26" s="2"/>
      <c r="I26" s="2"/>
    </row>
    <row r="27" spans="1:9" ht="17.25" customHeight="1" x14ac:dyDescent="0.35">
      <c r="A27" s="2"/>
      <c r="B27" s="4" t="s">
        <v>4</v>
      </c>
      <c r="C27" s="331" t="s">
        <v>5</v>
      </c>
      <c r="D27" s="331"/>
      <c r="E27" s="331"/>
      <c r="F27" s="331"/>
      <c r="G27" s="331"/>
      <c r="H27" s="331"/>
      <c r="I27" s="2"/>
    </row>
    <row r="28" spans="1:9" x14ac:dyDescent="0.35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35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35">
      <c r="A30" s="2"/>
      <c r="B30" s="2"/>
      <c r="C30" s="2"/>
      <c r="D30" s="2"/>
      <c r="E30" s="2"/>
      <c r="F30" s="2"/>
      <c r="G30" s="2"/>
      <c r="H30" s="2"/>
      <c r="I30" s="2"/>
    </row>
  </sheetData>
  <mergeCells count="4">
    <mergeCell ref="B9:H14"/>
    <mergeCell ref="B16:H16"/>
    <mergeCell ref="B18:H18"/>
    <mergeCell ref="C27:H27"/>
  </mergeCells>
  <pageMargins left="0.75" right="0.75" top="1" bottom="1" header="0.5" footer="0.5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showGridLines="0" zoomScaleNormal="100" workbookViewId="0">
      <selection activeCell="F26" sqref="F26"/>
    </sheetView>
  </sheetViews>
  <sheetFormatPr defaultColWidth="8.6328125" defaultRowHeight="14.5" x14ac:dyDescent="0.35"/>
  <cols>
    <col min="1" max="1" width="2" customWidth="1"/>
    <col min="2" max="2" width="19.6328125" bestFit="1" customWidth="1"/>
    <col min="3" max="4" width="20" customWidth="1"/>
    <col min="5" max="6" width="14" customWidth="1"/>
    <col min="7" max="7" width="50" customWidth="1"/>
    <col min="8" max="8" width="2" customWidth="1"/>
  </cols>
  <sheetData>
    <row r="1" spans="1:8" ht="30" customHeight="1" x14ac:dyDescent="0.35">
      <c r="A1" s="321" t="s">
        <v>6</v>
      </c>
      <c r="B1" s="321"/>
      <c r="C1" s="321"/>
      <c r="D1" s="321"/>
      <c r="E1" s="321"/>
      <c r="F1" s="321"/>
      <c r="G1" s="321"/>
      <c r="H1" s="321"/>
    </row>
    <row r="2" spans="1:8" ht="18" customHeight="1" x14ac:dyDescent="0.35">
      <c r="A2" s="332" t="s">
        <v>7</v>
      </c>
      <c r="B2" s="332"/>
      <c r="C2" s="332"/>
      <c r="D2" s="332"/>
      <c r="E2" s="332"/>
      <c r="F2" s="332"/>
      <c r="G2" s="332"/>
      <c r="H2" s="332"/>
    </row>
    <row r="3" spans="1:8" ht="7.5" customHeight="1" x14ac:dyDescent="0.35">
      <c r="A3" s="5"/>
      <c r="B3" s="5"/>
      <c r="C3" s="5"/>
      <c r="D3" s="5"/>
      <c r="E3" s="5"/>
      <c r="F3" s="5"/>
      <c r="G3" s="5"/>
      <c r="H3" s="5"/>
    </row>
    <row r="4" spans="1:8" ht="19.5" customHeight="1" x14ac:dyDescent="0.35">
      <c r="A4" s="5"/>
      <c r="B4" s="323" t="s">
        <v>8</v>
      </c>
      <c r="C4" s="323"/>
      <c r="D4" s="323"/>
      <c r="E4" s="323"/>
      <c r="F4" s="323"/>
      <c r="G4" s="323"/>
      <c r="H4" s="5"/>
    </row>
    <row r="5" spans="1:8" ht="18" customHeight="1" x14ac:dyDescent="0.35">
      <c r="A5" s="5"/>
      <c r="B5" s="333" t="s">
        <v>9</v>
      </c>
      <c r="C5" s="333"/>
      <c r="D5" s="333" t="s">
        <v>10</v>
      </c>
      <c r="E5" s="333"/>
      <c r="F5" s="333"/>
      <c r="G5" s="333"/>
      <c r="H5" s="5"/>
    </row>
    <row r="6" spans="1:8" ht="18" customHeight="1" x14ac:dyDescent="0.35">
      <c r="A6" s="5"/>
      <c r="B6" s="334" t="s">
        <v>11</v>
      </c>
      <c r="C6" s="334"/>
      <c r="D6" s="335">
        <v>46234</v>
      </c>
      <c r="E6" s="335"/>
      <c r="F6" s="335"/>
      <c r="G6" s="335"/>
      <c r="H6" s="5"/>
    </row>
    <row r="7" spans="1:8" ht="18" customHeight="1" x14ac:dyDescent="0.35">
      <c r="A7" s="5"/>
      <c r="B7" s="333" t="s">
        <v>12</v>
      </c>
      <c r="C7" s="333"/>
      <c r="D7" s="336">
        <f>SUM('Input Data'!F3:F27)</f>
        <v>4704.5</v>
      </c>
      <c r="E7" s="336"/>
      <c r="F7" s="336"/>
      <c r="G7" s="336"/>
      <c r="H7" s="5"/>
    </row>
    <row r="8" spans="1:8" ht="18" customHeight="1" x14ac:dyDescent="0.35">
      <c r="A8" s="5"/>
      <c r="B8" s="334" t="s">
        <v>13</v>
      </c>
      <c r="C8" s="334"/>
      <c r="D8" s="337">
        <f>(SUM('Input Data'!F3:F27)-'Input Data'!F27)/SUM('Input Data'!F3:F27)</f>
        <v>0.96592624083324474</v>
      </c>
      <c r="E8" s="337"/>
      <c r="F8" s="337"/>
      <c r="G8" s="337"/>
      <c r="H8" s="5"/>
    </row>
    <row r="9" spans="1:8" ht="18" customHeight="1" x14ac:dyDescent="0.35">
      <c r="A9" s="5"/>
      <c r="B9" s="333" t="s">
        <v>14</v>
      </c>
      <c r="C9" s="333"/>
      <c r="D9" s="338">
        <f ca="1">IFERROR(SUMPRODUCT(('Input Data'!K3:K27&gt;0)*'Input Data'!F3:F27*MAX(('Input Data'!H3:H27-TODAY())/365.25,0))/SUMIF('Input Data'!K3:K27,"&gt;0",'Input Data'!F3:F27),0)</f>
        <v>0</v>
      </c>
      <c r="E9" s="338"/>
      <c r="F9" s="338"/>
      <c r="G9" s="338"/>
      <c r="H9" s="5"/>
    </row>
    <row r="10" spans="1:8" ht="18" customHeight="1" x14ac:dyDescent="0.35">
      <c r="A10" s="5"/>
      <c r="B10" s="334" t="s">
        <v>15</v>
      </c>
      <c r="C10" s="334"/>
      <c r="D10" s="339">
        <f ca="1">IFERROR(SUMPRODUCT(('Input Data'!N3:N27&gt;0)*'Input Data'!N3:N27*MAX(('Input Data'!H3:H27-TODAY())/365.25,0))/SUMIF('Input Data'!N3:N27,"&gt;0"),0)</f>
        <v>0</v>
      </c>
      <c r="E10" s="339"/>
      <c r="F10" s="339"/>
      <c r="G10" s="339"/>
      <c r="H10" s="5"/>
    </row>
    <row r="11" spans="1:8" ht="18" customHeight="1" x14ac:dyDescent="0.35">
      <c r="A11" s="5"/>
      <c r="B11" s="333" t="s">
        <v>16</v>
      </c>
      <c r="C11" s="333"/>
      <c r="D11" s="340">
        <f ca="1">SUMIF('Input Data'!K3:K27,"&gt;0")</f>
        <v>4907584.0530000003</v>
      </c>
      <c r="E11" s="340"/>
      <c r="F11" s="340"/>
      <c r="G11" s="340"/>
      <c r="H11" s="5"/>
    </row>
    <row r="12" spans="1:8" ht="18" customHeight="1" x14ac:dyDescent="0.35">
      <c r="A12" s="5"/>
      <c r="B12" s="334" t="s">
        <v>17</v>
      </c>
      <c r="C12" s="334"/>
      <c r="D12" s="341">
        <f ca="1">SUM('Input Data'!N3:N27)</f>
        <v>4033664.6029999997</v>
      </c>
      <c r="E12" s="341"/>
      <c r="F12" s="341"/>
      <c r="G12" s="341"/>
      <c r="H12" s="5"/>
    </row>
    <row r="13" spans="1:8" ht="18" customHeight="1" x14ac:dyDescent="0.35">
      <c r="A13" s="5"/>
      <c r="B13" s="333" t="s">
        <v>18</v>
      </c>
      <c r="C13" s="333"/>
      <c r="D13" s="342" t="s">
        <v>19</v>
      </c>
      <c r="E13" s="342"/>
      <c r="F13" s="342"/>
      <c r="G13" s="342"/>
      <c r="H13" s="5"/>
    </row>
    <row r="14" spans="1:8" ht="18" customHeight="1" x14ac:dyDescent="0.35">
      <c r="A14" s="5"/>
      <c r="B14" s="334" t="s">
        <v>20</v>
      </c>
      <c r="C14" s="334"/>
      <c r="D14" s="343" t="s">
        <v>21</v>
      </c>
      <c r="E14" s="343"/>
      <c r="F14" s="343"/>
      <c r="G14" s="343"/>
      <c r="H14" s="5"/>
    </row>
    <row r="15" spans="1:8" ht="18" customHeight="1" x14ac:dyDescent="0.35">
      <c r="A15" s="5"/>
      <c r="B15" s="333" t="s">
        <v>22</v>
      </c>
      <c r="C15" s="333"/>
      <c r="D15" s="344"/>
      <c r="E15" s="344"/>
      <c r="F15" s="344"/>
      <c r="G15" s="344"/>
      <c r="H15" s="5"/>
    </row>
    <row r="16" spans="1:8" ht="18" customHeight="1" x14ac:dyDescent="0.35">
      <c r="A16" s="5"/>
      <c r="B16" s="334" t="s">
        <v>23</v>
      </c>
      <c r="C16" s="334"/>
      <c r="D16" s="344"/>
      <c r="E16" s="344"/>
      <c r="F16" s="344"/>
      <c r="G16" s="344"/>
      <c r="H16" s="5"/>
    </row>
    <row r="17" spans="1:8" ht="19.5" customHeight="1" x14ac:dyDescent="0.35">
      <c r="A17" s="5"/>
      <c r="B17" s="333" t="s">
        <v>24</v>
      </c>
      <c r="C17" s="333"/>
      <c r="D17" s="345"/>
      <c r="E17" s="345"/>
      <c r="F17" s="345"/>
      <c r="G17" s="345"/>
      <c r="H17" s="5"/>
    </row>
    <row r="18" spans="1:8" ht="7.5" customHeight="1" x14ac:dyDescent="0.35">
      <c r="A18" s="5"/>
      <c r="B18" s="5"/>
      <c r="C18" s="5"/>
      <c r="D18" s="5"/>
      <c r="E18" s="5"/>
      <c r="F18" s="5"/>
      <c r="G18" s="5"/>
      <c r="H18" s="5"/>
    </row>
    <row r="19" spans="1:8" ht="19.5" customHeight="1" x14ac:dyDescent="0.35">
      <c r="A19" s="5"/>
      <c r="B19" s="323" t="s">
        <v>25</v>
      </c>
      <c r="C19" s="323"/>
      <c r="D19" s="323"/>
      <c r="E19" s="323"/>
      <c r="F19" s="323"/>
      <c r="G19" s="323"/>
      <c r="H19" s="5"/>
    </row>
    <row r="20" spans="1:8" ht="24" customHeight="1" x14ac:dyDescent="0.35">
      <c r="A20" s="5"/>
      <c r="B20" s="8" t="s">
        <v>26</v>
      </c>
      <c r="C20" s="8" t="s">
        <v>27</v>
      </c>
      <c r="D20" s="8" t="s">
        <v>28</v>
      </c>
      <c r="E20" s="8" t="s">
        <v>29</v>
      </c>
      <c r="F20" s="8" t="s">
        <v>30</v>
      </c>
      <c r="G20" s="8" t="s">
        <v>31</v>
      </c>
      <c r="H20" s="5"/>
    </row>
    <row r="21" spans="1:8" ht="18" customHeight="1" x14ac:dyDescent="0.35">
      <c r="A21" s="5"/>
      <c r="B21" s="9">
        <v>46142</v>
      </c>
      <c r="C21" s="10"/>
      <c r="D21" s="11" t="s">
        <v>32</v>
      </c>
      <c r="E21" s="12">
        <f>(SUM('Input Data'!F3:F27)-'Input Data'!F27)/SUM('Input Data'!F3:F27)</f>
        <v>0.96592624083324474</v>
      </c>
      <c r="F21" s="13">
        <f ca="1">IFERROR(SUMPRODUCT(('Input Data'!K3:K27&gt;0)*'Input Data'!F3:F27*MAX(('Input Data'!H3:H27-TODAY())/365.25,0))/SUMIF('Input Data'!K3:K27,"&gt;0",'Input Data'!F3:F27),0)</f>
        <v>0</v>
      </c>
      <c r="G21" s="14" t="s">
        <v>33</v>
      </c>
      <c r="H21" s="5"/>
    </row>
    <row r="22" spans="1:8" ht="18" customHeight="1" x14ac:dyDescent="0.35">
      <c r="A22" s="5"/>
      <c r="B22" s="15">
        <v>46204</v>
      </c>
      <c r="C22" s="16" t="s">
        <v>34</v>
      </c>
      <c r="D22" s="16" t="s">
        <v>35</v>
      </c>
      <c r="E22" s="318">
        <f>(SUM('Input Data'!F3:F27)-'Input Data'!F27)/SUM('Input Data'!F3:F27)</f>
        <v>0.96592624083324474</v>
      </c>
      <c r="F22" s="16">
        <f ca="1">IFERROR(SUMPRODUCT(('Input Data'!K3:K27&gt;0)*'Input Data'!F3:F27*MAX(('Input Data'!H3:H27-TODAY())/365.25,0))/SUMIF('Input Data'!K3:K27,"&gt;0",'Input Data'!F3:F27),0)</f>
        <v>0</v>
      </c>
      <c r="G22" s="16" t="s">
        <v>36</v>
      </c>
      <c r="H22" s="5"/>
    </row>
    <row r="23" spans="1:8" ht="18" customHeight="1" x14ac:dyDescent="0.35">
      <c r="A23" s="5"/>
      <c r="B23" s="17">
        <v>46234</v>
      </c>
      <c r="C23" s="1" t="s">
        <v>34</v>
      </c>
      <c r="D23" s="1" t="s">
        <v>37</v>
      </c>
      <c r="E23" s="319">
        <f>(SUM('Input Data'!F3:F27)-'Input Data'!F27)/SUM('Input Data'!F3:F27)</f>
        <v>0.96592624083324474</v>
      </c>
      <c r="F23" s="1">
        <f ca="1">IFERROR(SUMPRODUCT(('Input Data'!K3:K27&gt;0)*'Input Data'!F3:F27*MAX(('Input Data'!H3:H27-TODAY())/365.25,0))/SUMIF('Input Data'!K3:K27,"&gt;0",'Input Data'!F3:F27),0)</f>
        <v>0</v>
      </c>
      <c r="G23" s="1" t="s">
        <v>38</v>
      </c>
      <c r="H23" s="5"/>
    </row>
    <row r="24" spans="1:8" ht="18" customHeight="1" x14ac:dyDescent="0.35">
      <c r="A24" s="5"/>
      <c r="B24" s="18"/>
      <c r="C24" s="18"/>
      <c r="D24" s="18"/>
      <c r="E24" s="319"/>
      <c r="F24" s="18"/>
      <c r="G24" s="18"/>
      <c r="H24" s="5"/>
    </row>
    <row r="25" spans="1:8" ht="18" customHeight="1" x14ac:dyDescent="0.35">
      <c r="A25" s="5"/>
      <c r="B25" s="1"/>
      <c r="C25" s="1"/>
      <c r="D25" s="1"/>
      <c r="E25" s="1"/>
      <c r="F25" s="1"/>
      <c r="G25" s="1"/>
      <c r="H25" s="5"/>
    </row>
    <row r="26" spans="1:8" ht="18" customHeight="1" x14ac:dyDescent="0.35">
      <c r="A26" s="5"/>
      <c r="B26" s="18"/>
      <c r="C26" s="18"/>
      <c r="D26" s="18"/>
      <c r="E26" s="18"/>
      <c r="F26" s="18"/>
      <c r="G26" s="18"/>
      <c r="H26" s="5"/>
    </row>
    <row r="27" spans="1:8" ht="18" customHeight="1" x14ac:dyDescent="0.35">
      <c r="A27" s="5"/>
      <c r="B27" s="1"/>
      <c r="C27" s="1"/>
      <c r="D27" s="1"/>
      <c r="E27" s="1"/>
      <c r="F27" s="1"/>
      <c r="G27" s="1"/>
      <c r="H27" s="5"/>
    </row>
    <row r="28" spans="1:8" ht="18" customHeight="1" x14ac:dyDescent="0.35">
      <c r="A28" s="5"/>
      <c r="B28" s="18"/>
      <c r="C28" s="18"/>
      <c r="D28" s="18"/>
      <c r="E28" s="18"/>
      <c r="F28" s="18"/>
      <c r="G28" s="18"/>
      <c r="H28" s="5"/>
    </row>
    <row r="29" spans="1:8" ht="18" customHeight="1" x14ac:dyDescent="0.35">
      <c r="A29" s="5"/>
      <c r="B29" s="1"/>
      <c r="C29" s="1"/>
      <c r="D29" s="1"/>
      <c r="E29" s="1"/>
      <c r="F29" s="1"/>
      <c r="G29" s="1"/>
      <c r="H29" s="5"/>
    </row>
    <row r="30" spans="1:8" ht="18" customHeight="1" x14ac:dyDescent="0.35">
      <c r="A30" s="5"/>
      <c r="B30" s="18"/>
      <c r="C30" s="18"/>
      <c r="D30" s="18"/>
      <c r="E30" s="18"/>
      <c r="F30" s="18"/>
      <c r="G30" s="18"/>
      <c r="H30" s="5"/>
    </row>
    <row r="31" spans="1:8" ht="18" customHeight="1" x14ac:dyDescent="0.35">
      <c r="A31" s="5"/>
      <c r="B31" s="1"/>
      <c r="C31" s="1"/>
      <c r="D31" s="1"/>
      <c r="E31" s="1"/>
      <c r="F31" s="1"/>
      <c r="G31" s="1"/>
      <c r="H31" s="5"/>
    </row>
    <row r="32" spans="1:8" ht="18" customHeight="1" x14ac:dyDescent="0.35">
      <c r="A32" s="5"/>
      <c r="B32" s="18"/>
      <c r="C32" s="18"/>
      <c r="D32" s="18"/>
      <c r="E32" s="18"/>
      <c r="F32" s="18"/>
      <c r="G32" s="18"/>
      <c r="H32" s="5"/>
    </row>
    <row r="33" spans="1:8" ht="18" customHeight="1" x14ac:dyDescent="0.35">
      <c r="A33" s="5"/>
      <c r="B33" s="1"/>
      <c r="C33" s="1"/>
      <c r="D33" s="1"/>
      <c r="E33" s="1"/>
      <c r="F33" s="1"/>
      <c r="G33" s="1"/>
      <c r="H33" s="5"/>
    </row>
    <row r="34" spans="1:8" ht="18" customHeight="1" x14ac:dyDescent="0.35">
      <c r="A34" s="5"/>
      <c r="B34" s="18"/>
      <c r="C34" s="18"/>
      <c r="D34" s="18"/>
      <c r="E34" s="18"/>
      <c r="F34" s="18"/>
      <c r="G34" s="18"/>
      <c r="H34" s="5"/>
    </row>
    <row r="35" spans="1:8" ht="18" customHeight="1" x14ac:dyDescent="0.35">
      <c r="A35" s="5"/>
      <c r="B35" s="1"/>
      <c r="C35" s="1"/>
      <c r="D35" s="1"/>
      <c r="E35" s="1"/>
      <c r="F35" s="1"/>
      <c r="G35" s="1"/>
      <c r="H35" s="5"/>
    </row>
    <row r="36" spans="1:8" ht="18" customHeight="1" x14ac:dyDescent="0.35">
      <c r="A36" s="5"/>
      <c r="B36" s="18"/>
      <c r="C36" s="18"/>
      <c r="D36" s="18"/>
      <c r="E36" s="18"/>
      <c r="F36" s="18"/>
      <c r="G36" s="18"/>
      <c r="H36" s="5"/>
    </row>
    <row r="37" spans="1:8" ht="18" customHeight="1" x14ac:dyDescent="0.35">
      <c r="A37" s="5"/>
      <c r="B37" s="1"/>
      <c r="C37" s="1"/>
      <c r="D37" s="1"/>
      <c r="E37" s="1"/>
      <c r="F37" s="1"/>
      <c r="G37" s="1"/>
      <c r="H37" s="5"/>
    </row>
    <row r="38" spans="1:8" ht="18" customHeight="1" x14ac:dyDescent="0.35">
      <c r="A38" s="5"/>
      <c r="B38" s="18"/>
      <c r="C38" s="18"/>
      <c r="D38" s="18"/>
      <c r="E38" s="18"/>
      <c r="F38" s="18"/>
      <c r="G38" s="18"/>
      <c r="H38" s="5"/>
    </row>
    <row r="39" spans="1:8" ht="18" customHeight="1" x14ac:dyDescent="0.35">
      <c r="A39" s="5"/>
      <c r="B39" s="1"/>
      <c r="C39" s="1"/>
      <c r="D39" s="1"/>
      <c r="E39" s="1"/>
      <c r="F39" s="1"/>
      <c r="G39" s="1"/>
      <c r="H39" s="5"/>
    </row>
    <row r="40" spans="1:8" ht="7.5" customHeight="1" x14ac:dyDescent="0.35">
      <c r="A40" s="5"/>
      <c r="B40" s="5"/>
      <c r="C40" s="5"/>
      <c r="D40" s="5"/>
      <c r="E40" s="5"/>
      <c r="F40" s="5"/>
      <c r="G40" s="5"/>
      <c r="H40" s="5"/>
    </row>
    <row r="41" spans="1:8" ht="19.5" customHeight="1" x14ac:dyDescent="0.35">
      <c r="A41" s="5"/>
      <c r="B41" s="323" t="s">
        <v>39</v>
      </c>
      <c r="C41" s="323"/>
      <c r="D41" s="323"/>
      <c r="E41" s="323"/>
      <c r="F41" s="323"/>
      <c r="G41" s="323"/>
      <c r="H41" s="5"/>
    </row>
    <row r="42" spans="1:8" ht="18" customHeight="1" x14ac:dyDescent="0.35">
      <c r="A42" s="5"/>
      <c r="B42" s="19" t="s">
        <v>40</v>
      </c>
      <c r="C42" s="346" t="s">
        <v>41</v>
      </c>
      <c r="D42" s="346"/>
      <c r="E42" s="346"/>
      <c r="F42" s="346"/>
      <c r="G42" s="346"/>
      <c r="H42" s="5"/>
    </row>
    <row r="43" spans="1:8" ht="18" customHeight="1" x14ac:dyDescent="0.35">
      <c r="A43" s="5"/>
      <c r="B43" s="21" t="s">
        <v>42</v>
      </c>
      <c r="C43" s="347" t="s">
        <v>43</v>
      </c>
      <c r="D43" s="347"/>
      <c r="E43" s="347"/>
      <c r="F43" s="347"/>
      <c r="G43" s="347"/>
      <c r="H43" s="5"/>
    </row>
    <row r="44" spans="1:8" ht="18" customHeight="1" x14ac:dyDescent="0.35">
      <c r="A44" s="5"/>
      <c r="B44" s="19" t="s">
        <v>44</v>
      </c>
      <c r="C44" s="346" t="s">
        <v>45</v>
      </c>
      <c r="D44" s="346"/>
      <c r="E44" s="346"/>
      <c r="F44" s="346"/>
      <c r="G44" s="346"/>
      <c r="H44" s="5"/>
    </row>
    <row r="45" spans="1:8" ht="18" customHeight="1" x14ac:dyDescent="0.35">
      <c r="A45" s="5"/>
      <c r="B45" s="21" t="s">
        <v>46</v>
      </c>
      <c r="C45" s="347" t="s">
        <v>47</v>
      </c>
      <c r="D45" s="347"/>
      <c r="E45" s="347"/>
      <c r="F45" s="347"/>
      <c r="G45" s="347"/>
      <c r="H45" s="5"/>
    </row>
    <row r="46" spans="1:8" ht="18" customHeight="1" x14ac:dyDescent="0.35">
      <c r="A46" s="5"/>
      <c r="B46" s="19" t="s">
        <v>48</v>
      </c>
      <c r="C46" s="346" t="s">
        <v>49</v>
      </c>
      <c r="D46" s="346"/>
      <c r="E46" s="346"/>
      <c r="F46" s="346"/>
      <c r="G46" s="346"/>
      <c r="H46" s="5"/>
    </row>
    <row r="47" spans="1:8" ht="18" customHeight="1" x14ac:dyDescent="0.35">
      <c r="A47" s="5"/>
      <c r="B47" s="21" t="s">
        <v>50</v>
      </c>
      <c r="C47" s="347" t="s">
        <v>51</v>
      </c>
      <c r="D47" s="347"/>
      <c r="E47" s="347"/>
      <c r="F47" s="347"/>
      <c r="G47" s="347"/>
      <c r="H47" s="5"/>
    </row>
    <row r="48" spans="1:8" ht="18" customHeight="1" x14ac:dyDescent="0.35">
      <c r="A48" s="5"/>
      <c r="B48" s="19" t="s">
        <v>52</v>
      </c>
      <c r="C48" s="346" t="s">
        <v>53</v>
      </c>
      <c r="D48" s="346"/>
      <c r="E48" s="346"/>
      <c r="F48" s="346"/>
      <c r="G48" s="346"/>
      <c r="H48" s="5"/>
    </row>
    <row r="49" spans="1:8" ht="18" customHeight="1" x14ac:dyDescent="0.35">
      <c r="A49" s="5"/>
      <c r="B49" s="21" t="s">
        <v>54</v>
      </c>
      <c r="C49" s="347" t="s">
        <v>55</v>
      </c>
      <c r="D49" s="347"/>
      <c r="E49" s="347"/>
      <c r="F49" s="347"/>
      <c r="G49" s="347"/>
      <c r="H49" s="5"/>
    </row>
    <row r="50" spans="1:8" ht="18" customHeight="1" x14ac:dyDescent="0.35">
      <c r="A50" s="5"/>
      <c r="B50" s="19" t="s">
        <v>56</v>
      </c>
      <c r="C50" s="346" t="s">
        <v>57</v>
      </c>
      <c r="D50" s="346"/>
      <c r="E50" s="346"/>
      <c r="F50" s="346"/>
      <c r="G50" s="346"/>
      <c r="H50" s="5"/>
    </row>
    <row r="51" spans="1:8" ht="18" customHeight="1" x14ac:dyDescent="0.35">
      <c r="A51" s="5"/>
      <c r="B51" s="21" t="s">
        <v>58</v>
      </c>
      <c r="C51" s="347" t="s">
        <v>59</v>
      </c>
      <c r="D51" s="347"/>
      <c r="E51" s="347"/>
      <c r="F51" s="347"/>
      <c r="G51" s="347"/>
      <c r="H51" s="5"/>
    </row>
  </sheetData>
  <mergeCells count="41">
    <mergeCell ref="C50:G50"/>
    <mergeCell ref="C51:G51"/>
    <mergeCell ref="C45:G45"/>
    <mergeCell ref="C46:G46"/>
    <mergeCell ref="C47:G47"/>
    <mergeCell ref="C48:G48"/>
    <mergeCell ref="C49:G49"/>
    <mergeCell ref="B19:G19"/>
    <mergeCell ref="B41:G41"/>
    <mergeCell ref="C42:G42"/>
    <mergeCell ref="C43:G43"/>
    <mergeCell ref="C44:G44"/>
    <mergeCell ref="B15:C15"/>
    <mergeCell ref="D15:G15"/>
    <mergeCell ref="B16:C16"/>
    <mergeCell ref="D16:G16"/>
    <mergeCell ref="B17:C17"/>
    <mergeCell ref="D17:G17"/>
    <mergeCell ref="B12:C12"/>
    <mergeCell ref="D12:G12"/>
    <mergeCell ref="B13:C13"/>
    <mergeCell ref="D13:G13"/>
    <mergeCell ref="B14:C14"/>
    <mergeCell ref="D14:G14"/>
    <mergeCell ref="B9:C9"/>
    <mergeCell ref="D9:G9"/>
    <mergeCell ref="B10:C10"/>
    <mergeCell ref="D10:G10"/>
    <mergeCell ref="B11:C11"/>
    <mergeCell ref="D11:G11"/>
    <mergeCell ref="B6:C6"/>
    <mergeCell ref="D6:G6"/>
    <mergeCell ref="B7:C7"/>
    <mergeCell ref="D7:G7"/>
    <mergeCell ref="B8:C8"/>
    <mergeCell ref="D8:G8"/>
    <mergeCell ref="A1:H1"/>
    <mergeCell ref="A2:H2"/>
    <mergeCell ref="B4:G4"/>
    <mergeCell ref="B5:C5"/>
    <mergeCell ref="D5:G5"/>
  </mergeCells>
  <pageMargins left="0.75" right="0.75" top="1" bottom="1" header="0.51180555555555596" footer="0.51180555555555596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6"/>
  <sheetViews>
    <sheetView showGridLines="0" tabSelected="1" topLeftCell="F1" zoomScaleNormal="100" workbookViewId="0">
      <pane ySplit="2" topLeftCell="A3" activePane="bottomLeft" state="frozen"/>
      <selection pane="bottomLeft" activeCell="H16" sqref="H16"/>
    </sheetView>
  </sheetViews>
  <sheetFormatPr defaultColWidth="8.6328125" defaultRowHeight="14.5" x14ac:dyDescent="0.35"/>
  <cols>
    <col min="1" max="1" width="10" customWidth="1"/>
    <col min="2" max="2" width="8" customWidth="1"/>
    <col min="3" max="3" width="10" customWidth="1"/>
    <col min="4" max="4" width="30" customWidth="1"/>
    <col min="5" max="5" width="28" customWidth="1"/>
    <col min="6" max="6" width="10" customWidth="1"/>
    <col min="7" max="8" width="14" customWidth="1"/>
    <col min="9" max="10" width="10" customWidth="1"/>
    <col min="11" max="12" width="16" customWidth="1"/>
    <col min="13" max="13" width="14" customWidth="1"/>
    <col min="14" max="14" width="16" customWidth="1"/>
    <col min="15" max="15" width="10" customWidth="1"/>
    <col min="16" max="16" width="14" customWidth="1"/>
    <col min="17" max="17" width="18.08984375" bestFit="1" customWidth="1"/>
    <col min="18" max="18" width="13" customWidth="1"/>
    <col min="19" max="21" width="14" customWidth="1"/>
    <col min="22" max="22" width="10" customWidth="1"/>
    <col min="23" max="23" width="12" customWidth="1"/>
    <col min="24" max="24" width="25" customWidth="1"/>
    <col min="25" max="25" width="10" customWidth="1"/>
    <col min="26" max="26" width="12.6328125" customWidth="1"/>
    <col min="27" max="27" width="7" bestFit="1" customWidth="1"/>
    <col min="28" max="28" width="6.6328125" customWidth="1"/>
  </cols>
  <sheetData>
    <row r="1" spans="1:28" ht="27.75" customHeight="1" x14ac:dyDescent="0.35">
      <c r="A1" s="321" t="s">
        <v>60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5"/>
      <c r="Z1" s="5"/>
      <c r="AA1" s="5"/>
      <c r="AB1" s="5"/>
    </row>
    <row r="2" spans="1:28" ht="31.5" customHeight="1" x14ac:dyDescent="0.35">
      <c r="A2" s="23" t="s">
        <v>61</v>
      </c>
      <c r="B2" s="23" t="s">
        <v>62</v>
      </c>
      <c r="C2" s="23" t="s">
        <v>63</v>
      </c>
      <c r="D2" s="23" t="s">
        <v>64</v>
      </c>
      <c r="E2" s="23" t="s">
        <v>65</v>
      </c>
      <c r="F2" s="23" t="s">
        <v>66</v>
      </c>
      <c r="G2" s="23" t="s">
        <v>67</v>
      </c>
      <c r="H2" s="23" t="s">
        <v>68</v>
      </c>
      <c r="I2" s="23" t="s">
        <v>69</v>
      </c>
      <c r="J2" s="23" t="s">
        <v>70</v>
      </c>
      <c r="K2" s="23" t="s">
        <v>71</v>
      </c>
      <c r="L2" s="23" t="s">
        <v>72</v>
      </c>
      <c r="M2" s="23" t="s">
        <v>73</v>
      </c>
      <c r="N2" s="23" t="s">
        <v>74</v>
      </c>
      <c r="O2" s="23" t="s">
        <v>75</v>
      </c>
      <c r="P2" s="23" t="s">
        <v>76</v>
      </c>
      <c r="Q2" s="23" t="s">
        <v>77</v>
      </c>
      <c r="R2" s="23" t="s">
        <v>78</v>
      </c>
      <c r="S2" s="23" t="s">
        <v>79</v>
      </c>
      <c r="T2" s="23" t="s">
        <v>80</v>
      </c>
      <c r="U2" s="23" t="s">
        <v>81</v>
      </c>
      <c r="V2" s="23" t="s">
        <v>82</v>
      </c>
      <c r="W2" s="23" t="s">
        <v>83</v>
      </c>
      <c r="X2" s="23" t="s">
        <v>84</v>
      </c>
      <c r="Y2" s="24" t="s">
        <v>85</v>
      </c>
      <c r="Z2" s="24" t="s">
        <v>86</v>
      </c>
      <c r="AA2" s="25" t="s">
        <v>87</v>
      </c>
      <c r="AB2" s="25" t="s">
        <v>88</v>
      </c>
    </row>
    <row r="3" spans="1:28" ht="15.75" customHeight="1" x14ac:dyDescent="0.35">
      <c r="A3" s="11" t="s">
        <v>89</v>
      </c>
      <c r="B3" s="11" t="s">
        <v>90</v>
      </c>
      <c r="C3" s="11" t="s">
        <v>91</v>
      </c>
      <c r="D3" s="26" t="str">
        <f ca="1">IF(Y3="EXPIRED","VACANT","OPULENT TWO ENTERPRISES")</f>
        <v>OPULENT TWO ENTERPRISES</v>
      </c>
      <c r="E3" s="14" t="str">
        <f ca="1">IF(Y3="EXPIRED","","OPULENT TWO ENTERPRISES")</f>
        <v>OPULENT TWO ENTERPRISES</v>
      </c>
      <c r="F3" s="27">
        <v>151.19999999999999</v>
      </c>
      <c r="G3" s="445">
        <f ca="1">IF(Y3="EXPIRED","",DATE(2016,2,1))</f>
        <v>42401</v>
      </c>
      <c r="H3" s="445">
        <f t="shared" ref="H3:H27" ca="1" si="0">IF(Z3="","",IF(Z3&lt;TODAY(),"",Z3))</f>
        <v>47149</v>
      </c>
      <c r="I3" s="29">
        <f ca="1">IF(Y3="EXPIRED","",13)</f>
        <v>13</v>
      </c>
      <c r="J3" s="30">
        <f ca="1">IF(Y3="EXPIRED",0,1002.01)</f>
        <v>1002.01</v>
      </c>
      <c r="K3" s="30">
        <f t="shared" ref="K3:K27" ca="1" si="1">IF(Y3="EXPIRED",0,J3*F3)</f>
        <v>151503.91199999998</v>
      </c>
      <c r="L3" s="30">
        <v>-28014.84</v>
      </c>
      <c r="M3" s="30">
        <v>15000</v>
      </c>
      <c r="N3" s="30">
        <f t="shared" ref="N3:N27" ca="1" si="2">K3+L3</f>
        <v>123489.07199999999</v>
      </c>
      <c r="O3" s="11">
        <v>0</v>
      </c>
      <c r="P3" s="11" t="s">
        <v>92</v>
      </c>
      <c r="Q3" s="28">
        <v>46419</v>
      </c>
      <c r="R3" s="11" t="s">
        <v>93</v>
      </c>
      <c r="S3" s="30">
        <f>IFERROR(INDEX('Market Rents 26-27'!E:E,MATCH(C3,'Market Rents 26-27'!$A:$A,0)),0)</f>
        <v>930</v>
      </c>
      <c r="T3" s="30">
        <f t="shared" ref="T3:T27" ca="1" si="3">IF(J3&gt;0,J3-S3,"")</f>
        <v>72.009999999999991</v>
      </c>
      <c r="U3" s="31">
        <f ca="1">IF(AND(J3&gt;0,S3&gt;0),(J3-S3)/S3,"")</f>
        <v>7.7430107526881717E-2</v>
      </c>
      <c r="V3" s="32">
        <f t="shared" ref="V3:V27" ca="1" si="4">IF(H3="",0,IFERROR(MAX((H3-TODAY())/365.25,0),0))</f>
        <v>2.2943189596167008</v>
      </c>
      <c r="W3" s="27">
        <f t="shared" ref="W3:W27" ca="1" si="5">F3*V3</f>
        <v>346.90102669404513</v>
      </c>
      <c r="X3" s="10"/>
      <c r="Y3" s="33" t="str">
        <f t="shared" ref="Y3:Y27" ca="1" si="6">IF(Z3="","VACANT",IF(Z3&lt;TODAY(),"EXPIRED","ACTIVE"))</f>
        <v>ACTIVE</v>
      </c>
      <c r="Z3" s="9">
        <v>47149</v>
      </c>
      <c r="AA3" s="34">
        <v>1002.01</v>
      </c>
      <c r="AB3" s="35" t="s">
        <v>94</v>
      </c>
    </row>
    <row r="4" spans="1:28" ht="15.75" customHeight="1" x14ac:dyDescent="0.35">
      <c r="A4" s="36" t="s">
        <v>95</v>
      </c>
      <c r="B4" s="36" t="s">
        <v>96</v>
      </c>
      <c r="C4" s="36" t="s">
        <v>97</v>
      </c>
      <c r="D4" s="37" t="str">
        <f ca="1">IF(Y4="EXPIRED","VACANT","RCVRI MARTIN PLACE PTY LTD")</f>
        <v>RCVRI MARTIN PLACE PTY LTD</v>
      </c>
      <c r="E4" s="38" t="str">
        <f ca="1">IF(Y4="EXPIRED","","RECOVERIE")</f>
        <v>RECOVERIE</v>
      </c>
      <c r="F4" s="39">
        <v>298.3</v>
      </c>
      <c r="G4" s="446">
        <f ca="1">IF(Y4="EXPIRED","",DATE(2025,1,21))</f>
        <v>45678</v>
      </c>
      <c r="H4" s="446">
        <f t="shared" ca="1" si="0"/>
        <v>48233</v>
      </c>
      <c r="I4" s="41">
        <f ca="1">IF(Y4="EXPIRED","",7)</f>
        <v>7</v>
      </c>
      <c r="J4" s="42">
        <f ca="1">IF(Y4="EXPIRED",0,1150.52)</f>
        <v>1150.52</v>
      </c>
      <c r="K4" s="42">
        <f t="shared" ca="1" si="1"/>
        <v>343200.11599999998</v>
      </c>
      <c r="L4" s="42">
        <v>-70714.320000000007</v>
      </c>
      <c r="M4" s="42">
        <v>10408.32</v>
      </c>
      <c r="N4" s="42">
        <f t="shared" ca="1" si="2"/>
        <v>272485.79599999997</v>
      </c>
      <c r="O4" s="36">
        <v>0</v>
      </c>
      <c r="P4" s="36" t="s">
        <v>92</v>
      </c>
      <c r="Q4" s="40">
        <v>46408</v>
      </c>
      <c r="R4" s="36" t="s">
        <v>98</v>
      </c>
      <c r="S4" s="42">
        <f>IFERROR(INDEX('Market Rents 26-27'!E:E,MATCH(C4,'Market Rents 26-27'!$A:$A,0)),0)</f>
        <v>1100</v>
      </c>
      <c r="T4" s="42">
        <f t="shared" ca="1" si="3"/>
        <v>50.519999999999982</v>
      </c>
      <c r="U4" s="43">
        <f ca="1">IF(AND(J4&gt;0,S4&gt;0),(J4-S4)/S4,"")</f>
        <v>4.5927272727272712E-2</v>
      </c>
      <c r="V4" s="44">
        <f t="shared" ca="1" si="4"/>
        <v>5.2621492128678984</v>
      </c>
      <c r="W4" s="39">
        <f t="shared" ca="1" si="5"/>
        <v>1569.6991101984941</v>
      </c>
      <c r="X4" s="45"/>
      <c r="Y4" s="33" t="str">
        <f t="shared" ca="1" si="6"/>
        <v>ACTIVE</v>
      </c>
      <c r="Z4" s="9">
        <v>48233</v>
      </c>
      <c r="AA4" s="34">
        <v>1150.52</v>
      </c>
      <c r="AB4" s="35" t="s">
        <v>99</v>
      </c>
    </row>
    <row r="5" spans="1:28" ht="15.75" customHeight="1" x14ac:dyDescent="0.35">
      <c r="A5" s="46" t="s">
        <v>100</v>
      </c>
      <c r="B5" s="46" t="s">
        <v>101</v>
      </c>
      <c r="C5" s="46" t="s">
        <v>102</v>
      </c>
      <c r="D5" s="47" t="s">
        <v>103</v>
      </c>
      <c r="E5" s="20"/>
      <c r="F5" s="48">
        <v>162.4</v>
      </c>
      <c r="G5" s="447"/>
      <c r="H5" s="447" t="str">
        <f t="shared" ca="1" si="0"/>
        <v/>
      </c>
      <c r="I5" s="49">
        <f ca="1">IF(Y5="EXPIRED","",3)</f>
        <v>3</v>
      </c>
      <c r="J5" s="50"/>
      <c r="K5" s="50">
        <f t="shared" ca="1" si="1"/>
        <v>0</v>
      </c>
      <c r="L5" s="50">
        <v>0</v>
      </c>
      <c r="M5" s="50"/>
      <c r="N5" s="50">
        <f t="shared" ca="1" si="2"/>
        <v>0</v>
      </c>
      <c r="O5" s="46">
        <v>0</v>
      </c>
      <c r="P5" s="46"/>
      <c r="Q5" s="9"/>
      <c r="R5" s="46"/>
      <c r="S5" s="50">
        <f>IFERROR(INDEX('Market Rents 26-27'!E:E,MATCH(C5,'Market Rents 26-27'!$A:$A,0)),0)</f>
        <v>1115</v>
      </c>
      <c r="T5" s="50" t="str">
        <f t="shared" si="3"/>
        <v/>
      </c>
      <c r="U5" s="51"/>
      <c r="V5" s="52">
        <f t="shared" ca="1" si="4"/>
        <v>0</v>
      </c>
      <c r="W5" s="48">
        <f t="shared" ca="1" si="5"/>
        <v>0</v>
      </c>
      <c r="X5" s="46"/>
      <c r="Y5" s="33" t="str">
        <f t="shared" ca="1" si="6"/>
        <v>VACANT</v>
      </c>
      <c r="Z5" s="9"/>
      <c r="AA5" s="34"/>
      <c r="AB5" s="35"/>
    </row>
    <row r="6" spans="1:28" ht="15.75" customHeight="1" x14ac:dyDescent="0.35">
      <c r="A6" s="36" t="s">
        <v>105</v>
      </c>
      <c r="B6" s="36" t="s">
        <v>101</v>
      </c>
      <c r="C6" s="36" t="s">
        <v>106</v>
      </c>
      <c r="D6" s="37" t="str">
        <f ca="1">IF(Y6="EXPIRED","VACANT","PU PRIME TRADING PTY LTD")</f>
        <v>PU PRIME TRADING PTY LTD</v>
      </c>
      <c r="E6" s="38" t="str">
        <f ca="1">IF(Y6="EXPIRED","","PU PRIME TRADING PTY LTD")</f>
        <v>PU PRIME TRADING PTY LTD</v>
      </c>
      <c r="F6" s="39">
        <v>96.3</v>
      </c>
      <c r="G6" s="446">
        <f ca="1">IF(Y6="EXPIRED","",DATE(2021,7,1))</f>
        <v>44378</v>
      </c>
      <c r="H6" s="446">
        <f t="shared" ca="1" si="0"/>
        <v>46918</v>
      </c>
      <c r="I6" s="41">
        <f ca="1">IF(Y6="EXPIRED","",7)</f>
        <v>7</v>
      </c>
      <c r="J6" s="42">
        <v>1021.99</v>
      </c>
      <c r="K6" s="42">
        <f t="shared" ca="1" si="1"/>
        <v>98417.637000000002</v>
      </c>
      <c r="L6" s="42">
        <v>-9021.6</v>
      </c>
      <c r="M6" s="42">
        <v>6780</v>
      </c>
      <c r="N6" s="42">
        <f t="shared" ca="1" si="2"/>
        <v>89396.036999999997</v>
      </c>
      <c r="O6" s="36">
        <v>0</v>
      </c>
      <c r="P6" s="36" t="s">
        <v>92</v>
      </c>
      <c r="Q6" s="40">
        <v>46461</v>
      </c>
      <c r="R6" s="36" t="s">
        <v>93</v>
      </c>
      <c r="S6" s="42">
        <f>IFERROR(INDEX('Market Rents 26-27'!E:E,MATCH(C6,'Market Rents 26-27'!$A:$A,0)),0)</f>
        <v>960</v>
      </c>
      <c r="T6" s="42">
        <f t="shared" si="3"/>
        <v>61.990000000000009</v>
      </c>
      <c r="U6" s="43">
        <f t="shared" ref="U6:U27" si="7">IF(AND(J6&gt;0,S6&gt;0),(J6-S6)/S6,"")</f>
        <v>6.4572916666666674E-2</v>
      </c>
      <c r="V6" s="44">
        <f t="shared" ca="1" si="4"/>
        <v>1.6618754277891854</v>
      </c>
      <c r="W6" s="39">
        <f t="shared" ca="1" si="5"/>
        <v>160.03860369609856</v>
      </c>
      <c r="X6" s="45"/>
      <c r="Y6" s="33" t="str">
        <f t="shared" ca="1" si="6"/>
        <v>ACTIVE</v>
      </c>
      <c r="Z6" s="9">
        <v>46918</v>
      </c>
      <c r="AA6" s="34">
        <v>1021.99</v>
      </c>
      <c r="AB6" s="35" t="s">
        <v>107</v>
      </c>
    </row>
    <row r="7" spans="1:28" ht="15.75" customHeight="1" x14ac:dyDescent="0.35">
      <c r="A7" s="46" t="s">
        <v>108</v>
      </c>
      <c r="B7" s="46" t="s">
        <v>101</v>
      </c>
      <c r="C7" s="46" t="s">
        <v>109</v>
      </c>
      <c r="D7" s="47" t="str">
        <f ca="1">IF(Y7="EXPIRED","VACANT","TJC#1 PTY LTD")</f>
        <v>TJC#1 PTY LTD</v>
      </c>
      <c r="E7" s="20" t="str">
        <f ca="1">IF(Y7="EXPIRED","","BALANCE INSOLVENCY")</f>
        <v>BALANCE INSOLVENCY</v>
      </c>
      <c r="F7" s="48">
        <v>98.1</v>
      </c>
      <c r="G7" s="447">
        <f ca="1">IF(Y7="EXPIRED","",DATE(2023,8,1))</f>
        <v>45139</v>
      </c>
      <c r="H7" s="447">
        <f t="shared" ca="1" si="0"/>
        <v>47330</v>
      </c>
      <c r="I7" s="49">
        <f ca="1">IF(Y7="EXPIRED","",3)</f>
        <v>3</v>
      </c>
      <c r="J7" s="50">
        <f ca="1">IF(Y7="EXPIRED",0,973.44)</f>
        <v>973.44</v>
      </c>
      <c r="K7" s="50">
        <f t="shared" ca="1" si="1"/>
        <v>95494.463999999993</v>
      </c>
      <c r="L7" s="50">
        <v>-19423.8</v>
      </c>
      <c r="M7" s="50">
        <v>4500</v>
      </c>
      <c r="N7" s="50">
        <f t="shared" ca="1" si="2"/>
        <v>76070.66399999999</v>
      </c>
      <c r="O7" s="46">
        <v>0</v>
      </c>
      <c r="P7" s="46" t="s">
        <v>92</v>
      </c>
      <c r="Q7" s="9">
        <v>46600</v>
      </c>
      <c r="R7" s="46" t="s">
        <v>93</v>
      </c>
      <c r="S7" s="50">
        <f>IFERROR(INDEX('Market Rents 26-27'!E:E,MATCH(C7,'Market Rents 26-27'!$A:$A,0)),0)</f>
        <v>960</v>
      </c>
      <c r="T7" s="50">
        <f t="shared" ca="1" si="3"/>
        <v>13.440000000000055</v>
      </c>
      <c r="U7" s="51">
        <f t="shared" ca="1" si="7"/>
        <v>1.4000000000000058E-2</v>
      </c>
      <c r="V7" s="52">
        <f t="shared" ca="1" si="4"/>
        <v>2.7898699520876113</v>
      </c>
      <c r="W7" s="48">
        <f t="shared" ca="1" si="5"/>
        <v>273.68624229979469</v>
      </c>
      <c r="X7" s="53"/>
      <c r="Y7" s="33" t="str">
        <f t="shared" ca="1" si="6"/>
        <v>ACTIVE</v>
      </c>
      <c r="Z7" s="9">
        <v>47330</v>
      </c>
      <c r="AA7" s="34">
        <v>973.44</v>
      </c>
      <c r="AB7" s="35" t="s">
        <v>110</v>
      </c>
    </row>
    <row r="8" spans="1:28" ht="15.75" customHeight="1" x14ac:dyDescent="0.35">
      <c r="A8" s="36" t="s">
        <v>111</v>
      </c>
      <c r="B8" s="36" t="s">
        <v>112</v>
      </c>
      <c r="C8" s="36" t="s">
        <v>113</v>
      </c>
      <c r="D8" s="37" t="str">
        <f ca="1">IF(Y8="EXPIRED","VACANT","PRINCETON FINANCIAL SERVICES")</f>
        <v>PRINCETON FINANCIAL SERVICES</v>
      </c>
      <c r="E8" s="38" t="str">
        <f ca="1">IF(Y8="EXPIRED","","PRINCETON FINANCIAL SERVICES")</f>
        <v>PRINCETON FINANCIAL SERVICES</v>
      </c>
      <c r="F8" s="39">
        <v>393.2</v>
      </c>
      <c r="G8" s="446">
        <f ca="1">IF(Y8="EXPIRED","",DATE(2024,1,1))</f>
        <v>45292</v>
      </c>
      <c r="H8" s="446">
        <f t="shared" ca="1" si="0"/>
        <v>47118</v>
      </c>
      <c r="I8" s="41">
        <f ca="1">IF(Y8="EXPIRED","",5)</f>
        <v>5</v>
      </c>
      <c r="J8" s="42">
        <f ca="1">IF(Y8="EXPIRED",0,1081.6)</f>
        <v>1081.5999999999999</v>
      </c>
      <c r="K8" s="42">
        <f t="shared" ca="1" si="1"/>
        <v>425285.11999999994</v>
      </c>
      <c r="L8" s="42">
        <v>-23581.8</v>
      </c>
      <c r="M8" s="42">
        <v>16200</v>
      </c>
      <c r="N8" s="42">
        <f t="shared" ca="1" si="2"/>
        <v>401703.31999999995</v>
      </c>
      <c r="O8" s="36">
        <v>0</v>
      </c>
      <c r="P8" s="36" t="s">
        <v>92</v>
      </c>
      <c r="Q8" s="40">
        <v>46388</v>
      </c>
      <c r="R8" s="36" t="s">
        <v>93</v>
      </c>
      <c r="S8" s="42">
        <f>IFERROR(INDEX('Market Rents 26-27'!E:E,MATCH(C8,'Market Rents 26-27'!$A:$A,0)),0)</f>
        <v>1095</v>
      </c>
      <c r="T8" s="42">
        <f t="shared" ca="1" si="3"/>
        <v>-13.400000000000091</v>
      </c>
      <c r="U8" s="43">
        <f t="shared" ca="1" si="7"/>
        <v>-1.2237442922374513E-2</v>
      </c>
      <c r="V8" s="44">
        <f t="shared" ca="1" si="4"/>
        <v>2.2094455852156059</v>
      </c>
      <c r="W8" s="39">
        <f t="shared" ca="1" si="5"/>
        <v>868.75400410677616</v>
      </c>
      <c r="X8" s="45"/>
      <c r="Y8" s="33" t="str">
        <f t="shared" ca="1" si="6"/>
        <v>ACTIVE</v>
      </c>
      <c r="Z8" s="9">
        <v>47118</v>
      </c>
      <c r="AA8" s="34">
        <v>1081.5999999999999</v>
      </c>
      <c r="AB8" s="35" t="s">
        <v>114</v>
      </c>
    </row>
    <row r="9" spans="1:28" ht="15.75" customHeight="1" x14ac:dyDescent="0.35">
      <c r="A9" s="11" t="s">
        <v>115</v>
      </c>
      <c r="B9" s="11" t="s">
        <v>116</v>
      </c>
      <c r="C9" s="11" t="s">
        <v>117</v>
      </c>
      <c r="D9" s="26" t="str">
        <f ca="1">IF(Y9="EXPIRED","VACANT","IPM RESIDENTIAL PTY LTD")</f>
        <v>IPM RESIDENTIAL PTY LTD</v>
      </c>
      <c r="E9" s="14" t="str">
        <f ca="1">IF(Y9="EXPIRED","","IPM RESIDENTIAL PTY LTD")</f>
        <v>IPM RESIDENTIAL PTY LTD</v>
      </c>
      <c r="F9" s="27">
        <v>164.2</v>
      </c>
      <c r="G9" s="445">
        <f ca="1">IF(Y9="EXPIRED","",DATE(2022,6,1))</f>
        <v>44713</v>
      </c>
      <c r="H9" s="445">
        <f t="shared" ca="1" si="0"/>
        <v>46538</v>
      </c>
      <c r="I9" s="29">
        <f ca="1">IF(Y9="EXPIRED","",5)</f>
        <v>5</v>
      </c>
      <c r="J9" s="30">
        <v>1216.58</v>
      </c>
      <c r="K9" s="30">
        <f t="shared" ca="1" si="1"/>
        <v>199762.43599999999</v>
      </c>
      <c r="L9" s="30">
        <v>-15516.96</v>
      </c>
      <c r="M9" s="30">
        <v>9900</v>
      </c>
      <c r="N9" s="30">
        <f t="shared" ca="1" si="2"/>
        <v>184245.476</v>
      </c>
      <c r="O9" s="11">
        <v>2</v>
      </c>
      <c r="P9" s="11" t="s">
        <v>118</v>
      </c>
      <c r="Q9" s="28">
        <v>46539</v>
      </c>
      <c r="R9" s="11" t="s">
        <v>93</v>
      </c>
      <c r="S9" s="30">
        <f>IFERROR(INDEX('Market Rents 26-27'!E:E,MATCH(C9,'Market Rents 26-27'!$A:$A,0)),0)</f>
        <v>1135</v>
      </c>
      <c r="T9" s="30">
        <f t="shared" si="3"/>
        <v>81.579999999999927</v>
      </c>
      <c r="U9" s="31">
        <f t="shared" si="7"/>
        <v>7.1876651982378789E-2</v>
      </c>
      <c r="V9" s="32">
        <f t="shared" ca="1" si="4"/>
        <v>0.62149212867898695</v>
      </c>
      <c r="W9" s="27">
        <f t="shared" ca="1" si="5"/>
        <v>102.04900752908965</v>
      </c>
      <c r="X9" s="10"/>
      <c r="Y9" s="33" t="str">
        <f t="shared" ca="1" si="6"/>
        <v>ACTIVE</v>
      </c>
      <c r="Z9" s="9">
        <v>46538</v>
      </c>
      <c r="AA9" s="34">
        <v>1216.58</v>
      </c>
      <c r="AB9" s="35" t="s">
        <v>119</v>
      </c>
    </row>
    <row r="10" spans="1:28" ht="15.75" customHeight="1" x14ac:dyDescent="0.35">
      <c r="A10" s="36" t="s">
        <v>120</v>
      </c>
      <c r="B10" s="36" t="s">
        <v>116</v>
      </c>
      <c r="C10" s="36" t="s">
        <v>121</v>
      </c>
      <c r="D10" s="37" t="str">
        <f ca="1">IF(Y10="EXPIRED","VACANT","BROADRIDGE (AUSTRALIA) PTY LTD")</f>
        <v>BROADRIDGE (AUSTRALIA) PTY LTD</v>
      </c>
      <c r="E10" s="38" t="str">
        <f ca="1">IF(Y10="EXPIRED","","BROADRIDGE (AUSTRALI) PTY LTD")</f>
        <v>BROADRIDGE (AUSTRALI) PTY LTD</v>
      </c>
      <c r="F10" s="39">
        <v>193.4</v>
      </c>
      <c r="G10" s="446">
        <f ca="1">IF(Y10="EXPIRED","",DATE(2024,10,1))</f>
        <v>45566</v>
      </c>
      <c r="H10" s="446">
        <f t="shared" ca="1" si="0"/>
        <v>47026</v>
      </c>
      <c r="I10" s="41">
        <f ca="1">IF(Y10="EXPIRED","",4)</f>
        <v>4</v>
      </c>
      <c r="J10" s="42">
        <f ca="1">IF(Y10="EXPIRED",0,933.75)</f>
        <v>933.75</v>
      </c>
      <c r="K10" s="42">
        <f t="shared" ca="1" si="1"/>
        <v>180587.25</v>
      </c>
      <c r="L10" s="42">
        <v>-20962.2</v>
      </c>
      <c r="M10" s="42">
        <v>6300</v>
      </c>
      <c r="N10" s="42">
        <f t="shared" ca="1" si="2"/>
        <v>159625.04999999999</v>
      </c>
      <c r="O10" s="36">
        <v>0</v>
      </c>
      <c r="P10" s="36" t="s">
        <v>122</v>
      </c>
      <c r="Q10" s="40">
        <v>46296</v>
      </c>
      <c r="R10" s="36" t="s">
        <v>93</v>
      </c>
      <c r="S10" s="42">
        <f>IFERROR(INDEX('Market Rents 26-27'!E:E,MATCH(C10,'Market Rents 26-27'!$A:$A,0)),0)</f>
        <v>920</v>
      </c>
      <c r="T10" s="42">
        <f t="shared" ca="1" si="3"/>
        <v>13.75</v>
      </c>
      <c r="U10" s="43">
        <f t="shared" ca="1" si="7"/>
        <v>1.4945652173913044E-2</v>
      </c>
      <c r="V10" s="44">
        <f t="shared" ca="1" si="4"/>
        <v>1.9575633127994525</v>
      </c>
      <c r="W10" s="39">
        <f t="shared" ca="1" si="5"/>
        <v>378.59274469541413</v>
      </c>
      <c r="X10" s="45"/>
      <c r="Y10" s="33" t="str">
        <f t="shared" ca="1" si="6"/>
        <v>ACTIVE</v>
      </c>
      <c r="Z10" s="9">
        <v>47026</v>
      </c>
      <c r="AA10" s="34">
        <v>933.75</v>
      </c>
      <c r="AB10" s="35" t="s">
        <v>123</v>
      </c>
    </row>
    <row r="11" spans="1:28" ht="15.75" customHeight="1" x14ac:dyDescent="0.35">
      <c r="A11" s="11" t="s">
        <v>124</v>
      </c>
      <c r="B11" s="11" t="s">
        <v>125</v>
      </c>
      <c r="C11" s="11" t="s">
        <v>126</v>
      </c>
      <c r="D11" s="26" t="str">
        <f ca="1">IF(Y11="EXPIRED","VACANT","B-W INTERNATIONAL AUSTRALIA PTY LTD")</f>
        <v>B-W INTERNATIONAL AUSTRALIA PTY LTD</v>
      </c>
      <c r="E11" s="14" t="str">
        <f ca="1">IF(Y11="EXPIRED","","B-W INTERNATIONAL AUSTRALIA PTY LTD")</f>
        <v>B-W INTERNATIONAL AUSTRALIA PTY LTD</v>
      </c>
      <c r="F11" s="27">
        <v>214.1</v>
      </c>
      <c r="G11" s="445">
        <f ca="1">IF(Y11="EXPIRED","",DATE(2024,3,1))</f>
        <v>45352</v>
      </c>
      <c r="H11" s="445">
        <f t="shared" ca="1" si="0"/>
        <v>47177</v>
      </c>
      <c r="I11" s="29">
        <f ca="1">IF(Y11="EXPIRED","",5)</f>
        <v>5</v>
      </c>
      <c r="J11" s="30">
        <f ca="1">IF(Y11="EXPIRED",0,1135.61)</f>
        <v>1135.6099999999999</v>
      </c>
      <c r="K11" s="30">
        <f t="shared" ca="1" si="1"/>
        <v>243134.10099999997</v>
      </c>
      <c r="L11" s="30">
        <v>-54203.76</v>
      </c>
      <c r="M11" s="30">
        <v>8700</v>
      </c>
      <c r="N11" s="30">
        <f t="shared" ca="1" si="2"/>
        <v>188930.34099999996</v>
      </c>
      <c r="O11" s="11">
        <v>0</v>
      </c>
      <c r="P11" s="11" t="s">
        <v>122</v>
      </c>
      <c r="Q11" s="28">
        <v>46447</v>
      </c>
      <c r="R11" s="11" t="s">
        <v>93</v>
      </c>
      <c r="S11" s="30">
        <f>IFERROR(INDEX('Market Rents 26-27'!E:E,MATCH(C11,'Market Rents 26-27'!$A:$A,0)),0)</f>
        <v>1145</v>
      </c>
      <c r="T11" s="30">
        <f t="shared" ca="1" si="3"/>
        <v>-9.3900000000001</v>
      </c>
      <c r="U11" s="31">
        <f t="shared" ca="1" si="7"/>
        <v>-8.2008733624455016E-3</v>
      </c>
      <c r="V11" s="32">
        <f t="shared" ca="1" si="4"/>
        <v>2.3709787816563996</v>
      </c>
      <c r="W11" s="27">
        <f t="shared" ca="1" si="5"/>
        <v>507.62655715263514</v>
      </c>
      <c r="X11" s="10"/>
      <c r="Y11" s="33" t="str">
        <f t="shared" ca="1" si="6"/>
        <v>ACTIVE</v>
      </c>
      <c r="Z11" s="9">
        <v>47177</v>
      </c>
      <c r="AA11" s="34">
        <v>1135.6099999999999</v>
      </c>
      <c r="AB11" s="35" t="s">
        <v>127</v>
      </c>
    </row>
    <row r="12" spans="1:28" ht="15.75" customHeight="1" x14ac:dyDescent="0.35">
      <c r="A12" s="36" t="s">
        <v>128</v>
      </c>
      <c r="B12" s="36" t="s">
        <v>125</v>
      </c>
      <c r="C12" s="36" t="s">
        <v>129</v>
      </c>
      <c r="D12" s="37" t="str">
        <f ca="1">IF(Y12="EXPIRED","VACANT","MP TRAVEL PTY LTD")</f>
        <v>MP TRAVEL PTY LTD</v>
      </c>
      <c r="E12" s="38" t="str">
        <f ca="1">IF(Y12="EXPIRED","","GRAY DAWES TRAVEL")</f>
        <v>GRAY DAWES TRAVEL</v>
      </c>
      <c r="F12" s="39">
        <v>145.6</v>
      </c>
      <c r="G12" s="446">
        <f ca="1">IF(Y12="EXPIRED","",DATE(2025,1,1))</f>
        <v>45658</v>
      </c>
      <c r="H12" s="446">
        <f t="shared" ca="1" si="0"/>
        <v>47483</v>
      </c>
      <c r="I12" s="41">
        <f ca="1">IF(Y12="EXPIRED","",5)</f>
        <v>5</v>
      </c>
      <c r="J12" s="42">
        <f ca="1">IF(Y12="EXPIRED",0,1037.5)</f>
        <v>1037.5</v>
      </c>
      <c r="K12" s="42">
        <f t="shared" ca="1" si="1"/>
        <v>151060</v>
      </c>
      <c r="L12" s="42">
        <v>-17675.88</v>
      </c>
      <c r="M12" s="42">
        <v>6000</v>
      </c>
      <c r="N12" s="42">
        <f t="shared" ca="1" si="2"/>
        <v>133384.12</v>
      </c>
      <c r="O12" s="36">
        <v>0</v>
      </c>
      <c r="P12" s="36" t="s">
        <v>122</v>
      </c>
      <c r="Q12" s="40">
        <v>46388</v>
      </c>
      <c r="R12" s="36" t="s">
        <v>93</v>
      </c>
      <c r="S12" s="42">
        <f>IFERROR(INDEX('Market Rents 26-27'!E:E,MATCH(C12,'Market Rents 26-27'!$A:$A,0)),0)</f>
        <v>1000</v>
      </c>
      <c r="T12" s="42">
        <f t="shared" ca="1" si="3"/>
        <v>37.5</v>
      </c>
      <c r="U12" s="43">
        <f t="shared" ca="1" si="7"/>
        <v>3.7499999999999999E-2</v>
      </c>
      <c r="V12" s="44">
        <f t="shared" ca="1" si="4"/>
        <v>3.2087611225188226</v>
      </c>
      <c r="W12" s="39">
        <f t="shared" ca="1" si="5"/>
        <v>467.19561943874055</v>
      </c>
      <c r="X12" s="45"/>
      <c r="Y12" s="33" t="str">
        <f t="shared" ca="1" si="6"/>
        <v>ACTIVE</v>
      </c>
      <c r="Z12" s="9">
        <v>47483</v>
      </c>
      <c r="AA12" s="34">
        <v>1037.5</v>
      </c>
      <c r="AB12" s="35" t="s">
        <v>130</v>
      </c>
    </row>
    <row r="13" spans="1:28" ht="15.75" customHeight="1" x14ac:dyDescent="0.35">
      <c r="A13" s="11" t="s">
        <v>131</v>
      </c>
      <c r="B13" s="11" t="s">
        <v>132</v>
      </c>
      <c r="C13" s="11" t="s">
        <v>133</v>
      </c>
      <c r="D13" s="26" t="str">
        <f ca="1">IF(Y13="EXPIRED","VACANT","MONTGOMERY INVESTMENT")</f>
        <v>MONTGOMERY INVESTMENT</v>
      </c>
      <c r="E13" s="14" t="str">
        <f ca="1">IF(Y13="EXPIRED","","MONTGOMERY INVESTMENT")</f>
        <v>MONTGOMERY INVESTMENT</v>
      </c>
      <c r="F13" s="27">
        <v>212.3</v>
      </c>
      <c r="G13" s="445">
        <f ca="1">IF(Y13="EXPIRED","",DATE(2019,11,1))</f>
        <v>43770</v>
      </c>
      <c r="H13" s="445">
        <f t="shared" ca="1" si="0"/>
        <v>46691</v>
      </c>
      <c r="I13" s="29">
        <f ca="1">IF(Y13="EXPIRED","",8)</f>
        <v>8</v>
      </c>
      <c r="J13" s="30">
        <f ca="1">IF(Y13="EXPIRED",0,1341.24)</f>
        <v>1341.24</v>
      </c>
      <c r="K13" s="30">
        <f t="shared" ca="1" si="1"/>
        <v>284745.25200000004</v>
      </c>
      <c r="L13" s="30">
        <v>-49361.760000000002</v>
      </c>
      <c r="M13" s="30">
        <v>9900</v>
      </c>
      <c r="N13" s="30">
        <f t="shared" ca="1" si="2"/>
        <v>235383.49200000003</v>
      </c>
      <c r="O13" s="11">
        <v>0</v>
      </c>
      <c r="P13" s="11" t="s">
        <v>92</v>
      </c>
      <c r="Q13" s="28">
        <v>46327</v>
      </c>
      <c r="R13" s="11" t="s">
        <v>93</v>
      </c>
      <c r="S13" s="30">
        <f>IFERROR(INDEX('Market Rents 26-27'!E:E,MATCH(C13,'Market Rents 26-27'!$A:$A,0)),0)</f>
        <v>1155</v>
      </c>
      <c r="T13" s="30">
        <f t="shared" ca="1" si="3"/>
        <v>186.24</v>
      </c>
      <c r="U13" s="31">
        <f t="shared" ca="1" si="7"/>
        <v>0.16124675324675325</v>
      </c>
      <c r="V13" s="32">
        <f t="shared" ca="1" si="4"/>
        <v>1.0403832991101984</v>
      </c>
      <c r="W13" s="27">
        <f t="shared" ca="1" si="5"/>
        <v>220.87337440109513</v>
      </c>
      <c r="X13" s="10"/>
      <c r="Y13" s="33" t="str">
        <f t="shared" ca="1" si="6"/>
        <v>ACTIVE</v>
      </c>
      <c r="Z13" s="9">
        <v>46691</v>
      </c>
      <c r="AA13" s="34">
        <v>1341.24</v>
      </c>
      <c r="AB13" s="35" t="s">
        <v>134</v>
      </c>
    </row>
    <row r="14" spans="1:28" ht="15.75" customHeight="1" x14ac:dyDescent="0.35">
      <c r="A14" s="36" t="s">
        <v>135</v>
      </c>
      <c r="B14" s="36" t="s">
        <v>132</v>
      </c>
      <c r="C14" s="36" t="s">
        <v>136</v>
      </c>
      <c r="D14" s="37" t="str">
        <f ca="1">IF(Y14="EXPIRED","VACANT","THREAT DEFENCE")</f>
        <v>THREAT DEFENCE</v>
      </c>
      <c r="E14" s="38" t="str">
        <f ca="1">IF(Y14="EXPIRED","","THREAT DEFENCE PTY LTD")</f>
        <v>THREAT DEFENCE PTY LTD</v>
      </c>
      <c r="F14" s="39">
        <v>163.80000000000001</v>
      </c>
      <c r="G14" s="446">
        <f ca="1">IF(Y14="EXPIRED","",DATE(2024,7,1))</f>
        <v>45474</v>
      </c>
      <c r="H14" s="446">
        <f t="shared" ca="1" si="0"/>
        <v>46568</v>
      </c>
      <c r="I14" s="41">
        <f ca="1">IF(Y14="EXPIRED","",3)</f>
        <v>3</v>
      </c>
      <c r="J14" s="42">
        <v>1054.8800000000001</v>
      </c>
      <c r="K14" s="42">
        <f t="shared" ca="1" si="1"/>
        <v>172789.34400000004</v>
      </c>
      <c r="L14" s="42">
        <v>-41736.239999999998</v>
      </c>
      <c r="M14" s="42">
        <v>7140</v>
      </c>
      <c r="N14" s="42">
        <f t="shared" ca="1" si="2"/>
        <v>131053.10400000005</v>
      </c>
      <c r="O14" s="36">
        <v>0</v>
      </c>
      <c r="P14" s="36" t="s">
        <v>118</v>
      </c>
      <c r="Q14" s="40">
        <v>46569</v>
      </c>
      <c r="R14" s="36" t="s">
        <v>93</v>
      </c>
      <c r="S14" s="42">
        <f>IFERROR(INDEX('Market Rents 26-27'!E:E,MATCH(C14,'Market Rents 26-27'!$A:$A,0)),0)</f>
        <v>1020</v>
      </c>
      <c r="T14" s="42">
        <f t="shared" si="3"/>
        <v>34.880000000000109</v>
      </c>
      <c r="U14" s="43">
        <f t="shared" si="7"/>
        <v>3.4196078431372658E-2</v>
      </c>
      <c r="V14" s="44">
        <f t="shared" ca="1" si="4"/>
        <v>0.70362765229294999</v>
      </c>
      <c r="W14" s="39">
        <f t="shared" ca="1" si="5"/>
        <v>115.25420944558522</v>
      </c>
      <c r="X14" s="45"/>
      <c r="Y14" s="33" t="str">
        <f t="shared" ca="1" si="6"/>
        <v>ACTIVE</v>
      </c>
      <c r="Z14" s="9">
        <v>46568</v>
      </c>
      <c r="AA14" s="34">
        <v>1054.8800000000001</v>
      </c>
      <c r="AB14" s="35" t="s">
        <v>137</v>
      </c>
    </row>
    <row r="15" spans="1:28" ht="15.75" customHeight="1" x14ac:dyDescent="0.35">
      <c r="A15" s="11" t="s">
        <v>138</v>
      </c>
      <c r="B15" s="11" t="s">
        <v>139</v>
      </c>
      <c r="C15" s="11" t="s">
        <v>140</v>
      </c>
      <c r="D15" s="26" t="str">
        <f ca="1">IF(Y15="EXPIRED","VACANT","FULLCRM PTY LTD")</f>
        <v>FULLCRM PTY LTD</v>
      </c>
      <c r="E15" s="14" t="str">
        <f ca="1">IF(Y15="EXPIRED","","FULLCRM PTY LTD")</f>
        <v>FULLCRM PTY LTD</v>
      </c>
      <c r="F15" s="27">
        <v>226.1</v>
      </c>
      <c r="G15" s="445">
        <f ca="1">IF(Y15="EXPIRED","",DATE(2021,12,1))</f>
        <v>44531</v>
      </c>
      <c r="H15" s="445">
        <f t="shared" ca="1" si="0"/>
        <v>46418</v>
      </c>
      <c r="I15" s="29">
        <f ca="1">IF(Y15="EXPIRED","",5.2)</f>
        <v>5.2</v>
      </c>
      <c r="J15" s="30">
        <f ca="1">IF(Y15="EXPIRED",0,1251.34)</f>
        <v>1251.3399999999999</v>
      </c>
      <c r="K15" s="30">
        <f t="shared" ca="1" si="1"/>
        <v>282927.97399999999</v>
      </c>
      <c r="L15" s="30">
        <v>-31744.44</v>
      </c>
      <c r="M15" s="30">
        <v>13800</v>
      </c>
      <c r="N15" s="30">
        <f t="shared" ca="1" si="2"/>
        <v>251183.53399999999</v>
      </c>
      <c r="O15" s="11">
        <v>0</v>
      </c>
      <c r="P15" s="11" t="s">
        <v>118</v>
      </c>
      <c r="Q15" s="28">
        <v>46419</v>
      </c>
      <c r="R15" s="11" t="s">
        <v>93</v>
      </c>
      <c r="S15" s="30">
        <f>IFERROR(INDEX('Market Rents 26-27'!E:E,MATCH(C15,'Market Rents 26-27'!$A:$A,0)),0)</f>
        <v>1165</v>
      </c>
      <c r="T15" s="30">
        <f t="shared" ca="1" si="3"/>
        <v>86.339999999999918</v>
      </c>
      <c r="U15" s="31">
        <f t="shared" ca="1" si="7"/>
        <v>7.4111587982832544E-2</v>
      </c>
      <c r="V15" s="32">
        <f t="shared" ca="1" si="4"/>
        <v>0.29295003422313481</v>
      </c>
      <c r="W15" s="27">
        <f t="shared" ca="1" si="5"/>
        <v>66.236002737850782</v>
      </c>
      <c r="X15" s="10"/>
      <c r="Y15" s="33" t="str">
        <f t="shared" ca="1" si="6"/>
        <v>ACTIVE</v>
      </c>
      <c r="Z15" s="9">
        <v>46418</v>
      </c>
      <c r="AA15" s="34">
        <v>1251.3399999999999</v>
      </c>
      <c r="AB15" s="35" t="s">
        <v>141</v>
      </c>
    </row>
    <row r="16" spans="1:28" ht="15.75" customHeight="1" x14ac:dyDescent="0.35">
      <c r="A16" s="46" t="s">
        <v>142</v>
      </c>
      <c r="B16" s="46" t="s">
        <v>139</v>
      </c>
      <c r="C16" s="46" t="s">
        <v>143</v>
      </c>
      <c r="D16" s="54" t="s">
        <v>693</v>
      </c>
      <c r="E16" s="55" t="s">
        <v>693</v>
      </c>
      <c r="F16" s="48">
        <v>152.1</v>
      </c>
      <c r="G16" s="448">
        <v>46327</v>
      </c>
      <c r="H16" s="447">
        <f t="shared" ca="1" si="0"/>
        <v>47421</v>
      </c>
      <c r="I16" s="57">
        <v>3</v>
      </c>
      <c r="J16" s="58">
        <v>1090</v>
      </c>
      <c r="K16" s="50">
        <f t="shared" ca="1" si="1"/>
        <v>165789</v>
      </c>
      <c r="L16" s="50">
        <v>-29842.02</v>
      </c>
      <c r="M16" s="58"/>
      <c r="N16" s="50">
        <f t="shared" ca="1" si="2"/>
        <v>135946.98000000001</v>
      </c>
      <c r="O16" s="46">
        <v>0</v>
      </c>
      <c r="P16" s="36" t="s">
        <v>122</v>
      </c>
      <c r="Q16" s="56">
        <v>46692</v>
      </c>
      <c r="R16" s="36" t="s">
        <v>93</v>
      </c>
      <c r="S16" s="50">
        <f>IFERROR(INDEX('Market Rents 26-27'!E:E,MATCH(C16,'Market Rents 26-27'!$A:$A,0)),0)</f>
        <v>1030</v>
      </c>
      <c r="T16" s="50">
        <f t="shared" si="3"/>
        <v>60</v>
      </c>
      <c r="U16" s="51">
        <f t="shared" si="7"/>
        <v>5.8252427184466021E-2</v>
      </c>
      <c r="V16" s="52">
        <f t="shared" ca="1" si="4"/>
        <v>3.0390143737166326</v>
      </c>
      <c r="W16" s="48">
        <f t="shared" ca="1" si="5"/>
        <v>462.23408624229978</v>
      </c>
      <c r="X16" s="53"/>
      <c r="Y16" s="33" t="str">
        <f t="shared" ca="1" si="6"/>
        <v>ACTIVE</v>
      </c>
      <c r="Z16" s="56">
        <v>47421</v>
      </c>
      <c r="AA16" s="34">
        <v>756.36</v>
      </c>
      <c r="AB16" s="450" t="s">
        <v>693</v>
      </c>
    </row>
    <row r="17" spans="1:28" ht="15.75" customHeight="1" x14ac:dyDescent="0.35">
      <c r="A17" s="11" t="s">
        <v>144</v>
      </c>
      <c r="B17" s="11" t="s">
        <v>145</v>
      </c>
      <c r="C17" s="11" t="s">
        <v>146</v>
      </c>
      <c r="D17" s="26" t="str">
        <f ca="1">IF(Y17="EXPIRED","VACANT","PINPOINT TALENT PTY LTD")</f>
        <v>PINPOINT TALENT PTY LTD</v>
      </c>
      <c r="E17" s="14" t="str">
        <f ca="1">IF(Y17="EXPIRED","","PINPOINT TALENT PTY LTD")</f>
        <v>PINPOINT TALENT PTY LTD</v>
      </c>
      <c r="F17" s="27">
        <v>210.5</v>
      </c>
      <c r="G17" s="445">
        <f ca="1">IF(Y17="EXPIRED","",DATE(2023,8,7))</f>
        <v>45145</v>
      </c>
      <c r="H17" s="445">
        <f t="shared" ca="1" si="0"/>
        <v>46605</v>
      </c>
      <c r="I17" s="29">
        <f ca="1">IF(Y17="EXPIRED","",4)</f>
        <v>4</v>
      </c>
      <c r="J17" s="30">
        <f ca="1">IF(Y17="EXPIRED",0,1173.54)</f>
        <v>1173.54</v>
      </c>
      <c r="K17" s="30">
        <f t="shared" ca="1" si="1"/>
        <v>247030.16999999998</v>
      </c>
      <c r="L17" s="30">
        <v>-68517.72</v>
      </c>
      <c r="M17" s="30">
        <v>13800</v>
      </c>
      <c r="N17" s="30">
        <f t="shared" ca="1" si="2"/>
        <v>178512.44999999998</v>
      </c>
      <c r="O17" s="11">
        <v>0</v>
      </c>
      <c r="P17" s="11" t="s">
        <v>118</v>
      </c>
      <c r="Q17" s="28">
        <v>46606</v>
      </c>
      <c r="R17" s="11" t="s">
        <v>93</v>
      </c>
      <c r="S17" s="30">
        <f>IFERROR(INDEX('Market Rents 26-27'!E:E,MATCH(C17,'Market Rents 26-27'!$A:$A,0)),0)</f>
        <v>1175</v>
      </c>
      <c r="T17" s="30">
        <f t="shared" ca="1" si="3"/>
        <v>-1.4600000000000364</v>
      </c>
      <c r="U17" s="31">
        <f t="shared" ca="1" si="7"/>
        <v>-1.2425531914893927E-3</v>
      </c>
      <c r="V17" s="32">
        <f t="shared" ca="1" si="4"/>
        <v>0.80492813141683783</v>
      </c>
      <c r="W17" s="27">
        <f t="shared" ca="1" si="5"/>
        <v>169.43737166324436</v>
      </c>
      <c r="X17" s="10"/>
      <c r="Y17" s="33" t="str">
        <f t="shared" ca="1" si="6"/>
        <v>ACTIVE</v>
      </c>
      <c r="Z17" s="9">
        <v>46605</v>
      </c>
      <c r="AA17" s="34">
        <v>1173.54</v>
      </c>
      <c r="AB17" s="35" t="s">
        <v>147</v>
      </c>
    </row>
    <row r="18" spans="1:28" ht="15.75" customHeight="1" x14ac:dyDescent="0.35">
      <c r="A18" s="36" t="s">
        <v>148</v>
      </c>
      <c r="B18" s="36" t="s">
        <v>145</v>
      </c>
      <c r="C18" s="36" t="s">
        <v>149</v>
      </c>
      <c r="D18" s="37" t="str">
        <f ca="1">IF(Y18="EXPIRED","VACANT","SATELLITE OFFICE PTY LTD")</f>
        <v>SATELLITE OFFICE PTY LTD</v>
      </c>
      <c r="E18" s="38" t="str">
        <f ca="1">IF(Y18="EXPIRED","","SATELLITE OFFICE PTY LTD")</f>
        <v>SATELLITE OFFICE PTY LTD</v>
      </c>
      <c r="F18" s="39">
        <v>163.9</v>
      </c>
      <c r="G18" s="446">
        <f ca="1">IF(Y18="EXPIRED","",DATE(2024,6,1))</f>
        <v>45444</v>
      </c>
      <c r="H18" s="446">
        <f t="shared" ca="1" si="0"/>
        <v>46904</v>
      </c>
      <c r="I18" s="41">
        <f ca="1">IF(Y18="EXPIRED","",4)</f>
        <v>4</v>
      </c>
      <c r="J18" s="42">
        <v>1054.8800000000001</v>
      </c>
      <c r="K18" s="42">
        <f t="shared" ca="1" si="1"/>
        <v>172894.83200000002</v>
      </c>
      <c r="L18" s="42">
        <v>-40261.56</v>
      </c>
      <c r="M18" s="42">
        <v>7020</v>
      </c>
      <c r="N18" s="42">
        <f t="shared" ca="1" si="2"/>
        <v>132633.27200000003</v>
      </c>
      <c r="O18" s="36">
        <v>0</v>
      </c>
      <c r="P18" s="36" t="s">
        <v>122</v>
      </c>
      <c r="Q18" s="40">
        <v>46539</v>
      </c>
      <c r="R18" s="36" t="s">
        <v>93</v>
      </c>
      <c r="S18" s="42">
        <f>IFERROR(INDEX('Market Rents 26-27'!E:E,MATCH(C18,'Market Rents 26-27'!$A:$A,0)),0)</f>
        <v>1040</v>
      </c>
      <c r="T18" s="42">
        <f t="shared" si="3"/>
        <v>14.880000000000109</v>
      </c>
      <c r="U18" s="43">
        <f t="shared" si="7"/>
        <v>1.4307692307692412E-2</v>
      </c>
      <c r="V18" s="44">
        <f t="shared" ca="1" si="4"/>
        <v>1.623545516769336</v>
      </c>
      <c r="W18" s="39">
        <f t="shared" ca="1" si="5"/>
        <v>266.0991101984942</v>
      </c>
      <c r="X18" s="45"/>
      <c r="Y18" s="33" t="str">
        <f t="shared" ca="1" si="6"/>
        <v>ACTIVE</v>
      </c>
      <c r="Z18" s="9">
        <v>46904</v>
      </c>
      <c r="AA18" s="34">
        <v>1054.8800000000001</v>
      </c>
      <c r="AB18" s="35" t="s">
        <v>150</v>
      </c>
    </row>
    <row r="19" spans="1:28" ht="15.75" customHeight="1" x14ac:dyDescent="0.35">
      <c r="A19" s="11" t="s">
        <v>151</v>
      </c>
      <c r="B19" s="11" t="s">
        <v>152</v>
      </c>
      <c r="C19" s="11" t="s">
        <v>153</v>
      </c>
      <c r="D19" s="26" t="str">
        <f ca="1">IF(Y19="EXPIRED","VACANT","ARKANCE AUSTRALIA PTY LTD")</f>
        <v>ARKANCE AUSTRALIA PTY LTD</v>
      </c>
      <c r="E19" s="14" t="str">
        <f ca="1">IF(Y19="EXPIRED","","ARKANCE AUSTRALIA PTY LTD")</f>
        <v>ARKANCE AUSTRALIA PTY LTD</v>
      </c>
      <c r="F19" s="27">
        <v>222</v>
      </c>
      <c r="G19" s="445">
        <f ca="1">IF(Y19="EXPIRED","",DATE(2025,10,1))</f>
        <v>45931</v>
      </c>
      <c r="H19" s="445">
        <f t="shared" ca="1" si="0"/>
        <v>47756</v>
      </c>
      <c r="I19" s="29">
        <f ca="1">IF(Y19="EXPIRED","",5)</f>
        <v>5</v>
      </c>
      <c r="J19" s="30">
        <f ca="1">IF(Y19="EXPIRED",0,1300)</f>
        <v>1300</v>
      </c>
      <c r="K19" s="30">
        <f t="shared" ca="1" si="1"/>
        <v>288600</v>
      </c>
      <c r="L19" s="30">
        <v>-46176</v>
      </c>
      <c r="M19" s="30">
        <v>1500</v>
      </c>
      <c r="N19" s="30">
        <f t="shared" ca="1" si="2"/>
        <v>242424</v>
      </c>
      <c r="O19" s="11">
        <v>0</v>
      </c>
      <c r="P19" s="11" t="s">
        <v>122</v>
      </c>
      <c r="Q19" s="28">
        <v>46296</v>
      </c>
      <c r="R19" s="11" t="s">
        <v>93</v>
      </c>
      <c r="S19" s="30">
        <f>IFERROR(INDEX('Market Rents 26-27'!E:E,MATCH(C19,'Market Rents 26-27'!$A:$A,0)),0)</f>
        <v>1300</v>
      </c>
      <c r="T19" s="30">
        <f t="shared" ca="1" si="3"/>
        <v>0</v>
      </c>
      <c r="U19" s="31">
        <f t="shared" ca="1" si="7"/>
        <v>0</v>
      </c>
      <c r="V19" s="32">
        <f t="shared" ca="1" si="4"/>
        <v>3.9561943874058865</v>
      </c>
      <c r="W19" s="27">
        <f t="shared" ca="1" si="5"/>
        <v>878.27515400410675</v>
      </c>
      <c r="X19" s="10"/>
      <c r="Y19" s="33" t="str">
        <f t="shared" ca="1" si="6"/>
        <v>ACTIVE</v>
      </c>
      <c r="Z19" s="9">
        <v>47756</v>
      </c>
      <c r="AA19" s="34">
        <v>1300</v>
      </c>
      <c r="AB19" s="35" t="s">
        <v>154</v>
      </c>
    </row>
    <row r="20" spans="1:28" ht="15.75" customHeight="1" x14ac:dyDescent="0.35">
      <c r="A20" s="36" t="s">
        <v>155</v>
      </c>
      <c r="B20" s="36" t="s">
        <v>152</v>
      </c>
      <c r="C20" s="36" t="s">
        <v>156</v>
      </c>
      <c r="D20" s="37" t="str">
        <f ca="1">IF(Y20="EXPIRED","VACANT","HILLIARD &amp; BERRY")</f>
        <v>HILLIARD &amp; BERRY</v>
      </c>
      <c r="E20" s="38" t="str">
        <f ca="1">IF(Y20="EXPIRED","","HILLIARD &amp; BERRY")</f>
        <v>HILLIARD &amp; BERRY</v>
      </c>
      <c r="F20" s="39">
        <v>138.5</v>
      </c>
      <c r="G20" s="446">
        <f ca="1">IF(Y20="EXPIRED","",DATE(2014,1,15))</f>
        <v>41654</v>
      </c>
      <c r="H20" s="446">
        <f t="shared" ca="1" si="0"/>
        <v>46965</v>
      </c>
      <c r="I20" s="41">
        <f ca="1">IF(Y20="EXPIRED","",14.6)</f>
        <v>14.6</v>
      </c>
      <c r="J20" s="42">
        <f ca="1">IF(Y20="EXPIRED",0,843.65)</f>
        <v>843.65</v>
      </c>
      <c r="K20" s="42">
        <f t="shared" ca="1" si="1"/>
        <v>116845.52499999999</v>
      </c>
      <c r="L20" s="42">
        <v>0</v>
      </c>
      <c r="M20" s="42">
        <v>12240</v>
      </c>
      <c r="N20" s="42">
        <f t="shared" ca="1" si="2"/>
        <v>116845.52499999999</v>
      </c>
      <c r="O20" s="36">
        <v>0</v>
      </c>
      <c r="P20" s="36" t="s">
        <v>92</v>
      </c>
      <c r="Q20" s="40">
        <v>46600</v>
      </c>
      <c r="R20" s="36" t="s">
        <v>93</v>
      </c>
      <c r="S20" s="42">
        <f>IFERROR(INDEX('Market Rents 26-27'!E:E,MATCH(C20,'Market Rents 26-27'!$A:$A,0)),0)</f>
        <v>1030</v>
      </c>
      <c r="T20" s="42">
        <f t="shared" ca="1" si="3"/>
        <v>-186.35000000000002</v>
      </c>
      <c r="U20" s="43">
        <f t="shared" ca="1" si="7"/>
        <v>-0.18092233009708741</v>
      </c>
      <c r="V20" s="44">
        <f t="shared" ca="1" si="4"/>
        <v>1.7905544147843941</v>
      </c>
      <c r="W20" s="39">
        <f t="shared" ca="1" si="5"/>
        <v>247.99178644763859</v>
      </c>
      <c r="X20" s="45"/>
      <c r="Y20" s="33" t="str">
        <f t="shared" ca="1" si="6"/>
        <v>ACTIVE</v>
      </c>
      <c r="Z20" s="9">
        <v>46965</v>
      </c>
      <c r="AA20" s="34">
        <v>843.65</v>
      </c>
      <c r="AB20" s="35" t="s">
        <v>157</v>
      </c>
    </row>
    <row r="21" spans="1:28" ht="15.75" customHeight="1" x14ac:dyDescent="0.35">
      <c r="A21" s="11" t="s">
        <v>158</v>
      </c>
      <c r="B21" s="11" t="s">
        <v>159</v>
      </c>
      <c r="C21" s="11" t="s">
        <v>160</v>
      </c>
      <c r="D21" s="26" t="str">
        <f ca="1">IF(Y21="EXPIRED","VACANT","AITKEN INVESTMENT MANAGEMENT PTY LTD")</f>
        <v>AITKEN INVESTMENT MANAGEMENT PTY LTD</v>
      </c>
      <c r="E21" s="14" t="str">
        <f ca="1">IF(Y21="EXPIRED","","AITKEN INVESTMENT MANAGEMENT")</f>
        <v>AITKEN INVESTMENT MANAGEMENT</v>
      </c>
      <c r="F21" s="27">
        <v>52.8</v>
      </c>
      <c r="G21" s="445">
        <f ca="1">IF(Y21="EXPIRED","",DATE(2025,6,15))</f>
        <v>45823</v>
      </c>
      <c r="H21" s="445">
        <f t="shared" ca="1" si="0"/>
        <v>46918</v>
      </c>
      <c r="I21" s="29">
        <f ca="1">IF(Y21="EXPIRED","",3)</f>
        <v>3</v>
      </c>
      <c r="J21" s="30">
        <v>1338.88</v>
      </c>
      <c r="K21" s="30">
        <f t="shared" ca="1" si="1"/>
        <v>70692.864000000001</v>
      </c>
      <c r="L21" s="30">
        <v>-16394.400000000001</v>
      </c>
      <c r="M21" s="30">
        <v>3780</v>
      </c>
      <c r="N21" s="30">
        <f t="shared" ca="1" si="2"/>
        <v>54298.464</v>
      </c>
      <c r="O21" s="11">
        <v>0</v>
      </c>
      <c r="P21" s="11" t="s">
        <v>92</v>
      </c>
      <c r="Q21" s="28">
        <v>46918</v>
      </c>
      <c r="R21" s="11" t="s">
        <v>93</v>
      </c>
      <c r="S21" s="30">
        <f>IFERROR(INDEX('Market Rents 26-27'!E:E,MATCH(C21,'Market Rents 26-27'!$A:$A,0)),0)</f>
        <v>1350</v>
      </c>
      <c r="T21" s="30">
        <f t="shared" si="3"/>
        <v>-11.119999999999891</v>
      </c>
      <c r="U21" s="31">
        <f t="shared" si="7"/>
        <v>-8.237037037036956E-3</v>
      </c>
      <c r="V21" s="32">
        <f t="shared" ca="1" si="4"/>
        <v>1.6618754277891854</v>
      </c>
      <c r="W21" s="27">
        <f t="shared" ca="1" si="5"/>
        <v>87.747022587268987</v>
      </c>
      <c r="X21" s="10"/>
      <c r="Y21" s="33" t="str">
        <f t="shared" ca="1" si="6"/>
        <v>ACTIVE</v>
      </c>
      <c r="Z21" s="59">
        <v>46918</v>
      </c>
      <c r="AA21" s="34">
        <v>1338.88</v>
      </c>
      <c r="AB21" s="35" t="s">
        <v>161</v>
      </c>
    </row>
    <row r="22" spans="1:28" ht="15.75" customHeight="1" x14ac:dyDescent="0.35">
      <c r="A22" s="36" t="s">
        <v>162</v>
      </c>
      <c r="B22" s="36" t="s">
        <v>159</v>
      </c>
      <c r="C22" s="36" t="s">
        <v>163</v>
      </c>
      <c r="D22" s="37" t="str">
        <f ca="1">IF(Y22="EXPIRED","VACANT","CAPITAL E MARKETING AND EVENTS PTY LTD")</f>
        <v>CAPITAL E MARKETING AND EVENTS PTY LTD</v>
      </c>
      <c r="E22" s="38" t="str">
        <f ca="1">IF(Y22="EXPIRED","","CAPITAL E MARKETING AND EVENTS")</f>
        <v>CAPITAL E MARKETING AND EVENTS</v>
      </c>
      <c r="F22" s="39">
        <v>303</v>
      </c>
      <c r="G22" s="446">
        <f ca="1">IF(Y22="EXPIRED","",DATE(2022,1,1))</f>
        <v>44562</v>
      </c>
      <c r="H22" s="446">
        <f t="shared" ca="1" si="0"/>
        <v>47573</v>
      </c>
      <c r="I22" s="41">
        <f ca="1">IF(Y22="EXPIRED","",8.2)</f>
        <v>8.1999999999999993</v>
      </c>
      <c r="J22" s="42">
        <f ca="1">IF(Y22="EXPIRED",0,1141.25)</f>
        <v>1141.25</v>
      </c>
      <c r="K22" s="42">
        <f t="shared" ca="1" si="1"/>
        <v>345798.75</v>
      </c>
      <c r="L22" s="42">
        <v>-90475.68</v>
      </c>
      <c r="M22" s="42">
        <v>9300</v>
      </c>
      <c r="N22" s="42">
        <f t="shared" ca="1" si="2"/>
        <v>255323.07</v>
      </c>
      <c r="O22" s="36">
        <v>0</v>
      </c>
      <c r="P22" s="36" t="s">
        <v>122</v>
      </c>
      <c r="Q22" s="40">
        <v>46478</v>
      </c>
      <c r="R22" s="36" t="s">
        <v>93</v>
      </c>
      <c r="S22" s="42">
        <f>IFERROR(INDEX('Market Rents 26-27'!E:E,MATCH(C22,'Market Rents 26-27'!$A:$A,0)),0)</f>
        <v>1125</v>
      </c>
      <c r="T22" s="42">
        <f t="shared" ca="1" si="3"/>
        <v>16.25</v>
      </c>
      <c r="U22" s="43">
        <f t="shared" ca="1" si="7"/>
        <v>1.4444444444444444E-2</v>
      </c>
      <c r="V22" s="44">
        <f t="shared" ca="1" si="4"/>
        <v>3.4551676933607118</v>
      </c>
      <c r="W22" s="39">
        <f t="shared" ca="1" si="5"/>
        <v>1046.9158110882956</v>
      </c>
      <c r="X22" s="45"/>
      <c r="Y22" s="33" t="str">
        <f t="shared" ca="1" si="6"/>
        <v>ACTIVE</v>
      </c>
      <c r="Z22" s="9">
        <v>47573</v>
      </c>
      <c r="AA22" s="34">
        <v>1141.25</v>
      </c>
      <c r="AB22" s="35" t="s">
        <v>164</v>
      </c>
    </row>
    <row r="23" spans="1:28" ht="15.75" customHeight="1" x14ac:dyDescent="0.35">
      <c r="A23" s="11" t="s">
        <v>165</v>
      </c>
      <c r="B23" s="11" t="s">
        <v>166</v>
      </c>
      <c r="C23" s="11" t="s">
        <v>167</v>
      </c>
      <c r="D23" s="26" t="str">
        <f ca="1">IF(Y23="EXPIRED","VACANT","CONNECTUS SERVICES PTY LTD")</f>
        <v>CONNECTUS SERVICES PTY LTD</v>
      </c>
      <c r="E23" s="14" t="str">
        <f ca="1">IF(Y23="EXPIRED","","CONNECTUS")</f>
        <v>CONNECTUS</v>
      </c>
      <c r="F23" s="27">
        <v>363.2</v>
      </c>
      <c r="G23" s="445">
        <f ca="1">IF(Y23="EXPIRED","",DATE(2023,12,1))</f>
        <v>45261</v>
      </c>
      <c r="H23" s="445">
        <f t="shared" ca="1" si="0"/>
        <v>47452</v>
      </c>
      <c r="I23" s="29">
        <f ca="1">IF(Y23="EXPIRED","",6)</f>
        <v>6</v>
      </c>
      <c r="J23" s="30">
        <f ca="1">IF(Y23="EXPIRED",0,1189.67)</f>
        <v>1189.67</v>
      </c>
      <c r="K23" s="30">
        <f t="shared" ca="1" si="1"/>
        <v>432088.14400000003</v>
      </c>
      <c r="L23" s="30">
        <v>-114537.96</v>
      </c>
      <c r="M23" s="30">
        <v>15000</v>
      </c>
      <c r="N23" s="30">
        <f t="shared" ca="1" si="2"/>
        <v>317550.18400000001</v>
      </c>
      <c r="O23" s="11">
        <v>0</v>
      </c>
      <c r="P23" s="11" t="s">
        <v>168</v>
      </c>
      <c r="Q23" s="28">
        <v>46357</v>
      </c>
      <c r="R23" s="11" t="s">
        <v>93</v>
      </c>
      <c r="S23" s="30">
        <f>IFERROR(INDEX('Market Rents 26-27'!E:E,MATCH(C23,'Market Rents 26-27'!$A:$A,0)),0)</f>
        <v>1200</v>
      </c>
      <c r="T23" s="30">
        <f t="shared" ca="1" si="3"/>
        <v>-10.329999999999927</v>
      </c>
      <c r="U23" s="31">
        <f t="shared" ca="1" si="7"/>
        <v>-8.6083333333332734E-3</v>
      </c>
      <c r="V23" s="32">
        <f t="shared" ca="1" si="4"/>
        <v>3.1238877481177276</v>
      </c>
      <c r="W23" s="27">
        <f t="shared" ca="1" si="5"/>
        <v>1134.5960301163586</v>
      </c>
      <c r="X23" s="10"/>
      <c r="Y23" s="33" t="str">
        <f t="shared" ca="1" si="6"/>
        <v>ACTIVE</v>
      </c>
      <c r="Z23" s="9">
        <v>47452</v>
      </c>
      <c r="AA23" s="34">
        <v>1189.67</v>
      </c>
      <c r="AB23" s="35" t="s">
        <v>169</v>
      </c>
    </row>
    <row r="24" spans="1:28" ht="15.75" customHeight="1" x14ac:dyDescent="0.35">
      <c r="A24" s="46" t="s">
        <v>170</v>
      </c>
      <c r="B24" s="46" t="s">
        <v>171</v>
      </c>
      <c r="C24" s="46" t="s">
        <v>172</v>
      </c>
      <c r="D24" s="47" t="str">
        <f ca="1">IF(Y24="EXPIRED","VACANT","MICHAEL FLEGG PTY LTD")</f>
        <v>MICHAEL FLEGG PTY LTD</v>
      </c>
      <c r="E24" s="20" t="str">
        <f ca="1">IF(Y24="EXPIRED","","MICHAEL FLEGG PTY LTD")</f>
        <v>MICHAEL FLEGG PTY LTD</v>
      </c>
      <c r="F24" s="48">
        <v>62.4</v>
      </c>
      <c r="G24" s="447">
        <f ca="1">IF(Y24="EXPIRED","",DATE(2021,12,1))</f>
        <v>44531</v>
      </c>
      <c r="H24" s="447">
        <f t="shared" ca="1" si="0"/>
        <v>46356</v>
      </c>
      <c r="I24" s="49">
        <f ca="1">IF(Y24="EXPIRED","",5)</f>
        <v>5</v>
      </c>
      <c r="J24" s="50">
        <f ca="1">IF(Y24="EXPIRED",0,1368.73)</f>
        <v>1368.73</v>
      </c>
      <c r="K24" s="50">
        <f t="shared" ca="1" si="1"/>
        <v>85408.751999999993</v>
      </c>
      <c r="L24" s="50">
        <v>0</v>
      </c>
      <c r="M24" s="50">
        <v>4200</v>
      </c>
      <c r="N24" s="50">
        <f t="shared" ca="1" si="2"/>
        <v>85408.751999999993</v>
      </c>
      <c r="O24" s="46">
        <v>0</v>
      </c>
      <c r="P24" s="46" t="s">
        <v>118</v>
      </c>
      <c r="Q24" s="9">
        <v>46357</v>
      </c>
      <c r="R24" s="46" t="s">
        <v>93</v>
      </c>
      <c r="S24" s="50">
        <f>IFERROR(INDEX('Market Rents 26-27'!E:E,MATCH(C24,'Market Rents 26-27'!$A:$A,0)),0)</f>
        <v>1405</v>
      </c>
      <c r="T24" s="50">
        <f t="shared" ca="1" si="3"/>
        <v>-36.269999999999982</v>
      </c>
      <c r="U24" s="51">
        <f t="shared" ca="1" si="7"/>
        <v>-2.5814946619217068E-2</v>
      </c>
      <c r="V24" s="52">
        <f t="shared" ca="1" si="4"/>
        <v>0.12320328542094455</v>
      </c>
      <c r="W24" s="48">
        <f t="shared" ca="1" si="5"/>
        <v>7.6878850102669398</v>
      </c>
      <c r="X24" s="53"/>
      <c r="Y24" s="33" t="str">
        <f t="shared" ca="1" si="6"/>
        <v>ACTIVE</v>
      </c>
      <c r="Z24" s="9">
        <v>46356</v>
      </c>
      <c r="AA24" s="34">
        <v>1368.73</v>
      </c>
      <c r="AB24" s="35" t="s">
        <v>173</v>
      </c>
    </row>
    <row r="25" spans="1:28" ht="15.75" customHeight="1" x14ac:dyDescent="0.35">
      <c r="A25" s="46" t="s">
        <v>174</v>
      </c>
      <c r="B25" s="46" t="s">
        <v>171</v>
      </c>
      <c r="C25" s="46" t="s">
        <v>175</v>
      </c>
      <c r="D25" s="47" t="str">
        <f ca="1">IF(Y25="EXPIRED","VACANT","LEWIS WOOLCOTT")</f>
        <v>LEWIS WOOLCOTT</v>
      </c>
      <c r="E25" s="20" t="str">
        <f ca="1">IF(Y25="EXPIRED","","LEWIS WOOLCOTT")</f>
        <v>LEWIS WOOLCOTT</v>
      </c>
      <c r="F25" s="48">
        <v>133.1</v>
      </c>
      <c r="G25" s="447">
        <f ca="1">IF(Y25="EXPIRED","",DATE(2026,8,15))</f>
        <v>46249</v>
      </c>
      <c r="H25" s="447">
        <f t="shared" ca="1" si="0"/>
        <v>46979</v>
      </c>
      <c r="I25" s="49">
        <f ca="1">IF(Y25="EXPIRED","",2)</f>
        <v>2</v>
      </c>
      <c r="J25" s="50">
        <f ca="1">IF(Y25="EXPIRED",0,1271.1)</f>
        <v>1271.0999999999999</v>
      </c>
      <c r="K25" s="50">
        <f t="shared" ca="1" si="1"/>
        <v>169183.40999999997</v>
      </c>
      <c r="L25" s="50">
        <v>-30453.01</v>
      </c>
      <c r="M25" s="50">
        <v>5820</v>
      </c>
      <c r="N25" s="50">
        <f t="shared" ca="1" si="2"/>
        <v>138730.39999999997</v>
      </c>
      <c r="O25" s="46">
        <v>0</v>
      </c>
      <c r="P25" s="46" t="s">
        <v>104</v>
      </c>
      <c r="Q25" s="9">
        <v>46614</v>
      </c>
      <c r="R25" s="46" t="s">
        <v>93</v>
      </c>
      <c r="S25" s="50">
        <f>IFERROR(INDEX('Market Rents 26-27'!E:E,MATCH(C25,'Market Rents 26-27'!$A:$A,0)),0)</f>
        <v>1250</v>
      </c>
      <c r="T25" s="50">
        <f t="shared" ca="1" si="3"/>
        <v>21.099999999999909</v>
      </c>
      <c r="U25" s="51">
        <f t="shared" ca="1" si="7"/>
        <v>1.6879999999999926E-2</v>
      </c>
      <c r="V25" s="52">
        <f t="shared" ca="1" si="4"/>
        <v>1.8288843258042438</v>
      </c>
      <c r="W25" s="48">
        <f t="shared" ca="1" si="5"/>
        <v>243.42450376454482</v>
      </c>
      <c r="X25" s="46" t="s">
        <v>176</v>
      </c>
      <c r="Y25" s="33" t="str">
        <f t="shared" ca="1" si="6"/>
        <v>ACTIVE</v>
      </c>
      <c r="Z25" s="9">
        <v>46979</v>
      </c>
      <c r="AA25" s="34">
        <v>1271.0999999999999</v>
      </c>
      <c r="AB25" s="35" t="s">
        <v>177</v>
      </c>
    </row>
    <row r="26" spans="1:28" ht="15.75" customHeight="1" x14ac:dyDescent="0.35">
      <c r="A26" s="60" t="s">
        <v>178</v>
      </c>
      <c r="B26" s="60" t="s">
        <v>179</v>
      </c>
      <c r="C26" s="60" t="s">
        <v>179</v>
      </c>
      <c r="D26" s="54" t="str">
        <f ca="1">IF(Y26="EXPIRED","VACANT","DAKOTA CORPORATION")</f>
        <v>DAKOTA CORPORATION</v>
      </c>
      <c r="E26" s="61" t="str">
        <f ca="1">IF(Y26="EXPIRED","","OWNER OCCUPIED")</f>
        <v>OWNER OCCUPIED</v>
      </c>
      <c r="F26" s="62">
        <v>223.7</v>
      </c>
      <c r="G26" s="449">
        <f ca="1">IF(Y26="EXPIRED","",DATE(2017,1,1))</f>
        <v>42736</v>
      </c>
      <c r="H26" s="449">
        <f t="shared" ca="1" si="0"/>
        <v>47118</v>
      </c>
      <c r="I26" s="64">
        <f ca="1">IF(Y26="EXPIRED","",7)</f>
        <v>7</v>
      </c>
      <c r="J26" s="65">
        <v>0</v>
      </c>
      <c r="K26" s="65">
        <f t="shared" ca="1" si="1"/>
        <v>0</v>
      </c>
      <c r="L26" s="65">
        <v>0</v>
      </c>
      <c r="M26" s="65">
        <v>0</v>
      </c>
      <c r="N26" s="65">
        <f t="shared" ca="1" si="2"/>
        <v>0</v>
      </c>
      <c r="O26" s="60">
        <v>2</v>
      </c>
      <c r="P26" s="60" t="s">
        <v>180</v>
      </c>
      <c r="Q26" s="63">
        <v>45291</v>
      </c>
      <c r="R26" s="60" t="s">
        <v>181</v>
      </c>
      <c r="S26" s="65">
        <f>IFERROR(INDEX('Market Rents 26-27'!E:E,MATCH(C26,'Market Rents 26-27'!$A:$A,0)),0)</f>
        <v>384</v>
      </c>
      <c r="T26" s="65" t="str">
        <f t="shared" si="3"/>
        <v/>
      </c>
      <c r="U26" s="66" t="str">
        <f t="shared" si="7"/>
        <v/>
      </c>
      <c r="V26" s="67">
        <f t="shared" ca="1" si="4"/>
        <v>2.2094455852156059</v>
      </c>
      <c r="W26" s="62">
        <f t="shared" ca="1" si="5"/>
        <v>494.25297741273101</v>
      </c>
      <c r="X26" s="68"/>
      <c r="Y26" s="33" t="str">
        <f t="shared" ca="1" si="6"/>
        <v>ACTIVE</v>
      </c>
      <c r="Z26" s="59">
        <v>47118</v>
      </c>
      <c r="AA26" s="34">
        <v>0</v>
      </c>
      <c r="AB26" s="35" t="s">
        <v>182</v>
      </c>
    </row>
    <row r="27" spans="1:28" ht="15.75" customHeight="1" x14ac:dyDescent="0.35">
      <c r="A27" s="69" t="s">
        <v>183</v>
      </c>
      <c r="B27" s="69" t="s">
        <v>171</v>
      </c>
      <c r="C27" s="69" t="s">
        <v>184</v>
      </c>
      <c r="D27" s="54" t="str">
        <f ca="1">IF(Y27="EXPIRED","VACANT","INTERFI SYSTEMS PTY LTD")</f>
        <v>INTERFI SYSTEMS PTY LTD</v>
      </c>
      <c r="E27" s="61" t="str">
        <f ca="1">IF(Y27="EXPIRED","","INTERFI SYSTEMS")</f>
        <v>INTERFI SYSTEMS</v>
      </c>
      <c r="F27" s="70">
        <v>160.30000000000001</v>
      </c>
      <c r="G27" s="449">
        <f ca="1">IF(Y27="EXPIRED","",DATE(2026,7,15))</f>
        <v>46218</v>
      </c>
      <c r="H27" s="449">
        <f t="shared" ca="1" si="0"/>
        <v>47313</v>
      </c>
      <c r="I27" s="60">
        <f ca="1">IF(Y27="EXPIRED","",3)</f>
        <v>3</v>
      </c>
      <c r="J27" s="65">
        <f ca="1">IF(Y27="EXPIRED",0,1150)</f>
        <v>1150</v>
      </c>
      <c r="K27" s="65">
        <f t="shared" ca="1" si="1"/>
        <v>184345</v>
      </c>
      <c r="L27" s="69">
        <v>-55303.5</v>
      </c>
      <c r="M27" s="71">
        <v>0</v>
      </c>
      <c r="N27" s="65">
        <f t="shared" ca="1" si="2"/>
        <v>129041.5</v>
      </c>
      <c r="O27" s="71">
        <v>0</v>
      </c>
      <c r="P27" s="69" t="s">
        <v>104</v>
      </c>
      <c r="Q27" s="63">
        <v>46583</v>
      </c>
      <c r="R27" s="69" t="s">
        <v>93</v>
      </c>
      <c r="S27" s="65">
        <f>IFERROR(INDEX('Market Rents 26-27'!E:E,MATCH(C27,'Market Rents 26-27'!$A:$A,0)),0)</f>
        <v>1060</v>
      </c>
      <c r="T27" s="65">
        <f t="shared" ca="1" si="3"/>
        <v>90</v>
      </c>
      <c r="U27" s="66">
        <f t="shared" ca="1" si="7"/>
        <v>8.4905660377358486E-2</v>
      </c>
      <c r="V27" s="67">
        <f t="shared" ca="1" si="4"/>
        <v>2.7433264887063653</v>
      </c>
      <c r="W27" s="62">
        <f t="shared" ca="1" si="5"/>
        <v>439.75523613963037</v>
      </c>
      <c r="X27" s="69" t="s">
        <v>185</v>
      </c>
      <c r="Y27" s="69" t="str">
        <f t="shared" ca="1" si="6"/>
        <v>ACTIVE</v>
      </c>
      <c r="Z27" s="9">
        <v>47313</v>
      </c>
      <c r="AA27" s="34">
        <v>1150</v>
      </c>
      <c r="AB27" s="35" t="s">
        <v>186</v>
      </c>
    </row>
    <row r="28" spans="1:28" ht="19.5" customHeight="1" x14ac:dyDescent="0.35">
      <c r="A28" s="348" t="s">
        <v>187</v>
      </c>
      <c r="B28" s="348"/>
      <c r="C28" s="348"/>
      <c r="D28" s="348"/>
      <c r="E28" s="348"/>
      <c r="F28" s="73">
        <f>SUM(F3:F27)</f>
        <v>4704.5</v>
      </c>
      <c r="G28" s="72"/>
      <c r="H28" s="72"/>
      <c r="I28" s="72"/>
      <c r="J28" s="72"/>
      <c r="K28" s="74">
        <f ca="1">SUM(K3:K27)</f>
        <v>4907584.0530000003</v>
      </c>
      <c r="L28" s="74">
        <f>SUM(L3:L27)</f>
        <v>-873919.45000000019</v>
      </c>
      <c r="M28" s="74">
        <f>SUM(M3:M27)</f>
        <v>187288.32000000001</v>
      </c>
      <c r="N28" s="74">
        <f ca="1">SUM(N3:N27)</f>
        <v>4033664.6029999997</v>
      </c>
      <c r="O28" s="72"/>
      <c r="P28" s="72"/>
      <c r="Q28" s="72"/>
      <c r="R28" s="72"/>
      <c r="S28" s="72"/>
      <c r="T28" s="72"/>
      <c r="U28" s="72"/>
      <c r="V28" s="75">
        <f ca="1">IFERROR(SUMPRODUCT(('Input Data'!K3:K27&gt;0)*'Input Data'!F3:F27*MAX(('Input Data'!H3:H27-TODAY())/365.25,0))/SUMPRODUCT(('Input Data'!K3:K27&gt;0)*'Input Data'!F3:F27),0)</f>
        <v>0</v>
      </c>
      <c r="W28" s="73">
        <f ca="1">SUM(W3:W27)</f>
        <v>10555.323477070498</v>
      </c>
      <c r="X28" s="72"/>
      <c r="Y28" s="5"/>
      <c r="Z28" s="5"/>
      <c r="AA28" s="5"/>
      <c r="AB28" s="5"/>
    </row>
    <row r="29" spans="1:28" ht="14.25" customHeight="1" x14ac:dyDescent="0.35">
      <c r="A29" s="5"/>
      <c r="B29" s="5"/>
      <c r="C29" s="5"/>
      <c r="D29" s="5"/>
      <c r="E29" s="5"/>
      <c r="F29" s="76"/>
      <c r="G29" s="7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 customHeight="1" x14ac:dyDescent="0.35">
      <c r="A30" s="78" t="s">
        <v>188</v>
      </c>
      <c r="B30" s="79"/>
      <c r="C30" s="80" t="s">
        <v>189</v>
      </c>
      <c r="D30" s="81"/>
      <c r="E30" s="80" t="s">
        <v>190</v>
      </c>
      <c r="F30" s="1"/>
      <c r="G30" s="80" t="s">
        <v>191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 customHeight="1" x14ac:dyDescent="0.35">
      <c r="A31" s="349" t="s">
        <v>192</v>
      </c>
      <c r="B31" s="349"/>
      <c r="C31" s="349"/>
      <c r="D31" s="349"/>
      <c r="E31" s="349"/>
      <c r="F31" s="349"/>
      <c r="G31" s="349"/>
      <c r="H31" s="349"/>
      <c r="I31" s="349"/>
      <c r="J31" s="349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6" spans="14:14" x14ac:dyDescent="0.35">
      <c r="N36" s="451"/>
    </row>
  </sheetData>
  <mergeCells count="3">
    <mergeCell ref="A1:X1"/>
    <mergeCell ref="A28:E28"/>
    <mergeCell ref="A31:J31"/>
  </mergeCells>
  <pageMargins left="0.75" right="0.75" top="1" bottom="1" header="0.51180555555555596" footer="0.51180555555555596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7"/>
  <sheetViews>
    <sheetView showGridLines="0" zoomScaleNormal="100" workbookViewId="0">
      <selection activeCell="B12" sqref="B12:G12"/>
    </sheetView>
  </sheetViews>
  <sheetFormatPr defaultColWidth="8.6328125" defaultRowHeight="14.5" x14ac:dyDescent="0.35"/>
  <cols>
    <col min="1" max="1" width="1.54296875" customWidth="1"/>
    <col min="2" max="4" width="14" customWidth="1"/>
    <col min="5" max="5" width="28.08984375" customWidth="1"/>
    <col min="6" max="13" width="14" customWidth="1"/>
    <col min="14" max="14" width="1.54296875" customWidth="1"/>
  </cols>
  <sheetData>
    <row r="1" spans="1:14" ht="36" customHeight="1" x14ac:dyDescent="0.35">
      <c r="A1" s="350" t="s">
        <v>193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</row>
    <row r="2" spans="1:14" ht="18" customHeight="1" x14ac:dyDescent="0.35">
      <c r="A2" s="351" t="s">
        <v>194</v>
      </c>
      <c r="B2" s="351"/>
      <c r="C2" s="351"/>
      <c r="D2" s="351"/>
      <c r="E2" s="351"/>
      <c r="F2" s="351"/>
      <c r="G2" s="351"/>
      <c r="H2" s="351"/>
      <c r="I2" s="351"/>
      <c r="J2" s="351"/>
      <c r="K2" s="351"/>
      <c r="L2" s="351"/>
      <c r="M2" s="351"/>
      <c r="N2" s="351"/>
    </row>
    <row r="3" spans="1:14" ht="7.5" customHeight="1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19.5" customHeight="1" x14ac:dyDescent="0.35">
      <c r="A4" s="5"/>
      <c r="B4" s="352" t="s">
        <v>195</v>
      </c>
      <c r="C4" s="352"/>
      <c r="D4" s="353" t="s">
        <v>196</v>
      </c>
      <c r="E4" s="353"/>
      <c r="F4" s="354" t="s">
        <v>197</v>
      </c>
      <c r="G4" s="354"/>
      <c r="H4" s="353" t="s">
        <v>198</v>
      </c>
      <c r="I4" s="353"/>
      <c r="J4" s="355" t="s">
        <v>199</v>
      </c>
      <c r="K4" s="355"/>
      <c r="L4" s="356" t="s">
        <v>200</v>
      </c>
      <c r="M4" s="356"/>
      <c r="N4" s="5"/>
    </row>
    <row r="5" spans="1:14" ht="27.75" customHeight="1" x14ac:dyDescent="0.35">
      <c r="A5" s="5"/>
      <c r="B5" s="357">
        <f>SUM('Input Data'!F3:F27)</f>
        <v>4704.5</v>
      </c>
      <c r="C5" s="357"/>
      <c r="D5" s="358">
        <f ca="1">SUMPRODUCT(('Input Data'!D3:D27&lt;&gt;"VACANT")*'Input Data'!F3:F27)</f>
        <v>4542.1000000000004</v>
      </c>
      <c r="E5" s="358"/>
      <c r="F5" s="359">
        <f t="array" aca="1" ref="F5" ca="1">SUMPRODUCT(('Input Data'!D3:D27="VACANT")*'Input Data'!F3:F27)</f>
        <v>162.4</v>
      </c>
      <c r="G5" s="359"/>
      <c r="H5" s="360">
        <f t="array" aca="1" ref="H5" ca="1">SUMPRODUCT(('Input Data'!D3:D27&lt;&gt;"VACANT")*'Input Data'!F3:F27)/SUM('Input Data'!F3:F27)</f>
        <v>0.96547985970878958</v>
      </c>
      <c r="I5" s="360"/>
      <c r="J5" s="361">
        <f ca="1">SUMPRODUCT(('Input Data'!D3:D27="VACANT")*'Input Data'!F3:F27)/SUM('Input Data'!F3:F27)</f>
        <v>3.4520140291210547E-2</v>
      </c>
      <c r="K5" s="361"/>
      <c r="L5" s="362" t="s">
        <v>201</v>
      </c>
      <c r="M5" s="362"/>
      <c r="N5" s="5"/>
    </row>
    <row r="6" spans="1:14" ht="18" customHeight="1" x14ac:dyDescent="0.35">
      <c r="A6" s="5"/>
      <c r="B6" s="363"/>
      <c r="C6" s="363"/>
      <c r="D6" s="364"/>
      <c r="E6" s="364"/>
      <c r="F6" s="365"/>
      <c r="G6" s="365"/>
      <c r="H6" s="364"/>
      <c r="I6" s="364"/>
      <c r="J6" s="366"/>
      <c r="K6" s="366"/>
      <c r="L6" s="367"/>
      <c r="M6" s="367"/>
      <c r="N6" s="5"/>
    </row>
    <row r="7" spans="1:14" ht="7.5" customHeight="1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19.5" customHeight="1" x14ac:dyDescent="0.35">
      <c r="A8" s="5"/>
      <c r="B8" s="352" t="s">
        <v>202</v>
      </c>
      <c r="C8" s="352"/>
      <c r="D8" s="356" t="s">
        <v>203</v>
      </c>
      <c r="E8" s="356"/>
      <c r="F8" s="354" t="s">
        <v>204</v>
      </c>
      <c r="G8" s="354"/>
      <c r="H8" s="352" t="s">
        <v>205</v>
      </c>
      <c r="I8" s="352"/>
      <c r="J8" s="352" t="s">
        <v>206</v>
      </c>
      <c r="K8" s="352"/>
      <c r="L8" s="352" t="s">
        <v>207</v>
      </c>
      <c r="M8" s="352"/>
      <c r="N8" s="5"/>
    </row>
    <row r="9" spans="1:14" ht="27.75" customHeight="1" x14ac:dyDescent="0.35">
      <c r="A9" s="5"/>
      <c r="B9" s="368">
        <f>SUMPRODUCT(('Input Data'!AA3:AA27&gt;0)*'Input Data'!AA3:AA27*'Input Data'!F3:F27)</f>
        <v>4856837.409</v>
      </c>
      <c r="C9" s="368"/>
      <c r="D9" s="369">
        <f ca="1">SUM('Input Data'!N3:N27)</f>
        <v>4033664.6029999997</v>
      </c>
      <c r="E9" s="369"/>
      <c r="F9" s="370">
        <f>SUM('Input Data'!L3:L27)</f>
        <v>-873919.45000000019</v>
      </c>
      <c r="G9" s="370"/>
      <c r="H9" s="371">
        <f ca="1">IFERROR(SUMPRODUCT(('Input Data'!Z3:Z27&gt;TODAY())*('Input Data'!AA3:AA27&gt;0)*'Input Data'!F3:F27*('Input Data'!Z3:Z27-TODAY())/365.25)/SUMPRODUCT(('Input Data'!Z3:Z27&gt;TODAY())*('Input Data'!AA3:AA27&gt;0)*'Input Data'!F3:F27),0)</f>
        <v>2.3298143987721764</v>
      </c>
      <c r="I9" s="371"/>
      <c r="J9" s="371">
        <f ca="1">IFERROR(SUMPRODUCT(('Input Data'!Z3:Z27&gt;TODAY())*('Input Data'!AA3:AA27&gt;0)*'Input Data'!AA3:AA27*'Input Data'!F3:F27*('Input Data'!Z3:Z27-TODAY())/365.25)/SUMPRODUCT(('Input Data'!Z3:Z27&gt;TODAY())*('Input Data'!AA3:AA27&gt;0)*'Input Data'!AA3:AA27*'Input Data'!F3:F27),0)</f>
        <v>2.3123281755228016</v>
      </c>
      <c r="K9" s="371"/>
      <c r="L9" s="372" t="s">
        <v>208</v>
      </c>
      <c r="M9" s="372"/>
      <c r="N9" s="5"/>
    </row>
    <row r="10" spans="1:14" ht="18" customHeight="1" x14ac:dyDescent="0.35">
      <c r="A10" s="5"/>
      <c r="B10" s="363"/>
      <c r="C10" s="363"/>
      <c r="D10" s="367"/>
      <c r="E10" s="367"/>
      <c r="F10" s="365"/>
      <c r="G10" s="365"/>
      <c r="H10" s="363"/>
      <c r="I10" s="363"/>
      <c r="J10" s="363"/>
      <c r="K10" s="363"/>
      <c r="L10" s="363"/>
      <c r="M10" s="363"/>
      <c r="N10" s="5"/>
    </row>
    <row r="11" spans="1:14" ht="7.5" customHeight="1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19.5" customHeight="1" x14ac:dyDescent="0.35">
      <c r="A12" s="5"/>
      <c r="B12" s="373" t="s">
        <v>209</v>
      </c>
      <c r="C12" s="373"/>
      <c r="D12" s="373"/>
      <c r="E12" s="373"/>
      <c r="F12" s="373"/>
      <c r="G12" s="373"/>
      <c r="H12" s="5"/>
      <c r="I12" s="5"/>
      <c r="J12" s="5"/>
      <c r="K12" s="5"/>
      <c r="L12" s="5"/>
      <c r="M12" s="5"/>
      <c r="N12" s="5"/>
    </row>
    <row r="13" spans="1:14" ht="15" customHeight="1" x14ac:dyDescent="0.35">
      <c r="A13" s="5"/>
      <c r="B13" s="84" t="s">
        <v>210</v>
      </c>
      <c r="C13" s="5"/>
      <c r="D13" s="84" t="s">
        <v>211</v>
      </c>
      <c r="E13" s="374" t="s">
        <v>212</v>
      </c>
      <c r="F13" s="374"/>
      <c r="G13" s="374"/>
      <c r="H13" s="5"/>
      <c r="I13" s="5"/>
      <c r="J13" s="5"/>
      <c r="K13" s="5"/>
      <c r="L13" s="5"/>
      <c r="M13" s="5"/>
      <c r="N13" s="5"/>
    </row>
    <row r="14" spans="1:14" ht="18" customHeight="1" x14ac:dyDescent="0.35">
      <c r="A14" s="5"/>
      <c r="B14" s="333" t="s">
        <v>213</v>
      </c>
      <c r="C14" s="333"/>
      <c r="D14" s="85">
        <f ca="1">IFERROR(SUMPRODUCT(('Input Data'!Z3:Z27&gt;TODAY())*('Input Data'!AA3:AA27&gt;0)*'Input Data'!F3:F27*('Input Data'!Z3:Z27-TODAY())/365.25)/SUMPRODUCT(('Input Data'!Z3:Z27&gt;TODAY())*('Input Data'!AA3:AA27&gt;0)*'Input Data'!F3:F27),0)</f>
        <v>2.3298143987721764</v>
      </c>
      <c r="E14" s="328" t="s">
        <v>214</v>
      </c>
      <c r="F14" s="328"/>
      <c r="G14" s="328"/>
      <c r="H14" s="5"/>
      <c r="I14" s="5"/>
      <c r="J14" s="5"/>
      <c r="K14" s="5"/>
      <c r="L14" s="5"/>
      <c r="M14" s="5"/>
      <c r="N14" s="5"/>
    </row>
    <row r="15" spans="1:14" ht="18" customHeight="1" x14ac:dyDescent="0.35">
      <c r="A15" s="5"/>
      <c r="B15" s="375" t="s">
        <v>215</v>
      </c>
      <c r="C15" s="375"/>
      <c r="D15" s="87">
        <f ca="1">IFERROR(SUMPRODUCT(('Input Data'!Z3:Z27&gt;TODAY())*('Input Data'!AA3:AA27&gt;0)*'Input Data'!AA3:AA27*'Input Data'!F3:F27*('Input Data'!Z3:Z27-TODAY())/365.25)/SUMPRODUCT(('Input Data'!Z3:Z27&gt;TODAY())*('Input Data'!AA3:AA27&gt;0)*'Input Data'!AA3:AA27*'Input Data'!F3:F27),0)</f>
        <v>2.3123281755228016</v>
      </c>
      <c r="E15" s="376" t="s">
        <v>216</v>
      </c>
      <c r="F15" s="376"/>
      <c r="G15" s="376"/>
      <c r="H15" s="5"/>
      <c r="I15" s="5"/>
      <c r="J15" s="5"/>
      <c r="K15" s="5"/>
      <c r="L15" s="5"/>
      <c r="M15" s="5"/>
      <c r="N15" s="5"/>
    </row>
    <row r="16" spans="1:14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19.5" customHeight="1" x14ac:dyDescent="0.35">
      <c r="A17" s="5"/>
      <c r="B17" s="373" t="s">
        <v>217</v>
      </c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373"/>
      <c r="N17" s="373"/>
    </row>
    <row r="18" spans="1:14" ht="19.5" customHeight="1" x14ac:dyDescent="0.35">
      <c r="A18" s="5"/>
      <c r="B18" s="72" t="s">
        <v>218</v>
      </c>
      <c r="C18" s="72" t="s">
        <v>219</v>
      </c>
      <c r="D18" s="72" t="s">
        <v>220</v>
      </c>
      <c r="E18" s="72" t="s">
        <v>66</v>
      </c>
      <c r="F18" s="72" t="s">
        <v>221</v>
      </c>
      <c r="G18" s="72" t="s">
        <v>222</v>
      </c>
      <c r="H18" s="348" t="s">
        <v>223</v>
      </c>
      <c r="I18" s="348"/>
      <c r="J18" s="348"/>
      <c r="K18" s="348"/>
      <c r="L18" s="348"/>
      <c r="M18" s="348"/>
      <c r="N18" s="348"/>
    </row>
    <row r="19" spans="1:14" ht="18" customHeight="1" x14ac:dyDescent="0.35">
      <c r="A19" s="5"/>
      <c r="B19" s="88" t="s">
        <v>224</v>
      </c>
      <c r="C19" s="89">
        <f>SUMPRODUCT(('Input Data'!Z3:Z27&lt;&gt;"")*('Input Data'!Z3:Z27&lt;=DATE(2026,12,31))*('Input Data'!AA3:AA27&gt;0)*'Input Data'!AA3:AA27*'Input Data'!F3:F27)</f>
        <v>85408.751999999993</v>
      </c>
      <c r="D19" s="90">
        <f ca="1">IFERROR(C19/(SUMPRODUCT(('Input Data'!Z3:Z27&gt;TODAY())*('Input Data'!AA3:AA27&gt;0)*'Input Data'!AA3:AA27*'Input Data'!F3:F27)),0)</f>
        <v>1.7585260696957376E-2</v>
      </c>
      <c r="E19" s="91">
        <f>SUMPRODUCT(('Input Data'!Z3:Z27&lt;&gt;"")*('Input Data'!Z3:Z27&lt;=DATE(2026,12,31))*('Input Data'!AA3:AA27&gt;0)*'Input Data'!F3:F27)</f>
        <v>62.4</v>
      </c>
      <c r="F19" s="90">
        <f ca="1">IFERROR(E19/(SUMPRODUCT(('Input Data'!Z3:Z27&gt;TODAY())*('Input Data'!AA3:AA27&gt;0)*'Input Data'!F3:F27)),0)</f>
        <v>1.4449796220822524E-2</v>
      </c>
      <c r="G19" s="92">
        <f>SUMPRODUCT(('Input Data'!Z3:Z27&lt;&gt;"")*('Input Data'!Z3:Z27&lt;=DATE(2026,12,31))*('Input Data'!AA3:AA27&gt;0)*1)</f>
        <v>1</v>
      </c>
      <c r="H19" s="377" t="str">
        <f>IFERROR(MID(IF(('Input Data'!Z3&lt;&gt;"")*('Input Data'!Z3&lt;=DATE(2026,12,31)),", "&amp;'Input Data'!AB3&amp;" ("&amp;'Input Data'!C3&amp;")","")&amp;IF(('Input Data'!Z4&lt;&gt;"")*('Input Data'!Z4&lt;=DATE(2026,12,31)),", "&amp;'Input Data'!AB4&amp;" ("&amp;'Input Data'!C4&amp;")","")&amp;IF(('Input Data'!Z5&lt;&gt;"")*('Input Data'!Z5&lt;=DATE(2026,12,31)),", "&amp;'Input Data'!AB5&amp;" ("&amp;'Input Data'!C5&amp;")","")&amp;IF(('Input Data'!Z6&lt;&gt;"")*('Input Data'!Z6&lt;=DATE(2026,12,31)),", "&amp;'Input Data'!AB6&amp;" ("&amp;'Input Data'!C6&amp;")","")&amp;IF(('Input Data'!Z7&lt;&gt;"")*('Input Data'!Z7&lt;=DATE(2026,12,31)),", "&amp;'Input Data'!AB7&amp;" ("&amp;'Input Data'!C7&amp;")","")&amp;IF(('Input Data'!Z8&lt;&gt;"")*('Input Data'!Z8&lt;=DATE(2026,12,31)),", "&amp;'Input Data'!AB8&amp;" ("&amp;'Input Data'!C8&amp;")","")&amp;IF(('Input Data'!Z9&lt;&gt;"")*('Input Data'!Z9&lt;=DATE(2026,12,31)),", "&amp;'Input Data'!AB9&amp;" ("&amp;'Input Data'!C9&amp;")","")&amp;IF(('Input Data'!Z10&lt;&gt;"")*('Input Data'!Z10&lt;=DATE(2026,12,31)),", "&amp;'Input Data'!AB10&amp;" ("&amp;'Input Data'!C10&amp;")","")&amp;IF(('Input Data'!Z11&lt;&gt;"")*('Input Data'!Z11&lt;=DATE(2026,12,31)),", "&amp;'Input Data'!AB11&amp;" ("&amp;'Input Data'!C11&amp;")","")&amp;IF(('Input Data'!Z12&lt;&gt;"")*('Input Data'!Z12&lt;=DATE(2026,12,31)),", "&amp;'Input Data'!AB12&amp;" ("&amp;'Input Data'!C12&amp;")","")&amp;IF(('Input Data'!Z13&lt;&gt;"")*('Input Data'!Z13&lt;=DATE(2026,12,31)),", "&amp;'Input Data'!AB13&amp;" ("&amp;'Input Data'!C13&amp;")","")&amp;IF(('Input Data'!Z14&lt;&gt;"")*('Input Data'!Z14&lt;=DATE(2026,12,31)),", "&amp;'Input Data'!AB14&amp;" ("&amp;'Input Data'!C14&amp;")","")&amp;IF(('Input Data'!Z15&lt;&gt;"")*('Input Data'!Z15&lt;=DATE(2026,12,31)),", "&amp;'Input Data'!AB15&amp;" ("&amp;'Input Data'!C15&amp;")","")&amp;IF(('Input Data'!Z16&lt;&gt;"")*('Input Data'!Z16&lt;=DATE(2026,12,31)),", "&amp;'Input Data'!AB16&amp;" ("&amp;'Input Data'!C16&amp;")","")&amp;IF(('Input Data'!Z17&lt;&gt;"")*('Input Data'!Z17&lt;=DATE(2026,12,31)),", "&amp;'Input Data'!AB17&amp;" ("&amp;'Input Data'!C17&amp;")","")&amp;IF(('Input Data'!Z18&lt;&gt;"")*('Input Data'!Z18&lt;=DATE(2026,12,31)),", "&amp;'Input Data'!AB18&amp;" ("&amp;'Input Data'!C18&amp;")","")&amp;IF(('Input Data'!Z19&lt;&gt;"")*('Input Data'!Z19&lt;=DATE(2026,12,31)),", "&amp;'Input Data'!AB19&amp;" ("&amp;'Input Data'!C19&amp;")","")&amp;IF(('Input Data'!Z20&lt;&gt;"")*('Input Data'!Z20&lt;=DATE(2026,12,31)),", "&amp;'Input Data'!AB20&amp;" ("&amp;'Input Data'!C20&amp;")","")&amp;IF(('Input Data'!Z21&lt;&gt;"")*('Input Data'!Z21&lt;=DATE(2026,12,31)),", "&amp;'Input Data'!AB21&amp;" ("&amp;'Input Data'!C21&amp;")","")&amp;IF(('Input Data'!Z22&lt;&gt;"")*('Input Data'!Z22&lt;=DATE(2026,12,31)),", "&amp;'Input Data'!AB22&amp;" ("&amp;'Input Data'!C22&amp;")","")&amp;IF(('Input Data'!Z23&lt;&gt;"")*('Input Data'!Z23&lt;=DATE(2026,12,31)),", "&amp;'Input Data'!AB23&amp;" ("&amp;'Input Data'!C23&amp;")","")&amp;IF(('Input Data'!Z24&lt;&gt;"")*('Input Data'!Z24&lt;=DATE(2026,12,31)),", "&amp;'Input Data'!AB24&amp;" ("&amp;'Input Data'!C24&amp;")","")&amp;IF(('Input Data'!Z25&lt;&gt;"")*('Input Data'!Z25&lt;=DATE(2026,12,31)),", "&amp;'Input Data'!AB25&amp;" ("&amp;'Input Data'!C25&amp;")","")&amp;IF(('Input Data'!Z26&lt;&gt;"")*('Input Data'!Z26&lt;=DATE(2026,12,31)),", "&amp;'Input Data'!AB26&amp;" ("&amp;'Input Data'!C26&amp;")","")&amp;IF(('Input Data'!Z27&lt;&gt;"")*('Input Data'!Z27&lt;=DATE(2026,12,31)),", "&amp;'Input Data'!AB27&amp;" ("&amp;'Input Data'!C27&amp;")",""),3,999),"—")</f>
        <v>Michael Flegg (1101)</v>
      </c>
      <c r="I19" s="377"/>
      <c r="J19" s="377"/>
      <c r="K19" s="377"/>
      <c r="L19" s="377"/>
      <c r="M19" s="377"/>
      <c r="N19" s="377"/>
    </row>
    <row r="20" spans="1:14" ht="18" customHeight="1" x14ac:dyDescent="0.35">
      <c r="A20" s="5"/>
      <c r="B20" s="94" t="s">
        <v>225</v>
      </c>
      <c r="C20" s="95">
        <f ca="1">SUMPRODUCT(('Input Data'!Z3:Z27&gt;TODAY())*(YEAR('Input Data'!Z3:Z27)=2027)*('Input Data'!AA3:AA27&gt;0)*'Input Data'!AA3:AA27*'Input Data'!F3:F27)</f>
        <v>1187255.176</v>
      </c>
      <c r="D20" s="96">
        <f ca="1">IFERROR(C20/(SUMPRODUCT(('Input Data'!Z3:Z27&gt;TODAY())*('Input Data'!AA3:AA27&gt;0)*'Input Data'!AA3:AA27*'Input Data'!F3:F27)),0)</f>
        <v>0.24445026176909848</v>
      </c>
      <c r="E20" s="97">
        <f ca="1">SUMPRODUCT(('Input Data'!Z3:Z27&gt;TODAY())*(YEAR('Input Data'!Z3:Z27)=2027)*('Input Data'!AA3:AA27&gt;0)*'Input Data'!F3:F27)</f>
        <v>976.9</v>
      </c>
      <c r="F20" s="96">
        <f ca="1">IFERROR(E20/(SUMPRODUCT(('Input Data'!Z3:Z27&gt;TODAY())*('Input Data'!AA3:AA27&gt;0)*'Input Data'!F3:F27)),0)</f>
        <v>0.22621804371989623</v>
      </c>
      <c r="G20" s="98">
        <f ca="1">SUMPRODUCT(('Input Data'!Z3:Z27&gt;TODAY())*(YEAR('Input Data'!Z3:Z27)=2027)*('Input Data'!AA3:AA27&gt;0)*1)</f>
        <v>5</v>
      </c>
      <c r="H20" s="378" t="str">
        <f ca="1">IFERROR(MID(IF(('Input Data'!Z3&gt;TODAY())*('Input Data'!AA3&gt;0)*(YEAR('Input Data'!Z3)=2027),", "&amp;'Input Data'!AB3&amp;" ("&amp;'Input Data'!C3&amp;")","")&amp;IF(('Input Data'!Z4&gt;TODAY())*('Input Data'!AA4&gt;0)*(YEAR('Input Data'!Z4)=2027),", "&amp;'Input Data'!AB4&amp;" ("&amp;'Input Data'!C4&amp;")","")&amp;IF(('Input Data'!Z5&gt;TODAY())*('Input Data'!AA5&gt;0)*(YEAR('Input Data'!Z5)=2027),", "&amp;'Input Data'!AB5&amp;" ("&amp;'Input Data'!C5&amp;")","")&amp;IF(('Input Data'!Z6&gt;TODAY())*('Input Data'!AA6&gt;0)*(YEAR('Input Data'!Z6)=2027),", "&amp;'Input Data'!AB6&amp;" ("&amp;'Input Data'!C6&amp;")","")&amp;IF(('Input Data'!Z7&gt;TODAY())*('Input Data'!AA7&gt;0)*(YEAR('Input Data'!Z7)=2027),", "&amp;'Input Data'!AB7&amp;" ("&amp;'Input Data'!C7&amp;")","")&amp;IF(('Input Data'!Z8&gt;TODAY())*('Input Data'!AA8&gt;0)*(YEAR('Input Data'!Z8)=2027),", "&amp;'Input Data'!AB8&amp;" ("&amp;'Input Data'!C8&amp;")","")&amp;IF(('Input Data'!Z9&gt;TODAY())*('Input Data'!AA9&gt;0)*(YEAR('Input Data'!Z9)=2027),", "&amp;'Input Data'!AB9&amp;" ("&amp;'Input Data'!C9&amp;")","")&amp;IF(('Input Data'!Z10&gt;TODAY())*('Input Data'!AA10&gt;0)*(YEAR('Input Data'!Z10)=2027),", "&amp;'Input Data'!AB10&amp;" ("&amp;'Input Data'!C10&amp;")","")&amp;IF(('Input Data'!Z11&gt;TODAY())*('Input Data'!AA11&gt;0)*(YEAR('Input Data'!Z11)=2027),", "&amp;'Input Data'!AB11&amp;" ("&amp;'Input Data'!C11&amp;")","")&amp;IF(('Input Data'!Z12&gt;TODAY())*('Input Data'!AA12&gt;0)*(YEAR('Input Data'!Z12)=2027),", "&amp;'Input Data'!AB12&amp;" ("&amp;'Input Data'!C12&amp;")","")&amp;IF(('Input Data'!Z13&gt;TODAY())*('Input Data'!AA13&gt;0)*(YEAR('Input Data'!Z13)=2027),", "&amp;'Input Data'!AB13&amp;" ("&amp;'Input Data'!C13&amp;")","")&amp;IF(('Input Data'!Z14&gt;TODAY())*('Input Data'!AA14&gt;0)*(YEAR('Input Data'!Z14)=2027),", "&amp;'Input Data'!AB14&amp;" ("&amp;'Input Data'!C14&amp;")","")&amp;IF(('Input Data'!Z15&gt;TODAY())*('Input Data'!AA15&gt;0)*(YEAR('Input Data'!Z15)=2027),", "&amp;'Input Data'!AB15&amp;" ("&amp;'Input Data'!C15&amp;")","")&amp;IF(('Input Data'!Z16&gt;TODAY())*('Input Data'!AA16&gt;0)*(YEAR('Input Data'!Z16)=2027),", "&amp;'Input Data'!AB16&amp;" ("&amp;'Input Data'!C16&amp;")","")&amp;IF(('Input Data'!Z17&gt;TODAY())*('Input Data'!AA17&gt;0)*(YEAR('Input Data'!Z17)=2027),", "&amp;'Input Data'!AB17&amp;" ("&amp;'Input Data'!C17&amp;")","")&amp;IF(('Input Data'!Z18&gt;TODAY())*('Input Data'!AA18&gt;0)*(YEAR('Input Data'!Z18)=2027),", "&amp;'Input Data'!AB18&amp;" ("&amp;'Input Data'!C18&amp;")","")&amp;IF(('Input Data'!Z19&gt;TODAY())*('Input Data'!AA19&gt;0)*(YEAR('Input Data'!Z19)=2027),", "&amp;'Input Data'!AB19&amp;" ("&amp;'Input Data'!C19&amp;")","")&amp;IF(('Input Data'!Z20&gt;TODAY())*('Input Data'!AA20&gt;0)*(YEAR('Input Data'!Z20)=2027),", "&amp;'Input Data'!AB20&amp;" ("&amp;'Input Data'!C20&amp;")","")&amp;IF(('Input Data'!Z21&gt;TODAY())*('Input Data'!AA21&gt;0)*(YEAR('Input Data'!Z21)=2027),", "&amp;'Input Data'!AB21&amp;" ("&amp;'Input Data'!C21&amp;")","")&amp;IF(('Input Data'!Z22&gt;TODAY())*('Input Data'!AA22&gt;0)*(YEAR('Input Data'!Z22)=2027),", "&amp;'Input Data'!AB22&amp;" ("&amp;'Input Data'!C22&amp;")","")&amp;IF(('Input Data'!Z23&gt;TODAY())*('Input Data'!AA23&gt;0)*(YEAR('Input Data'!Z23)=2027),", "&amp;'Input Data'!AB23&amp;" ("&amp;'Input Data'!C23&amp;")","")&amp;IF(('Input Data'!Z24&gt;TODAY())*('Input Data'!AA24&gt;0)*(YEAR('Input Data'!Z24)=2027),", "&amp;'Input Data'!AB24&amp;" ("&amp;'Input Data'!C24&amp;")","")&amp;IF(('Input Data'!Z25&gt;TODAY())*('Input Data'!AA25&gt;0)*(YEAR('Input Data'!Z25)=2027),", "&amp;'Input Data'!AB25&amp;" ("&amp;'Input Data'!C25&amp;")","")&amp;IF(('Input Data'!Z26&gt;TODAY())*('Input Data'!AA26&gt;0)*(YEAR('Input Data'!Z26)=2027),", "&amp;'Input Data'!AB26&amp;" ("&amp;'Input Data'!C26&amp;")","")&amp;IF(('Input Data'!Z27&gt;TODAY())*('Input Data'!AA27&gt;0)*(YEAR('Input Data'!Z27)=2027),", "&amp;'Input Data'!AB27&amp;" ("&amp;'Input Data'!C27&amp;")",""),3,999),"—")</f>
        <v>IPM Residential (301&amp;2), Montgomery Investment (501), Threat Defence (502), Fullcrm (601), Pinpoint Talent (701)</v>
      </c>
      <c r="I20" s="378"/>
      <c r="J20" s="378"/>
      <c r="K20" s="378"/>
      <c r="L20" s="378"/>
      <c r="M20" s="378"/>
      <c r="N20" s="378"/>
    </row>
    <row r="21" spans="1:14" ht="29.25" customHeight="1" x14ac:dyDescent="0.35">
      <c r="A21" s="5"/>
      <c r="B21" s="72" t="s">
        <v>226</v>
      </c>
      <c r="C21" s="89">
        <f ca="1">SUMPRODUCT(('Input Data'!Z3:Z27&gt;TODAY())*(YEAR('Input Data'!Z3:Z27)=2028)*('Input Data'!AA3:AA27&gt;0)*'Input Data'!AA3:AA27*'Input Data'!F3:F27)</f>
        <v>1233906.638</v>
      </c>
      <c r="D21" s="90">
        <f ca="1">IFERROR(C21/(SUMPRODUCT(('Input Data'!Z3:Z27&gt;TODAY())*('Input Data'!AA3:AA27&gt;0)*'Input Data'!AA3:AA27*'Input Data'!F3:F27)),0)</f>
        <v>0.25405557857742977</v>
      </c>
      <c r="E21" s="91">
        <f ca="1">SUMPRODUCT(('Input Data'!Z3:Z27&gt;TODAY())*(YEAR('Input Data'!Z3:Z27)=2028)*('Input Data'!AA3:AA27&gt;0)*'Input Data'!F3:F27)</f>
        <v>1171.1999999999998</v>
      </c>
      <c r="F21" s="90">
        <f ca="1">IFERROR(E21/(SUMPRODUCT(('Input Data'!Z3:Z27&gt;TODAY())*('Input Data'!AA3:AA27&gt;0)*'Input Data'!F3:F27)),0)</f>
        <v>0.27121155983697659</v>
      </c>
      <c r="G21" s="92">
        <f ca="1">SUMPRODUCT(('Input Data'!Z3:Z27&gt;TODAY())*(YEAR('Input Data'!Z3:Z27)=2028)*('Input Data'!AA3:AA27&gt;0)*1)</f>
        <v>7</v>
      </c>
      <c r="H21" s="377" t="str">
        <f ca="1">IFERROR(MID(IF(('Input Data'!Z3&gt;TODAY())*('Input Data'!AA3&gt;0)*(YEAR('Input Data'!Z3)=2028),", "&amp;'Input Data'!AB3&amp;" ("&amp;'Input Data'!C3&amp;")","")&amp;IF(('Input Data'!Z4&gt;TODAY())*('Input Data'!AA4&gt;0)*(YEAR('Input Data'!Z4)=2028),", "&amp;'Input Data'!AB4&amp;" ("&amp;'Input Data'!C4&amp;")","")&amp;IF(('Input Data'!Z5&gt;TODAY())*('Input Data'!AA5&gt;0)*(YEAR('Input Data'!Z5)=2028),", "&amp;'Input Data'!AB5&amp;" ("&amp;'Input Data'!C5&amp;")","")&amp;IF(('Input Data'!Z6&gt;TODAY())*('Input Data'!AA6&gt;0)*(YEAR('Input Data'!Z6)=2028),", "&amp;'Input Data'!AB6&amp;" ("&amp;'Input Data'!C6&amp;")","")&amp;IF(('Input Data'!Z7&gt;TODAY())*('Input Data'!AA7&gt;0)*(YEAR('Input Data'!Z7)=2028),", "&amp;'Input Data'!AB7&amp;" ("&amp;'Input Data'!C7&amp;")","")&amp;IF(('Input Data'!Z8&gt;TODAY())*('Input Data'!AA8&gt;0)*(YEAR('Input Data'!Z8)=2028),", "&amp;'Input Data'!AB8&amp;" ("&amp;'Input Data'!C8&amp;")","")&amp;IF(('Input Data'!Z9&gt;TODAY())*('Input Data'!AA9&gt;0)*(YEAR('Input Data'!Z9)=2028),", "&amp;'Input Data'!AB9&amp;" ("&amp;'Input Data'!C9&amp;")","")&amp;IF(('Input Data'!Z10&gt;TODAY())*('Input Data'!AA10&gt;0)*(YEAR('Input Data'!Z10)=2028),", "&amp;'Input Data'!AB10&amp;" ("&amp;'Input Data'!C10&amp;")","")&amp;IF(('Input Data'!Z11&gt;TODAY())*('Input Data'!AA11&gt;0)*(YEAR('Input Data'!Z11)=2028),", "&amp;'Input Data'!AB11&amp;" ("&amp;'Input Data'!C11&amp;")","")&amp;IF(('Input Data'!Z12&gt;TODAY())*('Input Data'!AA12&gt;0)*(YEAR('Input Data'!Z12)=2028),", "&amp;'Input Data'!AB12&amp;" ("&amp;'Input Data'!C12&amp;")","")&amp;IF(('Input Data'!Z13&gt;TODAY())*('Input Data'!AA13&gt;0)*(YEAR('Input Data'!Z13)=2028),", "&amp;'Input Data'!AB13&amp;" ("&amp;'Input Data'!C13&amp;")","")&amp;IF(('Input Data'!Z14&gt;TODAY())*('Input Data'!AA14&gt;0)*(YEAR('Input Data'!Z14)=2028),", "&amp;'Input Data'!AB14&amp;" ("&amp;'Input Data'!C14&amp;")","")&amp;IF(('Input Data'!Z15&gt;TODAY())*('Input Data'!AA15&gt;0)*(YEAR('Input Data'!Z15)=2028),", "&amp;'Input Data'!AB15&amp;" ("&amp;'Input Data'!C15&amp;")","")&amp;IF(('Input Data'!Z16&gt;TODAY())*('Input Data'!AA16&gt;0)*(YEAR('Input Data'!Z16)=2028),", "&amp;'Input Data'!AB16&amp;" ("&amp;'Input Data'!C16&amp;")","")&amp;IF(('Input Data'!Z17&gt;TODAY())*('Input Data'!AA17&gt;0)*(YEAR('Input Data'!Z17)=2028),", "&amp;'Input Data'!AB17&amp;" ("&amp;'Input Data'!C17&amp;")","")&amp;IF(('Input Data'!Z18&gt;TODAY())*('Input Data'!AA18&gt;0)*(YEAR('Input Data'!Z18)=2028),", "&amp;'Input Data'!AB18&amp;" ("&amp;'Input Data'!C18&amp;")","")&amp;IF(('Input Data'!Z19&gt;TODAY())*('Input Data'!AA19&gt;0)*(YEAR('Input Data'!Z19)=2028),", "&amp;'Input Data'!AB19&amp;" ("&amp;'Input Data'!C19&amp;")","")&amp;IF(('Input Data'!Z20&gt;TODAY())*('Input Data'!AA20&gt;0)*(YEAR('Input Data'!Z20)=2028),", "&amp;'Input Data'!AB20&amp;" ("&amp;'Input Data'!C20&amp;")","")&amp;IF(('Input Data'!Z21&gt;TODAY())*('Input Data'!AA21&gt;0)*(YEAR('Input Data'!Z21)=2028),", "&amp;'Input Data'!AB21&amp;" ("&amp;'Input Data'!C21&amp;")","")&amp;IF(('Input Data'!Z22&gt;TODAY())*('Input Data'!AA22&gt;0)*(YEAR('Input Data'!Z22)=2028),", "&amp;'Input Data'!AB22&amp;" ("&amp;'Input Data'!C22&amp;")","")&amp;IF(('Input Data'!Z23&gt;TODAY())*('Input Data'!AA23&gt;0)*(YEAR('Input Data'!Z23)=2028),", "&amp;'Input Data'!AB23&amp;" ("&amp;'Input Data'!C23&amp;")","")&amp;IF(('Input Data'!Z24&gt;TODAY())*('Input Data'!AA24&gt;0)*(YEAR('Input Data'!Z24)=2028),", "&amp;'Input Data'!AB24&amp;" ("&amp;'Input Data'!C24&amp;")","")&amp;IF(('Input Data'!Z25&gt;TODAY())*('Input Data'!AA25&gt;0)*(YEAR('Input Data'!Z25)=2028),", "&amp;'Input Data'!AB25&amp;" ("&amp;'Input Data'!C25&amp;")","")&amp;IF(('Input Data'!Z26&gt;TODAY())*('Input Data'!AA26&gt;0)*(YEAR('Input Data'!Z26)=2028),", "&amp;'Input Data'!AB26&amp;" ("&amp;'Input Data'!C26&amp;")","")&amp;IF(('Input Data'!Z27&gt;TODAY())*('Input Data'!AA27&gt;0)*(YEAR('Input Data'!Z27)=2028),", "&amp;'Input Data'!AB27&amp;" ("&amp;'Input Data'!C27&amp;")",""),3,999),"—")</f>
        <v>PU Prime Trading (103), Princeton Financial Services (WHOLE), Broadridge (303&amp;4), Satellite Office (702), Hilliard &amp; Berry (802), Aitken Investment Mgmt (901), Lewis Woolcott (1102)</v>
      </c>
      <c r="I21" s="377"/>
      <c r="J21" s="377"/>
      <c r="K21" s="377"/>
      <c r="L21" s="377"/>
      <c r="M21" s="377"/>
      <c r="N21" s="377"/>
    </row>
    <row r="22" spans="1:14" ht="24" customHeight="1" x14ac:dyDescent="0.35">
      <c r="A22" s="5"/>
      <c r="B22" s="94" t="s">
        <v>227</v>
      </c>
      <c r="C22" s="95">
        <f ca="1">SUMPRODUCT(('Input Data'!Z3:Z27&gt;TODAY())*(YEAR('Input Data'!Z3:Z27)=2029)*('Input Data'!AA3:AA27&gt;0)*'Input Data'!AA3:AA27*'Input Data'!F3:F27)</f>
        <v>1372667.977</v>
      </c>
      <c r="D22" s="96">
        <f ca="1">IFERROR(C22/(SUMPRODUCT(('Input Data'!Z3:Z27&gt;TODAY())*('Input Data'!AA3:AA27&gt;0)*'Input Data'!AA3:AA27*'Input Data'!F3:F27)),0)</f>
        <v>0.28262588623130908</v>
      </c>
      <c r="E22" s="97">
        <f ca="1">SUMPRODUCT(('Input Data'!Z3:Z27&gt;TODAY())*(YEAR('Input Data'!Z3:Z27)=2029)*('Input Data'!AA3:AA27&gt;0)*'Input Data'!F3:F27)</f>
        <v>1284.5999999999999</v>
      </c>
      <c r="F22" s="96">
        <f ca="1">IFERROR(E22/(SUMPRODUCT(('Input Data'!Z3:Z27&gt;TODAY())*('Input Data'!AA3:AA27&gt;0)*'Input Data'!F3:F27)),0)</f>
        <v>0.297471285661356</v>
      </c>
      <c r="G22" s="98">
        <f ca="1">SUMPRODUCT(('Input Data'!Z3:Z27&gt;TODAY())*(YEAR('Input Data'!Z3:Z27)=2029)*('Input Data'!AA3:AA27&gt;0)*1)</f>
        <v>7</v>
      </c>
      <c r="H22" s="378" t="str">
        <f ca="1">IFERROR(MID(IF(('Input Data'!Z3&gt;TODAY())*('Input Data'!AA3&gt;0)*(YEAR('Input Data'!Z3)=2029),", "&amp;'Input Data'!AB3&amp;" ("&amp;'Input Data'!C3&amp;")","")&amp;IF(('Input Data'!Z4&gt;TODAY())*('Input Data'!AA4&gt;0)*(YEAR('Input Data'!Z4)=2029),", "&amp;'Input Data'!AB4&amp;" ("&amp;'Input Data'!C4&amp;")","")&amp;IF(('Input Data'!Z5&gt;TODAY())*('Input Data'!AA5&gt;0)*(YEAR('Input Data'!Z5)=2029),", "&amp;'Input Data'!AB5&amp;" ("&amp;'Input Data'!C5&amp;")","")&amp;IF(('Input Data'!Z6&gt;TODAY())*('Input Data'!AA6&gt;0)*(YEAR('Input Data'!Z6)=2029),", "&amp;'Input Data'!AB6&amp;" ("&amp;'Input Data'!C6&amp;")","")&amp;IF(('Input Data'!Z7&gt;TODAY())*('Input Data'!AA7&gt;0)*(YEAR('Input Data'!Z7)=2029),", "&amp;'Input Data'!AB7&amp;" ("&amp;'Input Data'!C7&amp;")","")&amp;IF(('Input Data'!Z8&gt;TODAY())*('Input Data'!AA8&gt;0)*(YEAR('Input Data'!Z8)=2029),", "&amp;'Input Data'!AB8&amp;" ("&amp;'Input Data'!C8&amp;")","")&amp;IF(('Input Data'!Z9&gt;TODAY())*('Input Data'!AA9&gt;0)*(YEAR('Input Data'!Z9)=2029),", "&amp;'Input Data'!AB9&amp;" ("&amp;'Input Data'!C9&amp;")","")&amp;IF(('Input Data'!Z10&gt;TODAY())*('Input Data'!AA10&gt;0)*(YEAR('Input Data'!Z10)=2029),", "&amp;'Input Data'!AB10&amp;" ("&amp;'Input Data'!C10&amp;")","")&amp;IF(('Input Data'!Z11&gt;TODAY())*('Input Data'!AA11&gt;0)*(YEAR('Input Data'!Z11)=2029),", "&amp;'Input Data'!AB11&amp;" ("&amp;'Input Data'!C11&amp;")","")&amp;IF(('Input Data'!Z12&gt;TODAY())*('Input Data'!AA12&gt;0)*(YEAR('Input Data'!Z12)=2029),", "&amp;'Input Data'!AB12&amp;" ("&amp;'Input Data'!C12&amp;")","")&amp;IF(('Input Data'!Z13&gt;TODAY())*('Input Data'!AA13&gt;0)*(YEAR('Input Data'!Z13)=2029),", "&amp;'Input Data'!AB13&amp;" ("&amp;'Input Data'!C13&amp;")","")&amp;IF(('Input Data'!Z14&gt;TODAY())*('Input Data'!AA14&gt;0)*(YEAR('Input Data'!Z14)=2029),", "&amp;'Input Data'!AB14&amp;" ("&amp;'Input Data'!C14&amp;")","")&amp;IF(('Input Data'!Z15&gt;TODAY())*('Input Data'!AA15&gt;0)*(YEAR('Input Data'!Z15)=2029),", "&amp;'Input Data'!AB15&amp;" ("&amp;'Input Data'!C15&amp;")","")&amp;IF(('Input Data'!Z16&gt;TODAY())*('Input Data'!AA16&gt;0)*(YEAR('Input Data'!Z16)=2029),", "&amp;'Input Data'!AB16&amp;" ("&amp;'Input Data'!C16&amp;")","")&amp;IF(('Input Data'!Z17&gt;TODAY())*('Input Data'!AA17&gt;0)*(YEAR('Input Data'!Z17)=2029),", "&amp;'Input Data'!AB17&amp;" ("&amp;'Input Data'!C17&amp;")","")&amp;IF(('Input Data'!Z18&gt;TODAY())*('Input Data'!AA18&gt;0)*(YEAR('Input Data'!Z18)=2029),", "&amp;'Input Data'!AB18&amp;" ("&amp;'Input Data'!C18&amp;")","")&amp;IF(('Input Data'!Z19&gt;TODAY())*('Input Data'!AA19&gt;0)*(YEAR('Input Data'!Z19)=2029),", "&amp;'Input Data'!AB19&amp;" ("&amp;'Input Data'!C19&amp;")","")&amp;IF(('Input Data'!Z20&gt;TODAY())*('Input Data'!AA20&gt;0)*(YEAR('Input Data'!Z20)=2029),", "&amp;'Input Data'!AB20&amp;" ("&amp;'Input Data'!C20&amp;")","")&amp;IF(('Input Data'!Z21&gt;TODAY())*('Input Data'!AA21&gt;0)*(YEAR('Input Data'!Z21)=2029),", "&amp;'Input Data'!AB21&amp;" ("&amp;'Input Data'!C21&amp;")","")&amp;IF(('Input Data'!Z22&gt;TODAY())*('Input Data'!AA22&gt;0)*(YEAR('Input Data'!Z22)=2029),", "&amp;'Input Data'!AB22&amp;" ("&amp;'Input Data'!C22&amp;")","")&amp;IF(('Input Data'!Z23&gt;TODAY())*('Input Data'!AA23&gt;0)*(YEAR('Input Data'!Z23)=2029),", "&amp;'Input Data'!AB23&amp;" ("&amp;'Input Data'!C23&amp;")","")&amp;IF(('Input Data'!Z24&gt;TODAY())*('Input Data'!AA24&gt;0)*(YEAR('Input Data'!Z24)=2029),", "&amp;'Input Data'!AB24&amp;" ("&amp;'Input Data'!C24&amp;")","")&amp;IF(('Input Data'!Z25&gt;TODAY())*('Input Data'!AA25&gt;0)*(YEAR('Input Data'!Z25)=2029),", "&amp;'Input Data'!AB25&amp;" ("&amp;'Input Data'!C25&amp;")","")&amp;IF(('Input Data'!Z26&gt;TODAY())*('Input Data'!AA26&gt;0)*(YEAR('Input Data'!Z26)=2029),", "&amp;'Input Data'!AB26&amp;" ("&amp;'Input Data'!C26&amp;")","")&amp;IF(('Input Data'!Z27&gt;TODAY())*('Input Data'!AA27&gt;0)*(YEAR('Input Data'!Z27)=2029),", "&amp;'Input Data'!AB27&amp;" ("&amp;'Input Data'!C27&amp;")",""),3,999),"—")</f>
        <v>Opulent Two Enterprises (LWR GROUND), TJC#1 (104), B-W International (401), Gray Dawes Travel (402), INNOVIS (602), Connectus Services (1001&amp;2), Interfi Systems (1103)</v>
      </c>
      <c r="I22" s="378"/>
      <c r="J22" s="378"/>
      <c r="K22" s="378"/>
      <c r="L22" s="378"/>
      <c r="M22" s="378"/>
      <c r="N22" s="378"/>
    </row>
    <row r="23" spans="1:14" ht="18" customHeight="1" x14ac:dyDescent="0.35">
      <c r="A23" s="5"/>
      <c r="B23" s="99" t="s">
        <v>228</v>
      </c>
      <c r="C23" s="89">
        <f ca="1">SUMPRODUCT(('Input Data'!Z3:Z27&gt;TODAY())*(YEAR('Input Data'!Z3:Z27)=2030)*('Input Data'!AA3:AA27&gt;0)*'Input Data'!AA3:AA27*'Input Data'!F3:F27)</f>
        <v>634398.75</v>
      </c>
      <c r="D23" s="90">
        <f ca="1">IFERROR(C23/(SUMPRODUCT(('Input Data'!Z3:Z27&gt;TODAY())*('Input Data'!AA3:AA27&gt;0)*'Input Data'!AA3:AA27*'Input Data'!F3:F27)),0)</f>
        <v>0.1306197215546937</v>
      </c>
      <c r="E23" s="91">
        <f ca="1">SUMPRODUCT(('Input Data'!Z3:Z27&gt;TODAY())*(YEAR('Input Data'!Z3:Z27)=2030)*('Input Data'!AA3:AA27&gt;0)*'Input Data'!F3:F27)</f>
        <v>525</v>
      </c>
      <c r="F23" s="90">
        <f ca="1">IFERROR(E23/(SUMPRODUCT(('Input Data'!Z3:Z27&gt;TODAY())*('Input Data'!AA3:AA27&gt;0)*'Input Data'!F3:F27)),0)</f>
        <v>0.12157280474249721</v>
      </c>
      <c r="G23" s="92">
        <f ca="1">SUMPRODUCT(('Input Data'!Z3:Z27&gt;TODAY())*(YEAR('Input Data'!Z3:Z27)=2030)*('Input Data'!AA3:AA27&gt;0)*1)</f>
        <v>2</v>
      </c>
      <c r="H23" s="377" t="str">
        <f ca="1">IFERROR(MID(IF(('Input Data'!Z3&gt;TODAY())*('Input Data'!AA3&gt;0)*(YEAR('Input Data'!Z3)=2030),", "&amp;'Input Data'!AB3&amp;" ("&amp;'Input Data'!C3&amp;")","")&amp;IF(('Input Data'!Z4&gt;TODAY())*('Input Data'!AA4&gt;0)*(YEAR('Input Data'!Z4)=2030),", "&amp;'Input Data'!AB4&amp;" ("&amp;'Input Data'!C4&amp;")","")&amp;IF(('Input Data'!Z5&gt;TODAY())*('Input Data'!AA5&gt;0)*(YEAR('Input Data'!Z5)=2030),", "&amp;'Input Data'!AB5&amp;" ("&amp;'Input Data'!C5&amp;")","")&amp;IF(('Input Data'!Z6&gt;TODAY())*('Input Data'!AA6&gt;0)*(YEAR('Input Data'!Z6)=2030),", "&amp;'Input Data'!AB6&amp;" ("&amp;'Input Data'!C6&amp;")","")&amp;IF(('Input Data'!Z7&gt;TODAY())*('Input Data'!AA7&gt;0)*(YEAR('Input Data'!Z7)=2030),", "&amp;'Input Data'!AB7&amp;" ("&amp;'Input Data'!C7&amp;")","")&amp;IF(('Input Data'!Z8&gt;TODAY())*('Input Data'!AA8&gt;0)*(YEAR('Input Data'!Z8)=2030),", "&amp;'Input Data'!AB8&amp;" ("&amp;'Input Data'!C8&amp;")","")&amp;IF(('Input Data'!Z9&gt;TODAY())*('Input Data'!AA9&gt;0)*(YEAR('Input Data'!Z9)=2030),", "&amp;'Input Data'!AB9&amp;" ("&amp;'Input Data'!C9&amp;")","")&amp;IF(('Input Data'!Z10&gt;TODAY())*('Input Data'!AA10&gt;0)*(YEAR('Input Data'!Z10)=2030),", "&amp;'Input Data'!AB10&amp;" ("&amp;'Input Data'!C10&amp;")","")&amp;IF(('Input Data'!Z11&gt;TODAY())*('Input Data'!AA11&gt;0)*(YEAR('Input Data'!Z11)=2030),", "&amp;'Input Data'!AB11&amp;" ("&amp;'Input Data'!C11&amp;")","")&amp;IF(('Input Data'!Z12&gt;TODAY())*('Input Data'!AA12&gt;0)*(YEAR('Input Data'!Z12)=2030),", "&amp;'Input Data'!AB12&amp;" ("&amp;'Input Data'!C12&amp;")","")&amp;IF(('Input Data'!Z13&gt;TODAY())*('Input Data'!AA13&gt;0)*(YEAR('Input Data'!Z13)=2030),", "&amp;'Input Data'!AB13&amp;" ("&amp;'Input Data'!C13&amp;")","")&amp;IF(('Input Data'!Z14&gt;TODAY())*('Input Data'!AA14&gt;0)*(YEAR('Input Data'!Z14)=2030),", "&amp;'Input Data'!AB14&amp;" ("&amp;'Input Data'!C14&amp;")","")&amp;IF(('Input Data'!Z15&gt;TODAY())*('Input Data'!AA15&gt;0)*(YEAR('Input Data'!Z15)=2030),", "&amp;'Input Data'!AB15&amp;" ("&amp;'Input Data'!C15&amp;")","")&amp;IF(('Input Data'!Z16&gt;TODAY())*('Input Data'!AA16&gt;0)*(YEAR('Input Data'!Z16)=2030),", "&amp;'Input Data'!AB16&amp;" ("&amp;'Input Data'!C16&amp;")","")&amp;IF(('Input Data'!Z17&gt;TODAY())*('Input Data'!AA17&gt;0)*(YEAR('Input Data'!Z17)=2030),", "&amp;'Input Data'!AB17&amp;" ("&amp;'Input Data'!C17&amp;")","")&amp;IF(('Input Data'!Z18&gt;TODAY())*('Input Data'!AA18&gt;0)*(YEAR('Input Data'!Z18)=2030),", "&amp;'Input Data'!AB18&amp;" ("&amp;'Input Data'!C18&amp;")","")&amp;IF(('Input Data'!Z19&gt;TODAY())*('Input Data'!AA19&gt;0)*(YEAR('Input Data'!Z19)=2030),", "&amp;'Input Data'!AB19&amp;" ("&amp;'Input Data'!C19&amp;")","")&amp;IF(('Input Data'!Z20&gt;TODAY())*('Input Data'!AA20&gt;0)*(YEAR('Input Data'!Z20)=2030),", "&amp;'Input Data'!AB20&amp;" ("&amp;'Input Data'!C20&amp;")","")&amp;IF(('Input Data'!Z21&gt;TODAY())*('Input Data'!AA21&gt;0)*(YEAR('Input Data'!Z21)=2030),", "&amp;'Input Data'!AB21&amp;" ("&amp;'Input Data'!C21&amp;")","")&amp;IF(('Input Data'!Z22&gt;TODAY())*('Input Data'!AA22&gt;0)*(YEAR('Input Data'!Z22)=2030),", "&amp;'Input Data'!AB22&amp;" ("&amp;'Input Data'!C22&amp;")","")&amp;IF(('Input Data'!Z23&gt;TODAY())*('Input Data'!AA23&gt;0)*(YEAR('Input Data'!Z23)=2030),", "&amp;'Input Data'!AB23&amp;" ("&amp;'Input Data'!C23&amp;")","")&amp;IF(('Input Data'!Z24&gt;TODAY())*('Input Data'!AA24&gt;0)*(YEAR('Input Data'!Z24)=2030),", "&amp;'Input Data'!AB24&amp;" ("&amp;'Input Data'!C24&amp;")","")&amp;IF(('Input Data'!Z25&gt;TODAY())*('Input Data'!AA25&gt;0)*(YEAR('Input Data'!Z25)=2030),", "&amp;'Input Data'!AB25&amp;" ("&amp;'Input Data'!C25&amp;")","")&amp;IF(('Input Data'!Z26&gt;TODAY())*('Input Data'!AA26&gt;0)*(YEAR('Input Data'!Z26)=2030),", "&amp;'Input Data'!AB26&amp;" ("&amp;'Input Data'!C26&amp;")","")&amp;IF(('Input Data'!Z27&gt;TODAY())*('Input Data'!AA27&gt;0)*(YEAR('Input Data'!Z27)=2030),", "&amp;'Input Data'!AB27&amp;" ("&amp;'Input Data'!C27&amp;")",""),3,999),"—")</f>
        <v>Arkance Australia (801), Capital E Marketing (902&amp;3)</v>
      </c>
      <c r="I23" s="377"/>
      <c r="J23" s="377"/>
      <c r="K23" s="377"/>
      <c r="L23" s="377"/>
      <c r="M23" s="377"/>
      <c r="N23" s="377"/>
    </row>
    <row r="24" spans="1:14" ht="18" customHeight="1" x14ac:dyDescent="0.35">
      <c r="A24" s="5"/>
      <c r="B24" s="94" t="s">
        <v>229</v>
      </c>
      <c r="C24" s="95">
        <f ca="1">SUMPRODUCT(('Input Data'!Z3:Z27&gt;TODAY())*(YEAR('Input Data'!Z3:Z27)&gt;=2031)*('Input Data'!AA3:AA27&gt;0)*'Input Data'!AA3:AA27*'Input Data'!F3:F27)</f>
        <v>343200.11599999998</v>
      </c>
      <c r="D24" s="96">
        <f ca="1">IFERROR(C24/(SUMPRODUCT(('Input Data'!Z3:Z27&gt;TODAY())*('Input Data'!AA3:AA27&gt;0)*'Input Data'!AA3:AA27*'Input Data'!F3:F27)),0)</f>
        <v>7.0663291170511566E-2</v>
      </c>
      <c r="E24" s="97">
        <f ca="1">SUMPRODUCT(('Input Data'!Z3:Z27&gt;TODAY())*(YEAR('Input Data'!Z3:Z27)&gt;=2031)*('Input Data'!AA3:AA27&gt;0)*'Input Data'!F3:F27)</f>
        <v>298.3</v>
      </c>
      <c r="F24" s="96">
        <f ca="1">IFERROR(E24/(SUMPRODUCT(('Input Data'!Z3:Z27&gt;TODAY())*('Input Data'!AA3:AA27&gt;0)*'Input Data'!F3:F27)),0)</f>
        <v>6.9076509818451273E-2</v>
      </c>
      <c r="G24" s="98">
        <f ca="1">SUMPRODUCT(('Input Data'!Z3:Z27&gt;TODAY())*(YEAR('Input Data'!Z3:Z27)&gt;=2031)*('Input Data'!AA3:AA27&gt;0)*1)</f>
        <v>1</v>
      </c>
      <c r="H24" s="378" t="str">
        <f ca="1">IFERROR(MID(IF(('Input Data'!Z3&gt;TODAY())*('Input Data'!AA3&gt;0)*(YEAR('Input Data'!Z3)&gt;=2031),", "&amp;'Input Data'!AB3&amp;" ("&amp;'Input Data'!C3&amp;")","")&amp;IF(('Input Data'!Z4&gt;TODAY())*('Input Data'!AA4&gt;0)*(YEAR('Input Data'!Z4)&gt;=2031),", "&amp;'Input Data'!AB4&amp;" ("&amp;'Input Data'!C4&amp;")","")&amp;IF(('Input Data'!Z5&gt;TODAY())*('Input Data'!AA5&gt;0)*(YEAR('Input Data'!Z5)&gt;=2031),", "&amp;'Input Data'!AB5&amp;" ("&amp;'Input Data'!C5&amp;")","")&amp;IF(('Input Data'!Z6&gt;TODAY())*('Input Data'!AA6&gt;0)*(YEAR('Input Data'!Z6)&gt;=2031),", "&amp;'Input Data'!AB6&amp;" ("&amp;'Input Data'!C6&amp;")","")&amp;IF(('Input Data'!Z7&gt;TODAY())*('Input Data'!AA7&gt;0)*(YEAR('Input Data'!Z7)&gt;=2031),", "&amp;'Input Data'!AB7&amp;" ("&amp;'Input Data'!C7&amp;")","")&amp;IF(('Input Data'!Z8&gt;TODAY())*('Input Data'!AA8&gt;0)*(YEAR('Input Data'!Z8)&gt;=2031),", "&amp;'Input Data'!AB8&amp;" ("&amp;'Input Data'!C8&amp;")","")&amp;IF(('Input Data'!Z9&gt;TODAY())*('Input Data'!AA9&gt;0)*(YEAR('Input Data'!Z9)&gt;=2031),", "&amp;'Input Data'!AB9&amp;" ("&amp;'Input Data'!C9&amp;")","")&amp;IF(('Input Data'!Z10&gt;TODAY())*('Input Data'!AA10&gt;0)*(YEAR('Input Data'!Z10)&gt;=2031),", "&amp;'Input Data'!AB10&amp;" ("&amp;'Input Data'!C10&amp;")","")&amp;IF(('Input Data'!Z11&gt;TODAY())*('Input Data'!AA11&gt;0)*(YEAR('Input Data'!Z11)&gt;=2031),", "&amp;'Input Data'!AB11&amp;" ("&amp;'Input Data'!C11&amp;")","")&amp;IF(('Input Data'!Z12&gt;TODAY())*('Input Data'!AA12&gt;0)*(YEAR('Input Data'!Z12)&gt;=2031),", "&amp;'Input Data'!AB12&amp;" ("&amp;'Input Data'!C12&amp;")","")&amp;IF(('Input Data'!Z13&gt;TODAY())*('Input Data'!AA13&gt;0)*(YEAR('Input Data'!Z13)&gt;=2031),", "&amp;'Input Data'!AB13&amp;" ("&amp;'Input Data'!C13&amp;")","")&amp;IF(('Input Data'!Z14&gt;TODAY())*('Input Data'!AA14&gt;0)*(YEAR('Input Data'!Z14)&gt;=2031),", "&amp;'Input Data'!AB14&amp;" ("&amp;'Input Data'!C14&amp;")","")&amp;IF(('Input Data'!Z15&gt;TODAY())*('Input Data'!AA15&gt;0)*(YEAR('Input Data'!Z15)&gt;=2031),", "&amp;'Input Data'!AB15&amp;" ("&amp;'Input Data'!C15&amp;")","")&amp;IF(('Input Data'!Z16&gt;TODAY())*('Input Data'!AA16&gt;0)*(YEAR('Input Data'!Z16)&gt;=2031),", "&amp;'Input Data'!AB16&amp;" ("&amp;'Input Data'!C16&amp;")","")&amp;IF(('Input Data'!Z17&gt;TODAY())*('Input Data'!AA17&gt;0)*(YEAR('Input Data'!Z17)&gt;=2031),", "&amp;'Input Data'!AB17&amp;" ("&amp;'Input Data'!C17&amp;")","")&amp;IF(('Input Data'!Z18&gt;TODAY())*('Input Data'!AA18&gt;0)*(YEAR('Input Data'!Z18)&gt;=2031),", "&amp;'Input Data'!AB18&amp;" ("&amp;'Input Data'!C18&amp;")","")&amp;IF(('Input Data'!Z19&gt;TODAY())*('Input Data'!AA19&gt;0)*(YEAR('Input Data'!Z19)&gt;=2031),", "&amp;'Input Data'!AB19&amp;" ("&amp;'Input Data'!C19&amp;")","")&amp;IF(('Input Data'!Z20&gt;TODAY())*('Input Data'!AA20&gt;0)*(YEAR('Input Data'!Z20)&gt;=2031),", "&amp;'Input Data'!AB20&amp;" ("&amp;'Input Data'!C20&amp;")","")&amp;IF(('Input Data'!Z21&gt;TODAY())*('Input Data'!AA21&gt;0)*(YEAR('Input Data'!Z21)&gt;=2031),", "&amp;'Input Data'!AB21&amp;" ("&amp;'Input Data'!C21&amp;")","")&amp;IF(('Input Data'!Z22&gt;TODAY())*('Input Data'!AA22&gt;0)*(YEAR('Input Data'!Z22)&gt;=2031),", "&amp;'Input Data'!AB22&amp;" ("&amp;'Input Data'!C22&amp;")","")&amp;IF(('Input Data'!Z23&gt;TODAY())*('Input Data'!AA23&gt;0)*(YEAR('Input Data'!Z23)&gt;=2031),", "&amp;'Input Data'!AB23&amp;" ("&amp;'Input Data'!C23&amp;")","")&amp;IF(('Input Data'!Z24&gt;TODAY())*('Input Data'!AA24&gt;0)*(YEAR('Input Data'!Z24)&gt;=2031),", "&amp;'Input Data'!AB24&amp;" ("&amp;'Input Data'!C24&amp;")","")&amp;IF(('Input Data'!Z25&gt;TODAY())*('Input Data'!AA25&gt;0)*(YEAR('Input Data'!Z25)&gt;=2031),", "&amp;'Input Data'!AB25&amp;" ("&amp;'Input Data'!C25&amp;")","")&amp;IF(('Input Data'!Z26&gt;TODAY())*('Input Data'!AA26&gt;0)*(YEAR('Input Data'!Z26)&gt;=2031),", "&amp;'Input Data'!AB26&amp;" ("&amp;'Input Data'!C26&amp;")","")&amp;IF(('Input Data'!Z27&gt;TODAY())*('Input Data'!AA27&gt;0)*(YEAR('Input Data'!Z27)&gt;=2031),", "&amp;'Input Data'!AB27&amp;" ("&amp;'Input Data'!C27&amp;")",""),3,999),"—")</f>
        <v>Recoverie (GROUND)</v>
      </c>
      <c r="I24" s="378"/>
      <c r="J24" s="378"/>
      <c r="K24" s="378"/>
      <c r="L24" s="378"/>
      <c r="M24" s="378"/>
      <c r="N24" s="378"/>
    </row>
    <row r="25" spans="1:14" ht="19.5" customHeight="1" x14ac:dyDescent="0.35">
      <c r="A25" s="5"/>
      <c r="B25" s="72" t="s">
        <v>230</v>
      </c>
      <c r="C25" s="74">
        <f ca="1">SUMPRODUCT(('Input Data'!Z3:Z27&gt;TODAY())*('Input Data'!AA3:AA27&gt;0)*'Input Data'!AA3:AA27*'Input Data'!F3:F27)</f>
        <v>4856837.409</v>
      </c>
      <c r="D25" s="74">
        <f ca="1">SUM(C19:C24)</f>
        <v>4856837.409</v>
      </c>
      <c r="E25" s="73">
        <f ca="1">SUMPRODUCT(('Input Data'!Z3:Z27&gt;TODAY())*('Input Data'!AA3:AA27&gt;0)*'Input Data'!F3:F27)</f>
        <v>4318.4000000000005</v>
      </c>
      <c r="F25" s="73">
        <f ca="1">SUM(E19:E24)</f>
        <v>4318.3999999999996</v>
      </c>
      <c r="G25" s="100">
        <f>100%</f>
        <v>1</v>
      </c>
      <c r="H25" s="72">
        <v>23</v>
      </c>
      <c r="I25" s="379">
        <f ca="1">SUM(G19:G24)</f>
        <v>23</v>
      </c>
      <c r="J25" s="379"/>
      <c r="K25" s="379"/>
      <c r="L25" s="379"/>
      <c r="M25" s="379"/>
      <c r="N25" s="379"/>
    </row>
    <row r="26" spans="1:14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 ht="19.5" customHeight="1" x14ac:dyDescent="0.35">
      <c r="A27" s="5"/>
      <c r="B27" s="373" t="s">
        <v>231</v>
      </c>
      <c r="C27" s="373"/>
      <c r="D27" s="373"/>
      <c r="E27" s="373"/>
      <c r="F27" s="373"/>
      <c r="G27" s="373"/>
      <c r="H27" s="373"/>
      <c r="I27" s="373"/>
      <c r="J27" s="373"/>
      <c r="K27" s="373"/>
      <c r="L27" s="373"/>
      <c r="M27" s="373"/>
      <c r="N27" s="373"/>
    </row>
    <row r="28" spans="1:14" ht="19.5" customHeight="1" x14ac:dyDescent="0.35">
      <c r="A28" s="5"/>
      <c r="B28" s="84" t="s">
        <v>232</v>
      </c>
      <c r="C28" s="374" t="s">
        <v>233</v>
      </c>
      <c r="D28" s="374"/>
      <c r="E28" s="84" t="s">
        <v>234</v>
      </c>
      <c r="F28" s="84" t="s">
        <v>235</v>
      </c>
      <c r="G28" s="84" t="s">
        <v>236</v>
      </c>
      <c r="H28" s="84" t="s">
        <v>237</v>
      </c>
      <c r="I28" s="84" t="s">
        <v>238</v>
      </c>
      <c r="J28" s="374" t="s">
        <v>239</v>
      </c>
      <c r="K28" s="374"/>
      <c r="L28" s="374"/>
      <c r="M28" s="374"/>
      <c r="N28" s="374"/>
    </row>
    <row r="29" spans="1:14" ht="15" customHeight="1" x14ac:dyDescent="0.35">
      <c r="A29" s="5"/>
      <c r="B29" s="11" t="str">
        <f>'Input Data'!C3</f>
        <v>LWR GROUND</v>
      </c>
      <c r="C29" s="328" t="str">
        <f ca="1">'Input Data'!D3</f>
        <v>OPULENT TWO ENTERPRISES</v>
      </c>
      <c r="D29" s="328"/>
      <c r="E29" s="27">
        <f>'Input Data'!F3</f>
        <v>151.19999999999999</v>
      </c>
      <c r="F29" s="30">
        <f ca="1">'Input Data'!J3</f>
        <v>1002.01</v>
      </c>
      <c r="G29" s="30">
        <f>'Input Data'!S3</f>
        <v>930</v>
      </c>
      <c r="H29" s="30">
        <f t="shared" ref="H29:H52" ca="1" si="0">F29-G29</f>
        <v>72.009999999999991</v>
      </c>
      <c r="I29" s="31">
        <f t="shared" ref="I29:I51" ca="1" si="1">IFERROR((F29-G29)/G29,0)</f>
        <v>7.7430107526881717E-2</v>
      </c>
      <c r="J29" s="328" t="str">
        <f t="shared" ref="J29:J51" ca="1" si="2">IF(I29&gt;0.05,"▲ Above Market",IF(I29&lt;-0.05,"▼ Below Market","≈ At Market"))</f>
        <v>▲ Above Market</v>
      </c>
      <c r="K29" s="328"/>
      <c r="L29" s="328"/>
      <c r="M29" s="328"/>
      <c r="N29" s="328"/>
    </row>
    <row r="30" spans="1:14" ht="15" customHeight="1" x14ac:dyDescent="0.35">
      <c r="A30" s="5"/>
      <c r="B30" s="11" t="str">
        <f>'Input Data'!C4</f>
        <v>GROUND</v>
      </c>
      <c r="C30" s="328" t="str">
        <f ca="1">'Input Data'!D4</f>
        <v>RCVRI MARTIN PLACE PTY LTD</v>
      </c>
      <c r="D30" s="328"/>
      <c r="E30" s="27">
        <f>'Input Data'!F4</f>
        <v>298.3</v>
      </c>
      <c r="F30" s="30">
        <f ca="1">'Input Data'!J4</f>
        <v>1150.52</v>
      </c>
      <c r="G30" s="30">
        <f>'Input Data'!S4</f>
        <v>1100</v>
      </c>
      <c r="H30" s="30">
        <f t="shared" ca="1" si="0"/>
        <v>50.519999999999982</v>
      </c>
      <c r="I30" s="31">
        <f t="shared" ca="1" si="1"/>
        <v>4.5927272727272712E-2</v>
      </c>
      <c r="J30" s="328" t="str">
        <f t="shared" ca="1" si="2"/>
        <v>≈ At Market</v>
      </c>
      <c r="K30" s="328"/>
      <c r="L30" s="328"/>
      <c r="M30" s="328"/>
      <c r="N30" s="328"/>
    </row>
    <row r="31" spans="1:14" ht="15" customHeight="1" x14ac:dyDescent="0.35">
      <c r="A31" s="5"/>
      <c r="B31" s="60" t="str">
        <f>'Input Data'!C5</f>
        <v>101&amp;2</v>
      </c>
      <c r="C31" s="380" t="str">
        <f>'Input Data'!D5</f>
        <v>VACANT</v>
      </c>
      <c r="D31" s="380"/>
      <c r="E31" s="62">
        <f>'Input Data'!F5</f>
        <v>162.4</v>
      </c>
      <c r="F31" s="65">
        <f>'Input Data'!J5</f>
        <v>0</v>
      </c>
      <c r="G31" s="65">
        <f>'Input Data'!S5</f>
        <v>1115</v>
      </c>
      <c r="H31" s="65">
        <f t="shared" si="0"/>
        <v>-1115</v>
      </c>
      <c r="I31" s="66">
        <f t="shared" si="1"/>
        <v>-1</v>
      </c>
      <c r="J31" s="380" t="str">
        <f t="shared" si="2"/>
        <v>▼ Below Market</v>
      </c>
      <c r="K31" s="380"/>
      <c r="L31" s="380"/>
      <c r="M31" s="380"/>
      <c r="N31" s="380"/>
    </row>
    <row r="32" spans="1:14" ht="15" customHeight="1" x14ac:dyDescent="0.35">
      <c r="A32" s="5"/>
      <c r="B32" s="101" t="str">
        <f>'Input Data'!C6</f>
        <v>103</v>
      </c>
      <c r="C32" s="381" t="str">
        <f ca="1">'Input Data'!D6</f>
        <v>PU PRIME TRADING PTY LTD</v>
      </c>
      <c r="D32" s="381"/>
      <c r="E32" s="103">
        <f>'Input Data'!F6</f>
        <v>96.3</v>
      </c>
      <c r="F32" s="104">
        <f>'Input Data'!J6</f>
        <v>1021.99</v>
      </c>
      <c r="G32" s="104">
        <f>'Input Data'!S6</f>
        <v>960</v>
      </c>
      <c r="H32" s="104">
        <f t="shared" si="0"/>
        <v>61.990000000000009</v>
      </c>
      <c r="I32" s="105">
        <f t="shared" si="1"/>
        <v>6.4572916666666674E-2</v>
      </c>
      <c r="J32" s="381" t="str">
        <f t="shared" si="2"/>
        <v>▲ Above Market</v>
      </c>
      <c r="K32" s="381"/>
      <c r="L32" s="381"/>
      <c r="M32" s="381"/>
      <c r="N32" s="381"/>
    </row>
    <row r="33" spans="1:14" ht="15" customHeight="1" x14ac:dyDescent="0.35">
      <c r="A33" s="5"/>
      <c r="B33" s="60" t="str">
        <f>'Input Data'!C7</f>
        <v>104</v>
      </c>
      <c r="C33" s="380" t="str">
        <f ca="1">'Input Data'!D7</f>
        <v>TJC#1 PTY LTD</v>
      </c>
      <c r="D33" s="380"/>
      <c r="E33" s="62">
        <f>'Input Data'!F7</f>
        <v>98.1</v>
      </c>
      <c r="F33" s="65">
        <f ca="1">'Input Data'!J7</f>
        <v>973.44</v>
      </c>
      <c r="G33" s="65">
        <f>'Input Data'!S7</f>
        <v>960</v>
      </c>
      <c r="H33" s="65">
        <f t="shared" ca="1" si="0"/>
        <v>13.440000000000055</v>
      </c>
      <c r="I33" s="66">
        <f t="shared" ca="1" si="1"/>
        <v>1.4000000000000058E-2</v>
      </c>
      <c r="J33" s="380" t="str">
        <f t="shared" ca="1" si="2"/>
        <v>≈ At Market</v>
      </c>
      <c r="K33" s="380"/>
      <c r="L33" s="380"/>
      <c r="M33" s="380"/>
      <c r="N33" s="380"/>
    </row>
    <row r="34" spans="1:14" ht="15" customHeight="1" x14ac:dyDescent="0.35">
      <c r="A34" s="5"/>
      <c r="B34" s="101" t="str">
        <f>'Input Data'!C8</f>
        <v>WHOLE</v>
      </c>
      <c r="C34" s="381" t="str">
        <f ca="1">'Input Data'!D8</f>
        <v>PRINCETON FINANCIAL SERVICES</v>
      </c>
      <c r="D34" s="381"/>
      <c r="E34" s="103">
        <f>'Input Data'!F8</f>
        <v>393.2</v>
      </c>
      <c r="F34" s="104">
        <f ca="1">'Input Data'!J8</f>
        <v>1081.5999999999999</v>
      </c>
      <c r="G34" s="104">
        <f>'Input Data'!S8</f>
        <v>1095</v>
      </c>
      <c r="H34" s="104">
        <f t="shared" ca="1" si="0"/>
        <v>-13.400000000000091</v>
      </c>
      <c r="I34" s="105">
        <f t="shared" ca="1" si="1"/>
        <v>-1.2237442922374513E-2</v>
      </c>
      <c r="J34" s="381" t="str">
        <f t="shared" ca="1" si="2"/>
        <v>≈ At Market</v>
      </c>
      <c r="K34" s="381"/>
      <c r="L34" s="381"/>
      <c r="M34" s="381"/>
      <c r="N34" s="381"/>
    </row>
    <row r="35" spans="1:14" ht="15" customHeight="1" x14ac:dyDescent="0.35">
      <c r="A35" s="5"/>
      <c r="B35" s="46" t="str">
        <f>'Input Data'!C9</f>
        <v>301&amp;2</v>
      </c>
      <c r="C35" s="346" t="str">
        <f ca="1">'Input Data'!D9</f>
        <v>IPM RESIDENTIAL PTY LTD</v>
      </c>
      <c r="D35" s="346"/>
      <c r="E35" s="48">
        <f>'Input Data'!F9</f>
        <v>164.2</v>
      </c>
      <c r="F35" s="50">
        <f>'Input Data'!J9</f>
        <v>1216.58</v>
      </c>
      <c r="G35" s="50">
        <f>'Input Data'!S9</f>
        <v>1135</v>
      </c>
      <c r="H35" s="50">
        <f t="shared" si="0"/>
        <v>81.579999999999927</v>
      </c>
      <c r="I35" s="51">
        <f t="shared" si="1"/>
        <v>7.1876651982378789E-2</v>
      </c>
      <c r="J35" s="346" t="str">
        <f t="shared" si="2"/>
        <v>▲ Above Market</v>
      </c>
      <c r="K35" s="346"/>
      <c r="L35" s="346"/>
      <c r="M35" s="346"/>
      <c r="N35" s="346"/>
    </row>
    <row r="36" spans="1:14" ht="15" customHeight="1" x14ac:dyDescent="0.35">
      <c r="A36" s="5"/>
      <c r="B36" s="101" t="str">
        <f>'Input Data'!C10</f>
        <v>303&amp;4</v>
      </c>
      <c r="C36" s="381" t="str">
        <f ca="1">'Input Data'!D10</f>
        <v>BROADRIDGE (AUSTRALIA) PTY LTD</v>
      </c>
      <c r="D36" s="381"/>
      <c r="E36" s="103">
        <f>'Input Data'!F10</f>
        <v>193.4</v>
      </c>
      <c r="F36" s="104">
        <f ca="1">'Input Data'!J10</f>
        <v>933.75</v>
      </c>
      <c r="G36" s="104">
        <f>'Input Data'!S10</f>
        <v>920</v>
      </c>
      <c r="H36" s="104">
        <f t="shared" ca="1" si="0"/>
        <v>13.75</v>
      </c>
      <c r="I36" s="105">
        <f t="shared" ca="1" si="1"/>
        <v>1.4945652173913044E-2</v>
      </c>
      <c r="J36" s="381" t="str">
        <f t="shared" ca="1" si="2"/>
        <v>≈ At Market</v>
      </c>
      <c r="K36" s="381"/>
      <c r="L36" s="381"/>
      <c r="M36" s="381"/>
      <c r="N36" s="381"/>
    </row>
    <row r="37" spans="1:14" ht="15" customHeight="1" x14ac:dyDescent="0.35">
      <c r="A37" s="5"/>
      <c r="B37" s="11" t="str">
        <f>'Input Data'!C11</f>
        <v>401</v>
      </c>
      <c r="C37" s="328" t="str">
        <f ca="1">'Input Data'!D11</f>
        <v>B-W INTERNATIONAL AUSTRALIA PTY LTD</v>
      </c>
      <c r="D37" s="328"/>
      <c r="E37" s="27">
        <f>'Input Data'!F11</f>
        <v>214.1</v>
      </c>
      <c r="F37" s="30">
        <f ca="1">'Input Data'!J11</f>
        <v>1135.6099999999999</v>
      </c>
      <c r="G37" s="30">
        <f>'Input Data'!S11</f>
        <v>1145</v>
      </c>
      <c r="H37" s="30">
        <f t="shared" ca="1" si="0"/>
        <v>-9.3900000000001</v>
      </c>
      <c r="I37" s="31">
        <f t="shared" ca="1" si="1"/>
        <v>-8.2008733624455016E-3</v>
      </c>
      <c r="J37" s="328" t="str">
        <f t="shared" ca="1" si="2"/>
        <v>≈ At Market</v>
      </c>
      <c r="K37" s="328"/>
      <c r="L37" s="328"/>
      <c r="M37" s="328"/>
      <c r="N37" s="328"/>
    </row>
    <row r="38" spans="1:14" ht="15" customHeight="1" x14ac:dyDescent="0.35">
      <c r="A38" s="5"/>
      <c r="B38" s="11" t="str">
        <f>'Input Data'!C12</f>
        <v>402</v>
      </c>
      <c r="C38" s="328" t="str">
        <f ca="1">'Input Data'!D12</f>
        <v>MP TRAVEL PTY LTD</v>
      </c>
      <c r="D38" s="328"/>
      <c r="E38" s="27">
        <f>'Input Data'!F12</f>
        <v>145.6</v>
      </c>
      <c r="F38" s="30">
        <f ca="1">'Input Data'!J12</f>
        <v>1037.5</v>
      </c>
      <c r="G38" s="30">
        <f>'Input Data'!S12</f>
        <v>1000</v>
      </c>
      <c r="H38" s="30">
        <f t="shared" ca="1" si="0"/>
        <v>37.5</v>
      </c>
      <c r="I38" s="31">
        <f t="shared" ca="1" si="1"/>
        <v>3.7499999999999999E-2</v>
      </c>
      <c r="J38" s="328" t="str">
        <f t="shared" ca="1" si="2"/>
        <v>≈ At Market</v>
      </c>
      <c r="K38" s="328"/>
      <c r="L38" s="328"/>
      <c r="M38" s="328"/>
      <c r="N38" s="328"/>
    </row>
    <row r="39" spans="1:14" ht="15" customHeight="1" x14ac:dyDescent="0.35">
      <c r="A39" s="5"/>
      <c r="B39" s="46" t="str">
        <f>'Input Data'!C13</f>
        <v>501</v>
      </c>
      <c r="C39" s="346" t="str">
        <f ca="1">'Input Data'!D13</f>
        <v>MONTGOMERY INVESTMENT</v>
      </c>
      <c r="D39" s="346"/>
      <c r="E39" s="48">
        <f>'Input Data'!F13</f>
        <v>212.3</v>
      </c>
      <c r="F39" s="50">
        <f ca="1">'Input Data'!J13</f>
        <v>1341.24</v>
      </c>
      <c r="G39" s="50">
        <f>'Input Data'!S13</f>
        <v>1155</v>
      </c>
      <c r="H39" s="50">
        <f t="shared" ca="1" si="0"/>
        <v>186.24</v>
      </c>
      <c r="I39" s="51">
        <f t="shared" ca="1" si="1"/>
        <v>0.16124675324675325</v>
      </c>
      <c r="J39" s="346" t="str">
        <f t="shared" ca="1" si="2"/>
        <v>▲ Above Market</v>
      </c>
      <c r="K39" s="346"/>
      <c r="L39" s="346"/>
      <c r="M39" s="346"/>
      <c r="N39" s="346"/>
    </row>
    <row r="40" spans="1:14" ht="15" customHeight="1" x14ac:dyDescent="0.35">
      <c r="A40" s="5"/>
      <c r="B40" s="46" t="str">
        <f>'Input Data'!C14</f>
        <v>502</v>
      </c>
      <c r="C40" s="346" t="str">
        <f ca="1">'Input Data'!D14</f>
        <v>THREAT DEFENCE</v>
      </c>
      <c r="D40" s="346"/>
      <c r="E40" s="48">
        <f>'Input Data'!F14</f>
        <v>163.80000000000001</v>
      </c>
      <c r="F40" s="50">
        <f>'Input Data'!J14</f>
        <v>1054.8800000000001</v>
      </c>
      <c r="G40" s="50">
        <f>'Input Data'!S14</f>
        <v>1020</v>
      </c>
      <c r="H40" s="50">
        <f t="shared" si="0"/>
        <v>34.880000000000109</v>
      </c>
      <c r="I40" s="51">
        <f t="shared" si="1"/>
        <v>3.4196078431372658E-2</v>
      </c>
      <c r="J40" s="346" t="str">
        <f t="shared" si="2"/>
        <v>≈ At Market</v>
      </c>
      <c r="K40" s="346"/>
      <c r="L40" s="346"/>
      <c r="M40" s="346"/>
      <c r="N40" s="346"/>
    </row>
    <row r="41" spans="1:14" ht="15" customHeight="1" x14ac:dyDescent="0.35">
      <c r="A41" s="5"/>
      <c r="B41" s="46" t="str">
        <f>'Input Data'!C15</f>
        <v>601</v>
      </c>
      <c r="C41" s="346" t="str">
        <f ca="1">'Input Data'!D15</f>
        <v>FULLCRM PTY LTD</v>
      </c>
      <c r="D41" s="346"/>
      <c r="E41" s="48">
        <f>'Input Data'!F15</f>
        <v>226.1</v>
      </c>
      <c r="F41" s="50">
        <f ca="1">'Input Data'!J15</f>
        <v>1251.3399999999999</v>
      </c>
      <c r="G41" s="50">
        <f>'Input Data'!S15</f>
        <v>1165</v>
      </c>
      <c r="H41" s="50">
        <f t="shared" ca="1" si="0"/>
        <v>86.339999999999918</v>
      </c>
      <c r="I41" s="51">
        <f t="shared" ca="1" si="1"/>
        <v>7.4111587982832544E-2</v>
      </c>
      <c r="J41" s="346" t="str">
        <f t="shared" ca="1" si="2"/>
        <v>▲ Above Market</v>
      </c>
      <c r="K41" s="346"/>
      <c r="L41" s="346"/>
      <c r="M41" s="346"/>
      <c r="N41" s="346"/>
    </row>
    <row r="42" spans="1:14" ht="15" customHeight="1" x14ac:dyDescent="0.35">
      <c r="A42" s="5"/>
      <c r="B42" s="60" t="str">
        <f>'Input Data'!C16</f>
        <v>602</v>
      </c>
      <c r="C42" s="380" t="str">
        <f>'Input Data'!D16</f>
        <v>INNOVIS</v>
      </c>
      <c r="D42" s="380"/>
      <c r="E42" s="62">
        <f>'Input Data'!F16</f>
        <v>152.1</v>
      </c>
      <c r="F42" s="65">
        <f>'Input Data'!J16</f>
        <v>1090</v>
      </c>
      <c r="G42" s="65">
        <f>'Input Data'!S16</f>
        <v>1030</v>
      </c>
      <c r="H42" s="65">
        <f t="shared" si="0"/>
        <v>60</v>
      </c>
      <c r="I42" s="66">
        <f t="shared" si="1"/>
        <v>5.8252427184466021E-2</v>
      </c>
      <c r="J42" s="380" t="str">
        <f t="shared" si="2"/>
        <v>▲ Above Market</v>
      </c>
      <c r="K42" s="380"/>
      <c r="L42" s="380"/>
      <c r="M42" s="380"/>
      <c r="N42" s="380"/>
    </row>
    <row r="43" spans="1:14" ht="15" customHeight="1" x14ac:dyDescent="0.35">
      <c r="A43" s="5"/>
      <c r="B43" s="46" t="str">
        <f>'Input Data'!C17</f>
        <v>701</v>
      </c>
      <c r="C43" s="346" t="str">
        <f ca="1">'Input Data'!D17</f>
        <v>PINPOINT TALENT PTY LTD</v>
      </c>
      <c r="D43" s="346"/>
      <c r="E43" s="48">
        <f>'Input Data'!F17</f>
        <v>210.5</v>
      </c>
      <c r="F43" s="50">
        <f ca="1">'Input Data'!J17</f>
        <v>1173.54</v>
      </c>
      <c r="G43" s="50">
        <f>'Input Data'!S17</f>
        <v>1175</v>
      </c>
      <c r="H43" s="50">
        <f t="shared" ca="1" si="0"/>
        <v>-1.4600000000000364</v>
      </c>
      <c r="I43" s="51">
        <f t="shared" ca="1" si="1"/>
        <v>-1.2425531914893927E-3</v>
      </c>
      <c r="J43" s="346" t="str">
        <f t="shared" ca="1" si="2"/>
        <v>≈ At Market</v>
      </c>
      <c r="K43" s="346"/>
      <c r="L43" s="346"/>
      <c r="M43" s="346"/>
      <c r="N43" s="346"/>
    </row>
    <row r="44" spans="1:14" ht="15" customHeight="1" x14ac:dyDescent="0.35">
      <c r="A44" s="5"/>
      <c r="B44" s="101" t="str">
        <f>'Input Data'!C18</f>
        <v>702</v>
      </c>
      <c r="C44" s="381" t="str">
        <f ca="1">'Input Data'!D18</f>
        <v>SATELLITE OFFICE PTY LTD</v>
      </c>
      <c r="D44" s="381"/>
      <c r="E44" s="103">
        <f>'Input Data'!F18</f>
        <v>163.9</v>
      </c>
      <c r="F44" s="104">
        <f>'Input Data'!J18</f>
        <v>1054.8800000000001</v>
      </c>
      <c r="G44" s="104">
        <f>'Input Data'!S18</f>
        <v>1040</v>
      </c>
      <c r="H44" s="104">
        <f t="shared" si="0"/>
        <v>14.880000000000109</v>
      </c>
      <c r="I44" s="105">
        <f t="shared" si="1"/>
        <v>1.4307692307692412E-2</v>
      </c>
      <c r="J44" s="381" t="str">
        <f t="shared" si="2"/>
        <v>≈ At Market</v>
      </c>
      <c r="K44" s="381"/>
      <c r="L44" s="381"/>
      <c r="M44" s="381"/>
      <c r="N44" s="381"/>
    </row>
    <row r="45" spans="1:14" ht="15" customHeight="1" x14ac:dyDescent="0.35">
      <c r="A45" s="5"/>
      <c r="B45" s="11" t="str">
        <f>'Input Data'!C19</f>
        <v>801</v>
      </c>
      <c r="C45" s="328" t="str">
        <f ca="1">'Input Data'!D19</f>
        <v>ARKANCE AUSTRALIA PTY LTD</v>
      </c>
      <c r="D45" s="328"/>
      <c r="E45" s="27">
        <f>'Input Data'!F19</f>
        <v>222</v>
      </c>
      <c r="F45" s="30">
        <f ca="1">'Input Data'!J19</f>
        <v>1300</v>
      </c>
      <c r="G45" s="30">
        <f>'Input Data'!S19</f>
        <v>1300</v>
      </c>
      <c r="H45" s="30">
        <f t="shared" ca="1" si="0"/>
        <v>0</v>
      </c>
      <c r="I45" s="31">
        <f t="shared" ca="1" si="1"/>
        <v>0</v>
      </c>
      <c r="J45" s="328" t="str">
        <f t="shared" ca="1" si="2"/>
        <v>≈ At Market</v>
      </c>
      <c r="K45" s="328"/>
      <c r="L45" s="328"/>
      <c r="M45" s="328"/>
      <c r="N45" s="328"/>
    </row>
    <row r="46" spans="1:14" ht="15" customHeight="1" x14ac:dyDescent="0.35">
      <c r="A46" s="5"/>
      <c r="B46" s="101" t="str">
        <f>'Input Data'!C20</f>
        <v>802</v>
      </c>
      <c r="C46" s="381" t="str">
        <f ca="1">'Input Data'!D20</f>
        <v>HILLIARD &amp; BERRY</v>
      </c>
      <c r="D46" s="381"/>
      <c r="E46" s="103">
        <f>'Input Data'!F20</f>
        <v>138.5</v>
      </c>
      <c r="F46" s="104">
        <f ca="1">'Input Data'!J20</f>
        <v>843.65</v>
      </c>
      <c r="G46" s="104">
        <f>'Input Data'!S20</f>
        <v>1030</v>
      </c>
      <c r="H46" s="104">
        <f t="shared" ca="1" si="0"/>
        <v>-186.35000000000002</v>
      </c>
      <c r="I46" s="105">
        <f t="shared" ca="1" si="1"/>
        <v>-0.18092233009708741</v>
      </c>
      <c r="J46" s="381" t="str">
        <f t="shared" ca="1" si="2"/>
        <v>▼ Below Market</v>
      </c>
      <c r="K46" s="381"/>
      <c r="L46" s="381"/>
      <c r="M46" s="381"/>
      <c r="N46" s="381"/>
    </row>
    <row r="47" spans="1:14" ht="15" customHeight="1" x14ac:dyDescent="0.35">
      <c r="A47" s="5"/>
      <c r="B47" s="60" t="str">
        <f>'Input Data'!C21</f>
        <v>901</v>
      </c>
      <c r="C47" s="380" t="str">
        <f ca="1">'Input Data'!D21</f>
        <v>AITKEN INVESTMENT MANAGEMENT PTY LTD</v>
      </c>
      <c r="D47" s="380"/>
      <c r="E47" s="62">
        <f>'Input Data'!F21</f>
        <v>52.8</v>
      </c>
      <c r="F47" s="65">
        <f>'Input Data'!J21</f>
        <v>1338.88</v>
      </c>
      <c r="G47" s="65">
        <f>'Input Data'!S21</f>
        <v>1350</v>
      </c>
      <c r="H47" s="65">
        <f t="shared" si="0"/>
        <v>-11.119999999999891</v>
      </c>
      <c r="I47" s="66">
        <f t="shared" si="1"/>
        <v>-8.237037037036956E-3</v>
      </c>
      <c r="J47" s="380" t="str">
        <f t="shared" si="2"/>
        <v>≈ At Market</v>
      </c>
      <c r="K47" s="380"/>
      <c r="L47" s="380"/>
      <c r="M47" s="380"/>
      <c r="N47" s="380"/>
    </row>
    <row r="48" spans="1:14" ht="15" customHeight="1" x14ac:dyDescent="0.35">
      <c r="A48" s="5"/>
      <c r="B48" s="11" t="str">
        <f>'Input Data'!C22</f>
        <v>902&amp;3</v>
      </c>
      <c r="C48" s="328" t="str">
        <f ca="1">'Input Data'!D22</f>
        <v>CAPITAL E MARKETING AND EVENTS PTY LTD</v>
      </c>
      <c r="D48" s="328"/>
      <c r="E48" s="27">
        <f>'Input Data'!F22</f>
        <v>303</v>
      </c>
      <c r="F48" s="30">
        <f ca="1">'Input Data'!J22</f>
        <v>1141.25</v>
      </c>
      <c r="G48" s="30">
        <f>'Input Data'!S22</f>
        <v>1125</v>
      </c>
      <c r="H48" s="30">
        <f t="shared" ca="1" si="0"/>
        <v>16.25</v>
      </c>
      <c r="I48" s="31">
        <f t="shared" ca="1" si="1"/>
        <v>1.4444444444444444E-2</v>
      </c>
      <c r="J48" s="328" t="str">
        <f t="shared" ca="1" si="2"/>
        <v>≈ At Market</v>
      </c>
      <c r="K48" s="328"/>
      <c r="L48" s="328"/>
      <c r="M48" s="328"/>
      <c r="N48" s="328"/>
    </row>
    <row r="49" spans="1:14" ht="15" customHeight="1" x14ac:dyDescent="0.35">
      <c r="A49" s="5"/>
      <c r="B49" s="11" t="str">
        <f>'Input Data'!C23</f>
        <v>1001&amp;2</v>
      </c>
      <c r="C49" s="328" t="str">
        <f ca="1">'Input Data'!D23</f>
        <v>CONNECTUS SERVICES PTY LTD</v>
      </c>
      <c r="D49" s="328"/>
      <c r="E49" s="27">
        <f>'Input Data'!F23</f>
        <v>363.2</v>
      </c>
      <c r="F49" s="30">
        <f ca="1">'Input Data'!J23</f>
        <v>1189.67</v>
      </c>
      <c r="G49" s="30">
        <f>'Input Data'!S23</f>
        <v>1200</v>
      </c>
      <c r="H49" s="30">
        <f t="shared" ca="1" si="0"/>
        <v>-10.329999999999927</v>
      </c>
      <c r="I49" s="31">
        <f t="shared" ca="1" si="1"/>
        <v>-8.6083333333332734E-3</v>
      </c>
      <c r="J49" s="328" t="str">
        <f t="shared" ca="1" si="2"/>
        <v>≈ At Market</v>
      </c>
      <c r="K49" s="328"/>
      <c r="L49" s="328"/>
      <c r="M49" s="328"/>
      <c r="N49" s="328"/>
    </row>
    <row r="50" spans="1:14" ht="15" customHeight="1" x14ac:dyDescent="0.35">
      <c r="A50" s="5"/>
      <c r="B50" s="60" t="str">
        <f>'Input Data'!C24</f>
        <v>1101</v>
      </c>
      <c r="C50" s="380" t="str">
        <f ca="1">'Input Data'!D24</f>
        <v>MICHAEL FLEGG PTY LTD</v>
      </c>
      <c r="D50" s="380"/>
      <c r="E50" s="62">
        <f>'Input Data'!F24</f>
        <v>62.4</v>
      </c>
      <c r="F50" s="65">
        <f ca="1">'Input Data'!J24</f>
        <v>1368.73</v>
      </c>
      <c r="G50" s="65">
        <f>'Input Data'!S24</f>
        <v>1405</v>
      </c>
      <c r="H50" s="65">
        <f t="shared" ca="1" si="0"/>
        <v>-36.269999999999982</v>
      </c>
      <c r="I50" s="66">
        <f t="shared" ca="1" si="1"/>
        <v>-2.5814946619217068E-2</v>
      </c>
      <c r="J50" s="380" t="str">
        <f t="shared" ca="1" si="2"/>
        <v>≈ At Market</v>
      </c>
      <c r="K50" s="380"/>
      <c r="L50" s="380"/>
      <c r="M50" s="380"/>
      <c r="N50" s="380"/>
    </row>
    <row r="51" spans="1:14" ht="15" customHeight="1" x14ac:dyDescent="0.35">
      <c r="A51" s="5"/>
      <c r="B51" s="60" t="str">
        <f>'Input Data'!C25</f>
        <v>1102</v>
      </c>
      <c r="C51" s="380" t="str">
        <f ca="1">'Input Data'!D25</f>
        <v>LEWIS WOOLCOTT</v>
      </c>
      <c r="D51" s="380"/>
      <c r="E51" s="62">
        <f>'Input Data'!F25</f>
        <v>133.1</v>
      </c>
      <c r="F51" s="65">
        <f ca="1">'Input Data'!J25</f>
        <v>1271.0999999999999</v>
      </c>
      <c r="G51" s="65">
        <f>'Input Data'!S25</f>
        <v>1250</v>
      </c>
      <c r="H51" s="65">
        <f t="shared" ca="1" si="0"/>
        <v>21.099999999999909</v>
      </c>
      <c r="I51" s="66">
        <f t="shared" ca="1" si="1"/>
        <v>1.6879999999999926E-2</v>
      </c>
      <c r="J51" s="380" t="str">
        <f t="shared" ca="1" si="2"/>
        <v>≈ At Market</v>
      </c>
      <c r="K51" s="380"/>
      <c r="L51" s="380"/>
      <c r="M51" s="380"/>
      <c r="N51" s="380"/>
    </row>
    <row r="52" spans="1:14" ht="15" customHeight="1" x14ac:dyDescent="0.35">
      <c r="A52" s="5"/>
      <c r="B52" s="374" t="s">
        <v>240</v>
      </c>
      <c r="C52" s="374"/>
      <c r="D52" s="374"/>
      <c r="E52" s="374"/>
      <c r="F52" s="74">
        <f ca="1">IFERROR(SUMPRODUCT(('Input Data'!K3:K27&gt;0)*'Input Data'!J3:J27)/SUMPRODUCT(('Input Data'!K3:K27&gt;0)*1),0)</f>
        <v>1135.7460869565218</v>
      </c>
      <c r="G52" s="74">
        <f ca="1">IFERROR(SUMPRODUCT(('Input Data'!K3:K27&gt;0)*'Input Data'!S3:S27)/SUMPRODUCT(('Input Data'!K3:K27&gt;0)*1),0)</f>
        <v>1110.8695652173913</v>
      </c>
      <c r="H52" s="74">
        <f t="shared" ca="1" si="0"/>
        <v>24.876521739130567</v>
      </c>
      <c r="I52" s="100">
        <f ca="1">IFERROR(H52/G52,0)</f>
        <v>2.2393737769080355E-2</v>
      </c>
      <c r="J52" s="382"/>
      <c r="K52" s="382"/>
      <c r="L52" s="382"/>
      <c r="M52" s="382"/>
      <c r="N52" s="382"/>
    </row>
    <row r="53" spans="1:14" ht="7.5" customHeight="1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 ht="3.75" customHeight="1" x14ac:dyDescent="0.35">
      <c r="A54" s="106"/>
      <c r="B54" s="107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</row>
    <row r="55" spans="1:14" ht="3.75" customHeight="1" x14ac:dyDescent="0.35">
      <c r="A55" s="108"/>
      <c r="B55" s="109"/>
      <c r="C55" s="109"/>
      <c r="D55" s="108"/>
      <c r="E55" s="108"/>
      <c r="F55" s="109"/>
      <c r="G55" s="109"/>
      <c r="H55" s="109"/>
      <c r="I55" s="109"/>
      <c r="J55" s="108"/>
      <c r="K55" s="109"/>
      <c r="L55" s="109"/>
      <c r="M55" s="109"/>
      <c r="N55" s="108"/>
    </row>
    <row r="56" spans="1:14" ht="3.75" customHeight="1" x14ac:dyDescent="0.35">
      <c r="A56" s="106"/>
      <c r="B56" s="45"/>
      <c r="C56" s="110"/>
      <c r="D56" s="106"/>
      <c r="E56" s="106"/>
      <c r="F56" s="45"/>
      <c r="G56" s="45"/>
      <c r="H56" s="111"/>
      <c r="I56" s="112"/>
      <c r="J56" s="106"/>
      <c r="K56" s="113"/>
      <c r="L56" s="114"/>
      <c r="M56" s="45"/>
      <c r="N56" s="106"/>
    </row>
    <row r="57" spans="1:14" ht="3.75" customHeight="1" x14ac:dyDescent="0.35">
      <c r="A57" s="108"/>
      <c r="B57" s="115"/>
      <c r="C57" s="116"/>
      <c r="D57" s="108"/>
      <c r="E57" s="108"/>
      <c r="F57" s="115"/>
      <c r="G57" s="115"/>
      <c r="H57" s="117"/>
      <c r="I57" s="118"/>
      <c r="J57" s="108"/>
      <c r="K57" s="119"/>
      <c r="L57" s="120"/>
      <c r="M57" s="115"/>
      <c r="N57" s="108"/>
    </row>
    <row r="58" spans="1:14" ht="3.75" customHeight="1" x14ac:dyDescent="0.35">
      <c r="A58" s="106"/>
      <c r="B58" s="45"/>
      <c r="C58" s="110"/>
      <c r="D58" s="106"/>
      <c r="E58" s="106"/>
      <c r="F58" s="45"/>
      <c r="G58" s="45"/>
      <c r="H58" s="111"/>
      <c r="I58" s="112"/>
      <c r="J58" s="106"/>
      <c r="K58" s="113"/>
      <c r="L58" s="114"/>
      <c r="M58" s="45"/>
      <c r="N58" s="106"/>
    </row>
    <row r="59" spans="1:14" ht="3.75" customHeight="1" x14ac:dyDescent="0.35">
      <c r="A59" s="108"/>
      <c r="B59" s="116"/>
      <c r="C59" s="108"/>
      <c r="D59" s="108"/>
      <c r="E59" s="108"/>
      <c r="F59" s="108"/>
      <c r="G59" s="108"/>
      <c r="H59" s="108"/>
      <c r="I59" s="118"/>
      <c r="J59" s="108"/>
      <c r="K59" s="119"/>
      <c r="L59" s="108"/>
      <c r="M59" s="108"/>
      <c r="N59" s="108"/>
    </row>
    <row r="60" spans="1:14" ht="7.5" customHeight="1" x14ac:dyDescent="0.35">
      <c r="A60" s="106"/>
      <c r="B60" s="110"/>
      <c r="C60" s="106"/>
      <c r="D60" s="106"/>
      <c r="E60" s="110"/>
      <c r="F60" s="106"/>
      <c r="G60" s="106"/>
      <c r="H60" s="106"/>
      <c r="I60" s="106"/>
      <c r="J60" s="106"/>
      <c r="K60" s="106"/>
      <c r="L60" s="106"/>
      <c r="M60" s="106"/>
      <c r="N60" s="106"/>
    </row>
    <row r="61" spans="1:14" ht="7.5" customHeight="1" x14ac:dyDescent="0.35">
      <c r="A61" s="108"/>
      <c r="B61" s="116"/>
      <c r="C61" s="108"/>
      <c r="D61" s="108"/>
      <c r="E61" s="116"/>
      <c r="F61" s="108"/>
      <c r="G61" s="108"/>
      <c r="H61" s="108"/>
      <c r="I61" s="108"/>
      <c r="J61" s="108"/>
      <c r="K61" s="108"/>
      <c r="L61" s="108"/>
      <c r="M61" s="108"/>
      <c r="N61" s="108"/>
    </row>
    <row r="62" spans="1:14" ht="7.5" customHeight="1" x14ac:dyDescent="0.35">
      <c r="A62" s="106"/>
      <c r="B62" s="110"/>
      <c r="C62" s="106"/>
      <c r="D62" s="106"/>
      <c r="E62" s="110"/>
      <c r="F62" s="106"/>
      <c r="G62" s="106"/>
      <c r="H62" s="106"/>
      <c r="I62" s="106"/>
      <c r="J62" s="106"/>
      <c r="K62" s="106"/>
      <c r="L62" s="106"/>
      <c r="M62" s="106"/>
      <c r="N62" s="106"/>
    </row>
    <row r="63" spans="1:14" ht="7.5" customHeight="1" x14ac:dyDescent="0.35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</row>
    <row r="64" spans="1:14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1:14" ht="19.5" customHeight="1" x14ac:dyDescent="0.35">
      <c r="A65" s="5"/>
      <c r="B65" s="323" t="s">
        <v>241</v>
      </c>
      <c r="C65" s="323"/>
      <c r="D65" s="323"/>
      <c r="E65" s="323"/>
      <c r="F65" s="323"/>
      <c r="G65" s="323"/>
      <c r="H65" s="323"/>
      <c r="I65" s="323"/>
      <c r="J65" s="323"/>
      <c r="K65" s="323"/>
      <c r="L65" s="323"/>
      <c r="M65" s="323"/>
      <c r="N65" s="5"/>
    </row>
    <row r="66" spans="1:14" ht="24" customHeight="1" x14ac:dyDescent="0.35">
      <c r="A66" s="5"/>
      <c r="B66" s="24" t="s">
        <v>232</v>
      </c>
      <c r="C66" s="383" t="s">
        <v>233</v>
      </c>
      <c r="D66" s="383"/>
      <c r="E66" s="24" t="s">
        <v>242</v>
      </c>
      <c r="F66" s="24" t="s">
        <v>243</v>
      </c>
      <c r="G66" s="24" t="s">
        <v>244</v>
      </c>
      <c r="H66" s="383" t="s">
        <v>245</v>
      </c>
      <c r="I66" s="383"/>
      <c r="J66" s="383"/>
      <c r="K66" s="383"/>
      <c r="L66" s="383"/>
      <c r="M66" s="383"/>
      <c r="N66" s="383"/>
    </row>
    <row r="67" spans="1:14" ht="18" customHeight="1" x14ac:dyDescent="0.35">
      <c r="A67" s="5"/>
      <c r="B67" s="384" t="s">
        <v>246</v>
      </c>
      <c r="C67" s="384"/>
      <c r="D67" s="46" t="s">
        <v>247</v>
      </c>
      <c r="E67" s="121">
        <v>46142</v>
      </c>
      <c r="F67" s="122">
        <f t="shared" ref="F67:F78" ca="1" si="3">IFERROR(INT(E67-TODAY()),"")</f>
        <v>-169</v>
      </c>
      <c r="G67" s="123">
        <f t="shared" ref="G67:G78" ca="1" si="4">IFERROR(INT(E67-TODAY()),"")</f>
        <v>-169</v>
      </c>
      <c r="H67" s="346" t="s">
        <v>248</v>
      </c>
      <c r="I67" s="346"/>
      <c r="J67" s="346"/>
      <c r="K67" s="346"/>
      <c r="L67" s="346"/>
      <c r="M67" s="346"/>
      <c r="N67" s="346"/>
    </row>
    <row r="68" spans="1:14" ht="18" customHeight="1" x14ac:dyDescent="0.35">
      <c r="A68" s="5"/>
      <c r="B68" s="384" t="s">
        <v>249</v>
      </c>
      <c r="C68" s="384"/>
      <c r="D68" s="46" t="s">
        <v>68</v>
      </c>
      <c r="E68" s="121">
        <v>46203</v>
      </c>
      <c r="F68" s="122">
        <f t="shared" ca="1" si="3"/>
        <v>-108</v>
      </c>
      <c r="G68" s="124">
        <f t="shared" ca="1" si="4"/>
        <v>-108</v>
      </c>
      <c r="H68" s="346" t="s">
        <v>250</v>
      </c>
      <c r="I68" s="346"/>
      <c r="J68" s="346"/>
      <c r="K68" s="346"/>
      <c r="L68" s="346"/>
      <c r="M68" s="346"/>
      <c r="N68" s="346"/>
    </row>
    <row r="69" spans="1:14" ht="18" customHeight="1" x14ac:dyDescent="0.35">
      <c r="A69" s="5"/>
      <c r="B69" s="385" t="s">
        <v>251</v>
      </c>
      <c r="C69" s="385"/>
      <c r="D69" s="11" t="s">
        <v>68</v>
      </c>
      <c r="E69" s="125">
        <v>46234</v>
      </c>
      <c r="F69" s="126">
        <f t="shared" ca="1" si="3"/>
        <v>-77</v>
      </c>
      <c r="G69" s="123">
        <f t="shared" ca="1" si="4"/>
        <v>-77</v>
      </c>
      <c r="H69" s="328" t="s">
        <v>252</v>
      </c>
      <c r="I69" s="328"/>
      <c r="J69" s="328"/>
      <c r="K69" s="328"/>
      <c r="L69" s="328"/>
      <c r="M69" s="328"/>
      <c r="N69" s="328"/>
    </row>
    <row r="70" spans="1:14" ht="18" customHeight="1" x14ac:dyDescent="0.35">
      <c r="A70" s="5"/>
      <c r="B70" s="386" t="s">
        <v>253</v>
      </c>
      <c r="C70" s="386"/>
      <c r="D70" s="36" t="s">
        <v>68</v>
      </c>
      <c r="E70" s="127">
        <v>46248</v>
      </c>
      <c r="F70" s="128">
        <f t="shared" ca="1" si="3"/>
        <v>-63</v>
      </c>
      <c r="G70" s="124">
        <f t="shared" ca="1" si="4"/>
        <v>-63</v>
      </c>
      <c r="H70" s="327" t="s">
        <v>254</v>
      </c>
      <c r="I70" s="327"/>
      <c r="J70" s="327"/>
      <c r="K70" s="327"/>
      <c r="L70" s="327"/>
      <c r="M70" s="327"/>
      <c r="N70" s="327"/>
    </row>
    <row r="71" spans="1:14" ht="18" customHeight="1" x14ac:dyDescent="0.35">
      <c r="A71" s="5"/>
      <c r="B71" s="385" t="s">
        <v>255</v>
      </c>
      <c r="C71" s="385"/>
      <c r="D71" s="11" t="s">
        <v>68</v>
      </c>
      <c r="E71" s="125">
        <v>46356</v>
      </c>
      <c r="F71" s="126">
        <f t="shared" ca="1" si="3"/>
        <v>45</v>
      </c>
      <c r="G71" s="123">
        <f t="shared" ca="1" si="4"/>
        <v>45</v>
      </c>
      <c r="H71" s="328" t="s">
        <v>256</v>
      </c>
      <c r="I71" s="328"/>
      <c r="J71" s="328"/>
      <c r="K71" s="328"/>
      <c r="L71" s="328"/>
      <c r="M71" s="328"/>
      <c r="N71" s="328"/>
    </row>
    <row r="72" spans="1:14" ht="18" customHeight="1" x14ac:dyDescent="0.35">
      <c r="A72" s="5"/>
      <c r="B72" s="386" t="s">
        <v>257</v>
      </c>
      <c r="C72" s="386"/>
      <c r="D72" s="36" t="s">
        <v>258</v>
      </c>
      <c r="E72" s="129">
        <v>46327</v>
      </c>
      <c r="F72" s="128">
        <f t="shared" ca="1" si="3"/>
        <v>16</v>
      </c>
      <c r="G72" s="124">
        <f t="shared" ca="1" si="4"/>
        <v>16</v>
      </c>
      <c r="H72" s="327" t="s">
        <v>259</v>
      </c>
      <c r="I72" s="327"/>
      <c r="J72" s="327"/>
      <c r="K72" s="327"/>
      <c r="L72" s="327"/>
      <c r="M72" s="327"/>
      <c r="N72" s="327"/>
    </row>
    <row r="73" spans="1:14" ht="18" customHeight="1" x14ac:dyDescent="0.35">
      <c r="A73" s="5"/>
      <c r="B73" s="385" t="s">
        <v>260</v>
      </c>
      <c r="C73" s="385"/>
      <c r="D73" s="11" t="s">
        <v>258</v>
      </c>
      <c r="E73" s="125">
        <v>46241</v>
      </c>
      <c r="F73" s="126">
        <f t="shared" ca="1" si="3"/>
        <v>-70</v>
      </c>
      <c r="G73" s="123">
        <f t="shared" ca="1" si="4"/>
        <v>-70</v>
      </c>
      <c r="H73" s="328" t="s">
        <v>261</v>
      </c>
      <c r="I73" s="328"/>
      <c r="J73" s="328"/>
      <c r="K73" s="328"/>
      <c r="L73" s="328"/>
      <c r="M73" s="328"/>
      <c r="N73" s="328"/>
    </row>
    <row r="74" spans="1:14" ht="18" customHeight="1" x14ac:dyDescent="0.35">
      <c r="A74" s="5"/>
      <c r="B74" s="384" t="s">
        <v>262</v>
      </c>
      <c r="C74" s="384"/>
      <c r="D74" s="46" t="s">
        <v>258</v>
      </c>
      <c r="E74" s="121">
        <v>46174</v>
      </c>
      <c r="F74" s="122">
        <f t="shared" ca="1" si="3"/>
        <v>-137</v>
      </c>
      <c r="G74" s="124">
        <f t="shared" ca="1" si="4"/>
        <v>-137</v>
      </c>
      <c r="H74" s="346" t="s">
        <v>263</v>
      </c>
      <c r="I74" s="346"/>
      <c r="J74" s="346"/>
      <c r="K74" s="346"/>
      <c r="L74" s="346"/>
      <c r="M74" s="346"/>
      <c r="N74" s="346"/>
    </row>
    <row r="75" spans="1:14" ht="18" customHeight="1" x14ac:dyDescent="0.35">
      <c r="A75" s="5"/>
      <c r="B75" s="384" t="s">
        <v>264</v>
      </c>
      <c r="C75" s="384"/>
      <c r="D75" s="46" t="s">
        <v>258</v>
      </c>
      <c r="E75" s="121">
        <v>46174</v>
      </c>
      <c r="F75" s="122">
        <f t="shared" ca="1" si="3"/>
        <v>-137</v>
      </c>
      <c r="G75" s="123">
        <f t="shared" ca="1" si="4"/>
        <v>-137</v>
      </c>
      <c r="H75" s="346" t="s">
        <v>263</v>
      </c>
      <c r="I75" s="346"/>
      <c r="J75" s="346"/>
      <c r="K75" s="346"/>
      <c r="L75" s="346"/>
      <c r="M75" s="346"/>
      <c r="N75" s="346"/>
    </row>
    <row r="76" spans="1:14" ht="18" customHeight="1" x14ac:dyDescent="0.35">
      <c r="A76" s="5"/>
      <c r="B76" s="384" t="s">
        <v>265</v>
      </c>
      <c r="C76" s="384"/>
      <c r="D76" s="46" t="s">
        <v>258</v>
      </c>
      <c r="E76" s="121">
        <v>46188</v>
      </c>
      <c r="F76" s="122">
        <f t="shared" ca="1" si="3"/>
        <v>-123</v>
      </c>
      <c r="G76" s="124">
        <f t="shared" ca="1" si="4"/>
        <v>-123</v>
      </c>
      <c r="H76" s="346" t="s">
        <v>266</v>
      </c>
      <c r="I76" s="346"/>
      <c r="J76" s="346"/>
      <c r="K76" s="346"/>
      <c r="L76" s="346"/>
      <c r="M76" s="346"/>
      <c r="N76" s="346"/>
    </row>
    <row r="77" spans="1:14" ht="18" customHeight="1" x14ac:dyDescent="0.35">
      <c r="A77" s="5"/>
      <c r="B77" s="385" t="s">
        <v>267</v>
      </c>
      <c r="C77" s="385"/>
      <c r="D77" s="11" t="s">
        <v>258</v>
      </c>
      <c r="E77" s="125">
        <v>46408</v>
      </c>
      <c r="F77" s="126">
        <f t="shared" ca="1" si="3"/>
        <v>97</v>
      </c>
      <c r="G77" s="123">
        <f t="shared" ca="1" si="4"/>
        <v>97</v>
      </c>
      <c r="H77" s="328" t="s">
        <v>268</v>
      </c>
      <c r="I77" s="328"/>
      <c r="J77" s="328"/>
      <c r="K77" s="328"/>
      <c r="L77" s="328"/>
      <c r="M77" s="328"/>
      <c r="N77" s="328"/>
    </row>
    <row r="78" spans="1:14" ht="18" customHeight="1" x14ac:dyDescent="0.35">
      <c r="A78" s="5"/>
      <c r="B78" s="384" t="s">
        <v>246</v>
      </c>
      <c r="C78" s="384"/>
      <c r="D78" s="46" t="s">
        <v>269</v>
      </c>
      <c r="E78" s="121">
        <v>46143</v>
      </c>
      <c r="F78" s="122">
        <f t="shared" ca="1" si="3"/>
        <v>-168</v>
      </c>
      <c r="G78" s="124">
        <f t="shared" ca="1" si="4"/>
        <v>-168</v>
      </c>
      <c r="H78" s="346" t="s">
        <v>270</v>
      </c>
      <c r="I78" s="346"/>
      <c r="J78" s="346"/>
      <c r="K78" s="346"/>
      <c r="L78" s="346"/>
      <c r="M78" s="346"/>
      <c r="N78" s="346"/>
    </row>
    <row r="79" spans="1:14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spans="1:14" ht="19.5" customHeight="1" x14ac:dyDescent="0.35">
      <c r="A81" s="5"/>
      <c r="B81" s="323" t="s">
        <v>271</v>
      </c>
      <c r="C81" s="323"/>
      <c r="D81" s="323"/>
      <c r="E81" s="323"/>
      <c r="F81" s="323"/>
      <c r="G81" s="323"/>
      <c r="H81" s="323"/>
      <c r="I81" s="323"/>
      <c r="J81" s="323"/>
      <c r="K81" s="323"/>
      <c r="L81" s="323"/>
      <c r="M81" s="323"/>
      <c r="N81" s="5"/>
    </row>
    <row r="82" spans="1:14" ht="24" customHeight="1" x14ac:dyDescent="0.35">
      <c r="A82" s="5"/>
      <c r="B82" s="24" t="s">
        <v>62</v>
      </c>
      <c r="C82" s="383" t="s">
        <v>272</v>
      </c>
      <c r="D82" s="383"/>
      <c r="E82" s="24" t="s">
        <v>66</v>
      </c>
      <c r="F82" s="24" t="s">
        <v>273</v>
      </c>
      <c r="G82" s="24" t="s">
        <v>74</v>
      </c>
      <c r="H82" s="24" t="s">
        <v>274</v>
      </c>
      <c r="I82" s="24" t="s">
        <v>218</v>
      </c>
      <c r="J82" s="382"/>
      <c r="K82" s="382"/>
      <c r="L82" s="382"/>
      <c r="M82" s="382"/>
      <c r="N82" s="382"/>
    </row>
    <row r="83" spans="1:14" ht="16.5" customHeight="1" x14ac:dyDescent="0.35">
      <c r="A83" s="5"/>
      <c r="B83" s="130" t="s">
        <v>179</v>
      </c>
      <c r="C83" s="377" t="str">
        <f ca="1">IFERROR(MID(IF(('Input Data'!Z26&gt;TODAY())*('Input Data'!AA26&gt;0),", "&amp;'Input Data'!AB26&amp;" ("&amp;'Input Data'!C26&amp;")",""),3,999),"—")</f>
        <v/>
      </c>
      <c r="D83" s="377"/>
      <c r="E83" s="27">
        <f>SUMIF('Input Data'!B3:B27,"L12",'Input Data'!F3:F27)</f>
        <v>223.7</v>
      </c>
      <c r="F83" s="30">
        <f ca="1">IFERROR(SUMIF('Input Data'!B3:B27,"L12",'Input Data'!N3:N27)/SUMIF('Input Data'!B3:B27,"L12",'Input Data'!F3:F27),0)</f>
        <v>0</v>
      </c>
      <c r="G83" s="30">
        <f ca="1">SUMIF('Input Data'!B3:B27,"L12",'Input Data'!N3:N27)</f>
        <v>0</v>
      </c>
      <c r="H83" s="31">
        <f ca="1">IFERROR(SUMIF('Input Data'!B3:B27,"L12",'Input Data'!N3:N27)/(SUMIF('Input Data'!N3:N27,"&gt;0",'Input Data'!N3:N27)),0)</f>
        <v>0</v>
      </c>
      <c r="I83" s="11" t="str">
        <f ca="1">IFERROR(IF(SUMPRODUCT(('Input Data'!B3:B27="L12")*('Input Data'!Z3:Z27&gt;TODAY())*('Input Data'!AA3:AA27&gt;0))=0,"VACANT",TEXT(_xludf.minifs('Input Data'!Z3:Z27,'Input Data'!B3:B27,"L12",'Input Data'!Z3:Z27,"&gt;"&amp;TODAY(),'Input Data'!AA3:AA27,"&gt;0"),"YYYY")),"—")</f>
        <v>VACANT</v>
      </c>
      <c r="J83" s="382"/>
      <c r="K83" s="382"/>
      <c r="L83" s="382"/>
      <c r="M83" s="382"/>
      <c r="N83" s="382"/>
    </row>
    <row r="84" spans="1:14" ht="27.75" customHeight="1" x14ac:dyDescent="0.35">
      <c r="A84" s="5"/>
      <c r="B84" s="131" t="s">
        <v>171</v>
      </c>
      <c r="C84" s="378" t="str">
        <f ca="1">IFERROR(MID(IF(('Input Data'!Z24&gt;TODAY())*('Input Data'!AA24&gt;0),", "&amp;'Input Data'!AB24&amp;" ("&amp;'Input Data'!C24&amp;")","")&amp;IF(('Input Data'!Z25&gt;TODAY())*('Input Data'!AA25&gt;0),", "&amp;'Input Data'!AB25&amp;" ("&amp;'Input Data'!C25&amp;")","")&amp;IF(('Input Data'!Z27&gt;TODAY())*('Input Data'!AA27&gt;0),", "&amp;'Input Data'!AB27&amp;" ("&amp;'Input Data'!C27&amp;")",""),3,999),"—")</f>
        <v>Michael Flegg (1101), Lewis Woolcott (1102), Interfi Systems (1103)</v>
      </c>
      <c r="D84" s="378"/>
      <c r="E84" s="39">
        <f>SUMIF('Input Data'!B3:B27,"L11",'Input Data'!F3:F27)</f>
        <v>355.8</v>
      </c>
      <c r="F84" s="42">
        <f ca="1">IFERROR(SUMIF('Input Data'!B3:B27,"L11",'Input Data'!N3:N27)/SUMIF('Input Data'!B3:B27,"L11",'Input Data'!F3:F27),0)</f>
        <v>992.63814502529488</v>
      </c>
      <c r="G84" s="42">
        <f ca="1">SUMIF('Input Data'!B3:B27,"L11",'Input Data'!N3:N27)</f>
        <v>353180.65199999994</v>
      </c>
      <c r="H84" s="43">
        <f ca="1">IFERROR(SUMIF('Input Data'!B3:B27,"L11",'Input Data'!N3:N27)/(SUMIF('Input Data'!N3:N27,"&gt;0",'Input Data'!N3:N27)),0)</f>
        <v>8.7558259488735177E-2</v>
      </c>
      <c r="I84" s="36" t="str">
        <f t="array" aca="1" ref="I84" ca="1">IFERROR(IF(SUMPRODUCT(('Input Data'!B3:B27="L11")*('Input Data'!Z3:Z27&gt;TODAY())*('Input Data'!AA3:AA27&gt;0))=0,"VACANT",TEXT(_xlfn.SINGLE(_xlfn.MINIFS('Input Data'!Z3:Z27,'Input Data'!B3:B27,"L11",'Input Data'!Z3:Z27,"&gt;"&amp;TODAY(),'Input Data'!AA3:AA27,"&gt;0")),"YYYY")),"—")</f>
        <v>2026</v>
      </c>
      <c r="J84" s="382"/>
      <c r="K84" s="382"/>
      <c r="L84" s="382"/>
      <c r="M84" s="382"/>
      <c r="N84" s="382"/>
    </row>
    <row r="85" spans="1:14" ht="27.75" customHeight="1" x14ac:dyDescent="0.35">
      <c r="A85" s="5"/>
      <c r="B85" s="130" t="s">
        <v>166</v>
      </c>
      <c r="C85" s="377" t="str">
        <f ca="1">IFERROR(MID(IF(('Input Data'!Z23&gt;TODAY())*('Input Data'!AA23&gt;0),", "&amp;'Input Data'!AB23&amp;" ("&amp;'Input Data'!C23&amp;")",""),3,999),"—")</f>
        <v>Connectus Services (1001&amp;2)</v>
      </c>
      <c r="D85" s="377"/>
      <c r="E85" s="27">
        <f>SUMIF('Input Data'!B3:B27,"L10",'Input Data'!F3:F27)</f>
        <v>363.2</v>
      </c>
      <c r="F85" s="30">
        <f ca="1">IFERROR(SUMIF('Input Data'!B3:B27,"L10",'Input Data'!N3:N27)/SUMIF('Input Data'!B3:B27,"L10",'Input Data'!F3:F27),0)</f>
        <v>874.31218061674019</v>
      </c>
      <c r="G85" s="30">
        <f ca="1">SUMIF('Input Data'!B3:B27,"L10",'Input Data'!N3:N27)</f>
        <v>317550.18400000001</v>
      </c>
      <c r="H85" s="31">
        <f ca="1">IFERROR(SUMIF('Input Data'!B3:B27,"L10",'Input Data'!N3:N27)/(SUMIF('Input Data'!N3:N27,"&gt;0",'Input Data'!N3:N27)),0)</f>
        <v>7.8724984661299083E-2</v>
      </c>
      <c r="I85" s="11" t="str">
        <f ca="1">IFERROR(IF(SUMPRODUCT(('Input Data'!B3:B27="L10")*('Input Data'!Z3:Z27&gt;TODAY())*('Input Data'!AA3:AA27&gt;0))=0,"VACANT",TEXT(_xlfn.MINIFS('Input Data'!Z3:Z27,'Input Data'!B3:B27,"L10",'Input Data'!Z3:Z27,"&gt;"&amp;TODAY(),'Input Data'!AA3:AA27,"&gt;0"),"YYYY")),"—")</f>
        <v>2029</v>
      </c>
      <c r="J85" s="382"/>
      <c r="K85" s="382"/>
      <c r="L85" s="382"/>
      <c r="M85" s="382"/>
      <c r="N85" s="382"/>
    </row>
    <row r="86" spans="1:14" ht="27.75" customHeight="1" x14ac:dyDescent="0.35">
      <c r="A86" s="5"/>
      <c r="B86" s="131" t="s">
        <v>159</v>
      </c>
      <c r="C86" s="378" t="str">
        <f ca="1">IFERROR(MID(IF(('Input Data'!Z21&gt;TODAY())*('Input Data'!AA21&gt;0),", "&amp;'Input Data'!AB21&amp;" ("&amp;'Input Data'!C21&amp;")","")&amp;IF(('Input Data'!Z22&gt;TODAY())*('Input Data'!AA22&gt;0),", "&amp;'Input Data'!AB22&amp;" ("&amp;'Input Data'!C22&amp;")",""),3,999),"—")</f>
        <v>Aitken Investment Mgmt (901), Capital E Marketing (902&amp;3)</v>
      </c>
      <c r="D86" s="378"/>
      <c r="E86" s="39">
        <f>SUMIF('Input Data'!B3:B27,"L09",'Input Data'!F3:F27)</f>
        <v>355.8</v>
      </c>
      <c r="F86" s="42">
        <f ca="1">IFERROR(SUMIF('Input Data'!B3:B27,"L09",'Input Data'!N3:N27)/SUMIF('Input Data'!B3:B27,"L09",'Input Data'!F3:F27),0)</f>
        <v>870.21229342327138</v>
      </c>
      <c r="G86" s="42">
        <f ca="1">SUMIF('Input Data'!B3:B27,"L09",'Input Data'!N3:N27)</f>
        <v>309621.53399999999</v>
      </c>
      <c r="H86" s="43">
        <f ca="1">IFERROR(SUMIF('Input Data'!B3:B27,"L09",'Input Data'!N3:N27)/(SUMIF('Input Data'!N3:N27,"&gt;0",'Input Data'!N3:N27)),0)</f>
        <v>7.6759365111745262E-2</v>
      </c>
      <c r="I86" s="36" t="str">
        <f ca="1">IFERROR(IF(SUMPRODUCT(('Input Data'!B3:B27="L09")*('Input Data'!Z3:Z27&gt;TODAY())*('Input Data'!AA3:AA27&gt;0))=0,"VACANT",TEXT(_xlfn.MINIFS('Input Data'!Z3:Z27,'Input Data'!B3:B27,"L09",'Input Data'!Z3:Z27,"&gt;"&amp;TODAY(),'Input Data'!AA3:AA27,"&gt;0"),"YYYY")),"—")</f>
        <v>2028</v>
      </c>
      <c r="J86" s="382"/>
      <c r="K86" s="382"/>
      <c r="L86" s="382"/>
      <c r="M86" s="382"/>
      <c r="N86" s="382"/>
    </row>
    <row r="87" spans="1:14" ht="27.75" customHeight="1" x14ac:dyDescent="0.35">
      <c r="A87" s="5"/>
      <c r="B87" s="130" t="s">
        <v>152</v>
      </c>
      <c r="C87" s="377" t="str">
        <f ca="1">IFERROR(MID(IF(('Input Data'!Z19&gt;TODAY())*('Input Data'!AA19&gt;0),", "&amp;'Input Data'!AB19&amp;" ("&amp;'Input Data'!C19&amp;")","")&amp;IF(('Input Data'!Z20&gt;TODAY())*('Input Data'!AA20&gt;0),", "&amp;'Input Data'!AB20&amp;" ("&amp;'Input Data'!C20&amp;")",""),3,999),"—")</f>
        <v>Arkance Australia (801), Hilliard &amp; Berry (802)</v>
      </c>
      <c r="D87" s="377"/>
      <c r="E87" s="27">
        <f>SUMIF('Input Data'!B3:B27,"L08",'Input Data'!F3:F27)</f>
        <v>360.5</v>
      </c>
      <c r="F87" s="30">
        <f ca="1">IFERROR(SUMIF('Input Data'!B3:B27,"L08",'Input Data'!N3:N27)/SUMIF('Input Data'!B3:B27,"L08",'Input Data'!F3:F27),0)</f>
        <v>996.58675450762837</v>
      </c>
      <c r="G87" s="30">
        <f ca="1">SUMIF('Input Data'!B3:B27,"L08",'Input Data'!N3:N27)</f>
        <v>359269.52500000002</v>
      </c>
      <c r="H87" s="31">
        <f ca="1">IFERROR(SUMIF('Input Data'!B3:B27,"L08",'Input Data'!N3:N27)/(SUMIF('Input Data'!N3:N27,"&gt;0",'Input Data'!N3:N27)),0)</f>
        <v>8.9067773441747419E-2</v>
      </c>
      <c r="I87" s="11" t="str">
        <f t="array" aca="1" ref="I87" ca="1">IFERROR(IF(SUMPRODUCT(('Input Data'!B3:B27="L08")*('Input Data'!Z3:Z27&gt;TODAY())*('Input Data'!AA3:AA27&gt;0))=0,"VACANT",TEXT(_xlfn.SINGLE(_xlfn.MINIFS('Input Data'!Z3:Z27,'Input Data'!B3:B27,"L08",'Input Data'!Z3:Z27,"&gt;"&amp;TODAY(),'Input Data'!AA3:AA27,"&gt;0")),"YYYY")),"—")</f>
        <v>2028</v>
      </c>
      <c r="J87" s="382"/>
      <c r="K87" s="382"/>
      <c r="L87" s="382"/>
      <c r="M87" s="382"/>
      <c r="N87" s="382"/>
    </row>
    <row r="88" spans="1:14" ht="27.75" customHeight="1" x14ac:dyDescent="0.35">
      <c r="A88" s="5"/>
      <c r="B88" s="131" t="s">
        <v>145</v>
      </c>
      <c r="C88" s="378" t="str">
        <f ca="1">IFERROR(MID(IF(('Input Data'!Z17&gt;TODAY())*('Input Data'!AA17&gt;0),", "&amp;'Input Data'!AB17&amp;" ("&amp;'Input Data'!C17&amp;")","")&amp;IF(('Input Data'!Z18&gt;TODAY())*('Input Data'!AA18&gt;0),", "&amp;'Input Data'!AB18&amp;" ("&amp;'Input Data'!C18&amp;")",""),3,999),"—")</f>
        <v>Pinpoint Talent (701), Satellite Office (702)</v>
      </c>
      <c r="D88" s="378"/>
      <c r="E88" s="39">
        <f>SUMIF('Input Data'!B3:B27,"L07",'Input Data'!F3:F27)</f>
        <v>374.4</v>
      </c>
      <c r="F88" s="42">
        <f ca="1">IFERROR(SUMIF('Input Data'!B3:B27,"L07",'Input Data'!N3:N27)/SUMIF('Input Data'!B3:B27,"L07",'Input Data'!F3:F27),0)</f>
        <v>831.05160790598302</v>
      </c>
      <c r="G88" s="42">
        <f ca="1">SUMIF('Input Data'!B3:B27,"L07",'Input Data'!N3:N27)</f>
        <v>311145.72200000001</v>
      </c>
      <c r="H88" s="43">
        <f ca="1">IFERROR(SUMIF('Input Data'!B3:B27,"L07",'Input Data'!N3:N27)/(SUMIF('Input Data'!N3:N27,"&gt;0",'Input Data'!N3:N27)),0)</f>
        <v>7.7137231927659117E-2</v>
      </c>
      <c r="I88" s="36" t="str">
        <f t="array" aca="1" ref="I88" ca="1">IFERROR(IF(SUMPRODUCT(('Input Data'!B3:B27="L07")*('Input Data'!Z3:Z27&gt;TODAY())*('Input Data'!AA3:AA27&gt;0))=0,"VACANT",TEXT(_xlfn.SINGLE(_xlfn.MINIFS('Input Data'!Z3:Z27,'Input Data'!B3:B27,"L07",'Input Data'!Z3:Z27,"&gt;"&amp;TODAY(),'Input Data'!AA3:AA27,"&gt;0")),"YYYY")),"—")</f>
        <v>2027</v>
      </c>
      <c r="J88" s="382"/>
      <c r="K88" s="382"/>
      <c r="L88" s="382"/>
      <c r="M88" s="382"/>
      <c r="N88" s="382"/>
    </row>
    <row r="89" spans="1:14" ht="27.75" customHeight="1" x14ac:dyDescent="0.35">
      <c r="A89" s="5"/>
      <c r="B89" s="130" t="s">
        <v>139</v>
      </c>
      <c r="C89" s="377" t="str">
        <f ca="1">IFERROR(MID(IF(('Input Data'!Z15&gt;TODAY())*('Input Data'!AA15&gt;0),", "&amp;'Input Data'!AB15&amp;" ("&amp;'Input Data'!C15&amp;")","")&amp;IF(('Input Data'!Z16&gt;TODAY())*('Input Data'!AA16&gt;0),", "&amp;'Input Data'!AB16&amp;" ("&amp;'Input Data'!C16&amp;")",""),3,999),"—")</f>
        <v>Fullcrm (601), INNOVIS (602)</v>
      </c>
      <c r="D89" s="377"/>
      <c r="E89" s="27">
        <f>SUMIF('Input Data'!B3:B27,"L06",'Input Data'!F3:F27)</f>
        <v>378.2</v>
      </c>
      <c r="F89" s="30">
        <f ca="1">IFERROR(SUMIF('Input Data'!B3:B27,"L06",'Input Data'!N3:N27)/SUMIF('Input Data'!B3:B27,"L06",'Input Data'!F3:F27),0)</f>
        <v>1023.6132046536223</v>
      </c>
      <c r="G89" s="30">
        <f ca="1">SUMIF('Input Data'!B3:B27,"L06",'Input Data'!N3:N27)</f>
        <v>387130.51399999997</v>
      </c>
      <c r="H89" s="31">
        <f ca="1">IFERROR(SUMIF('Input Data'!B3:B27,"L06",'Input Data'!N3:N27)/(SUMIF('Input Data'!N3:N27,"&gt;0",'Input Data'!N3:N27)),0)</f>
        <v>9.5974889362907198E-2</v>
      </c>
      <c r="I89" s="11" t="str">
        <f t="array" aca="1" ref="I89" ca="1">IFERROR(IF(SUMPRODUCT(('Input Data'!B3:B27="L06")*('Input Data'!Z3:Z27&gt;TODAY())*('Input Data'!AA3:AA27&gt;0))=0,"VACANT",TEXT(_xlfn.SINGLE(_xlfn.MINIFS('Input Data'!Z3:Z27,'Input Data'!B3:B27,"L06",'Input Data'!Z3:Z27,"&gt;"&amp;TODAY(),'Input Data'!AA3:AA27,"&gt;0")),"YYYY")),"—")</f>
        <v>2027</v>
      </c>
      <c r="J89" s="382"/>
      <c r="K89" s="382"/>
      <c r="L89" s="382"/>
      <c r="M89" s="382"/>
      <c r="N89" s="382"/>
    </row>
    <row r="90" spans="1:14" ht="27.75" customHeight="1" x14ac:dyDescent="0.35">
      <c r="A90" s="5"/>
      <c r="B90" s="131" t="s">
        <v>132</v>
      </c>
      <c r="C90" s="378" t="str">
        <f ca="1">IFERROR(MID(IF(('Input Data'!Z13&gt;TODAY())*('Input Data'!AA13&gt;0),", "&amp;'Input Data'!AB13&amp;" ("&amp;'Input Data'!C13&amp;")","")&amp;IF(('Input Data'!Z14&gt;TODAY())*('Input Data'!AA14&gt;0),", "&amp;'Input Data'!AB14&amp;" ("&amp;'Input Data'!C14&amp;")",""),3,999),"—")</f>
        <v>Montgomery Investment (501), Threat Defence (502)</v>
      </c>
      <c r="D90" s="378"/>
      <c r="E90" s="39">
        <f>SUMIF('Input Data'!B3:B27,"L05",'Input Data'!F3:F27)</f>
        <v>376.1</v>
      </c>
      <c r="F90" s="42">
        <f ca="1">IFERROR(SUMIF('Input Data'!B3:B27,"L05",'Input Data'!N3:N27)/SUMIF('Input Data'!B3:B27,"L05",'Input Data'!F3:F27),0)</f>
        <v>974.30629088008527</v>
      </c>
      <c r="G90" s="42">
        <f ca="1">SUMIF('Input Data'!B3:B27,"L05",'Input Data'!N3:N27)</f>
        <v>366436.59600000008</v>
      </c>
      <c r="H90" s="43">
        <f ca="1">IFERROR(SUMIF('Input Data'!B3:B27,"L05",'Input Data'!N3:N27)/(SUMIF('Input Data'!N3:N27,"&gt;0",'Input Data'!N3:N27)),0)</f>
        <v>9.0844587258808368E-2</v>
      </c>
      <c r="I90" s="36" t="str">
        <f t="array" aca="1" ref="I90" ca="1">IFERROR(IF(SUMPRODUCT(('Input Data'!B3:B27="L05")*('Input Data'!Z3:Z27&gt;TODAY())*('Input Data'!AA3:AA27&gt;0))=0,"VACANT",TEXT(_xlfn.SINGLE(_xlfn.MINIFS('Input Data'!Z3:Z27,'Input Data'!B3:B27,"L05",'Input Data'!Z3:Z27,"&gt;"&amp;TODAY(),'Input Data'!AA3:AA27,"&gt;0")),"YYYY")),"—")</f>
        <v>2027</v>
      </c>
      <c r="J90" s="382"/>
      <c r="K90" s="382"/>
      <c r="L90" s="382"/>
      <c r="M90" s="382"/>
      <c r="N90" s="382"/>
    </row>
    <row r="91" spans="1:14" ht="27.75" customHeight="1" x14ac:dyDescent="0.35">
      <c r="A91" s="5"/>
      <c r="B91" s="130" t="s">
        <v>125</v>
      </c>
      <c r="C91" s="377" t="str">
        <f ca="1">IFERROR(MID(IF(('Input Data'!Z11&gt;TODAY())*('Input Data'!AA11&gt;0),", "&amp;'Input Data'!AB11&amp;" ("&amp;'Input Data'!C11&amp;")","")&amp;IF(('Input Data'!Z12&gt;TODAY())*('Input Data'!AA12&gt;0),", "&amp;'Input Data'!AB12&amp;" ("&amp;'Input Data'!C12&amp;")",""),3,999),"—")</f>
        <v>B-W International (401), Gray Dawes Travel (402)</v>
      </c>
      <c r="D91" s="377"/>
      <c r="E91" s="27">
        <f>SUMIF('Input Data'!B3:B27,"L04",'Input Data'!F3:F27)</f>
        <v>359.7</v>
      </c>
      <c r="F91" s="30">
        <f ca="1">IFERROR(SUMIF('Input Data'!B3:B27,"L04",'Input Data'!N3:N27)/SUMIF('Input Data'!B3:B27,"L04",'Input Data'!F3:F27),0)</f>
        <v>896.06466777870435</v>
      </c>
      <c r="G91" s="30">
        <f ca="1">SUMIF('Input Data'!B3:B27,"L04",'Input Data'!N3:N27)</f>
        <v>322314.46099999995</v>
      </c>
      <c r="H91" s="31">
        <f ca="1">IFERROR(SUMIF('Input Data'!B3:B27,"L04",'Input Data'!N3:N27)/(SUMIF('Input Data'!N3:N27,"&gt;0",'Input Data'!N3:N27)),0)</f>
        <v>7.9906113354164754E-2</v>
      </c>
      <c r="I91" s="11" t="str">
        <f t="array" aca="1" ref="I91" ca="1">IFERROR(IF(SUMPRODUCT(('Input Data'!B3:B27="L04")*('Input Data'!Z3:Z27&gt;TODAY())*('Input Data'!AA3:AA27&gt;0))=0,"VACANT",TEXT(_xlfn.SINGLE(_xlfn.MINIFS('Input Data'!Z3:Z27,'Input Data'!B3:B27,"L04",'Input Data'!Z3:Z27,"&gt;"&amp;TODAY(),'Input Data'!AA3:AA27,"&gt;0")),"YYYY")),"—")</f>
        <v>2029</v>
      </c>
      <c r="J91" s="382"/>
      <c r="K91" s="382"/>
      <c r="L91" s="382"/>
      <c r="M91" s="382"/>
      <c r="N91" s="382"/>
    </row>
    <row r="92" spans="1:14" ht="27.75" customHeight="1" x14ac:dyDescent="0.35">
      <c r="A92" s="5"/>
      <c r="B92" s="131" t="s">
        <v>116</v>
      </c>
      <c r="C92" s="378" t="str">
        <f ca="1">IFERROR(MID(IF(('Input Data'!Z9&gt;TODAY())*('Input Data'!AA9&gt;0),", "&amp;'Input Data'!AB9&amp;" ("&amp;'Input Data'!C9&amp;")","")&amp;IF(('Input Data'!Z10&gt;TODAY())*('Input Data'!AA10&gt;0),", "&amp;'Input Data'!AB10&amp;" ("&amp;'Input Data'!C10&amp;")",""),3,999),"—")</f>
        <v>IPM Residential (301&amp;2), Broadridge (303&amp;4)</v>
      </c>
      <c r="D92" s="378"/>
      <c r="E92" s="39">
        <f>SUMIF('Input Data'!B3:B27,"L03",'Input Data'!F3:F27)</f>
        <v>357.6</v>
      </c>
      <c r="F92" s="42">
        <f ca="1">IFERROR(SUMIF('Input Data'!B3:B27,"L03",'Input Data'!N3:N27)/SUMIF('Input Data'!B3:B27,"L03",'Input Data'!F3:F27),0)</f>
        <v>961.60661633109601</v>
      </c>
      <c r="G92" s="42">
        <f ca="1">SUMIF('Input Data'!B3:B27,"L03",'Input Data'!N3:N27)</f>
        <v>343870.52599999995</v>
      </c>
      <c r="H92" s="43">
        <f ca="1">IFERROR(SUMIF('Input Data'!B3:B27,"L03",'Input Data'!N3:N27)/(SUMIF('Input Data'!N3:N27,"&gt;0",'Input Data'!N3:N27)),0)</f>
        <v>8.5250153357879457E-2</v>
      </c>
      <c r="I92" s="36" t="str">
        <f t="array" aca="1" ref="I92" ca="1">IFERROR(IF(SUMPRODUCT(('Input Data'!B3:B27="L03")*('Input Data'!Z3:Z27&gt;TODAY())*('Input Data'!AA3:AA27&gt;0))=0,"VACANT",TEXT(_xlfn.SINGLE(_xlfn.MINIFS('Input Data'!Z3:Z27,'Input Data'!B3:B27,"L03",'Input Data'!Z3:Z27,"&gt;"&amp;TODAY(),'Input Data'!AA3:AA27,"&gt;0")),"YYYY")),"—")</f>
        <v>2027</v>
      </c>
      <c r="J92" s="382"/>
      <c r="K92" s="382"/>
      <c r="L92" s="382"/>
      <c r="M92" s="382"/>
      <c r="N92" s="382"/>
    </row>
    <row r="93" spans="1:14" ht="27.75" customHeight="1" x14ac:dyDescent="0.35">
      <c r="A93" s="5"/>
      <c r="B93" s="130" t="s">
        <v>112</v>
      </c>
      <c r="C93" s="377" t="str">
        <f ca="1">IFERROR(MID(IF(('Input Data'!Z8&gt;TODAY())*('Input Data'!AA8&gt;0),", "&amp;'Input Data'!AB8&amp;" ("&amp;'Input Data'!C8&amp;")",""),3,999),"—")</f>
        <v>Princeton Financial Services (WHOLE)</v>
      </c>
      <c r="D93" s="377"/>
      <c r="E93" s="27">
        <f>SUMIF('Input Data'!B3:B27,"L02",'Input Data'!F3:F27)</f>
        <v>393.2</v>
      </c>
      <c r="F93" s="30">
        <f ca="1">IFERROR(SUMIF('Input Data'!B3:B27,"L02",'Input Data'!N3:N27)/SUMIF('Input Data'!B3:B27,"L02",'Input Data'!F3:F27),0)</f>
        <v>1021.625940996948</v>
      </c>
      <c r="G93" s="30">
        <f ca="1">SUMIF('Input Data'!B3:B27,"L02",'Input Data'!N3:N27)</f>
        <v>401703.31999999995</v>
      </c>
      <c r="H93" s="31">
        <f ca="1">IFERROR(SUMIF('Input Data'!B3:B27,"L02",'Input Data'!N3:N27)/(SUMIF('Input Data'!N3:N27,"&gt;0",'Input Data'!N3:N27)),0)</f>
        <v>9.9587685029944459E-2</v>
      </c>
      <c r="I93" s="11" t="str">
        <f t="array" aca="1" ref="I93" ca="1">IFERROR(IF(SUMPRODUCT(('Input Data'!B3:B27="L02")*('Input Data'!Z3:Z27&gt;TODAY())*('Input Data'!AA3:AA27&gt;0))=0,"VACANT",TEXT(_xlfn.SINGLE(_xlfn.MINIFS('Input Data'!Z3:Z27,'Input Data'!B3:B27,"L02",'Input Data'!Z3:Z27,"&gt;"&amp;TODAY(),'Input Data'!AA3:AA27,"&gt;0")),"YYYY")),"—")</f>
        <v>2028</v>
      </c>
      <c r="J93" s="382"/>
      <c r="K93" s="382"/>
      <c r="L93" s="382"/>
      <c r="M93" s="382"/>
      <c r="N93" s="382"/>
    </row>
    <row r="94" spans="1:14" ht="27.75" customHeight="1" x14ac:dyDescent="0.35">
      <c r="A94" s="5"/>
      <c r="B94" s="131" t="s">
        <v>101</v>
      </c>
      <c r="C94" s="378" t="str">
        <f ca="1">IFERROR(MID(IF(('Input Data'!Z5&gt;TODAY())*('Input Data'!AA5&gt;0),", "&amp;'Input Data'!AB5&amp;" ("&amp;'Input Data'!C5&amp;")","")&amp;IF(('Input Data'!Z6&gt;TODAY())*('Input Data'!AA6&gt;0),", "&amp;'Input Data'!AB6&amp;" ("&amp;'Input Data'!C6&amp;")","")&amp;IF(('Input Data'!Z7&gt;TODAY())*('Input Data'!AA7&gt;0),", "&amp;'Input Data'!AB7&amp;" ("&amp;'Input Data'!C7&amp;")",""),3,999),"—")</f>
        <v>PU Prime Trading (103), TJC#1 (104)</v>
      </c>
      <c r="D94" s="378"/>
      <c r="E94" s="39">
        <f>SUMIF('Input Data'!B3:B27,"L01",'Input Data'!F3:F27)</f>
        <v>356.79999999999995</v>
      </c>
      <c r="F94" s="42">
        <f ca="1">IFERROR(SUMIF('Input Data'!B3:B27,"L01",'Input Data'!N3:N27)/SUMIF('Input Data'!B3:B27,"L01",'Input Data'!F3:F27),0)</f>
        <v>463.75196468609869</v>
      </c>
      <c r="G94" s="42">
        <f ca="1">SUMIF('Input Data'!B3:B27,"L01",'Input Data'!N3:N27)</f>
        <v>165466.701</v>
      </c>
      <c r="H94" s="43">
        <f ca="1">IFERROR(SUMIF('Input Data'!B3:B27,"L01",'Input Data'!N3:N27)/(SUMIF('Input Data'!N3:N27,"&gt;0",'Input Data'!N3:N27)),0)</f>
        <v>4.1021432688512507E-2</v>
      </c>
      <c r="I94" s="36" t="str">
        <f t="array" aca="1" ref="I94" ca="1">IFERROR(IF(SUMPRODUCT(('Input Data'!B3:B27="L01")*('Input Data'!Z3:Z27&gt;TODAY())*('Input Data'!AA3:AA27&gt;0))=0,"VACANT",TEXT(_xlfn.SINGLE(_xlfn.MINIFS('Input Data'!Z3:Z27,'Input Data'!B3:B27,"L01",'Input Data'!Z3:Z27,"&gt;"&amp;TODAY(),'Input Data'!AA3:AA27,"&gt;0")),"YYYY")),"—")</f>
        <v>2028</v>
      </c>
      <c r="J94" s="382"/>
      <c r="K94" s="382"/>
      <c r="L94" s="382"/>
      <c r="M94" s="382"/>
      <c r="N94" s="382"/>
    </row>
    <row r="95" spans="1:14" ht="27.75" customHeight="1" x14ac:dyDescent="0.35">
      <c r="A95" s="5"/>
      <c r="B95" s="130" t="s">
        <v>96</v>
      </c>
      <c r="C95" s="377" t="str">
        <f ca="1">IFERROR(MID(IF(('Input Data'!Z4&gt;TODAY())*('Input Data'!AA4&gt;0),", "&amp;'Input Data'!AB4&amp;" ("&amp;'Input Data'!C4&amp;")",""),3,999),"—")</f>
        <v>Recoverie (GROUND)</v>
      </c>
      <c r="D95" s="377"/>
      <c r="E95" s="27">
        <f>SUMIF('Input Data'!B3:B27,"GF",'Input Data'!F3:F27)</f>
        <v>298.3</v>
      </c>
      <c r="F95" s="30">
        <f ca="1">IFERROR(SUMIF('Input Data'!B3:B27,"GF",'Input Data'!N3:N27)/SUMIF('Input Data'!B3:B27,"GF",'Input Data'!F3:F27),0)</f>
        <v>913.46227287965121</v>
      </c>
      <c r="G95" s="30">
        <f ca="1">SUMIF('Input Data'!B3:B27,"GF",'Input Data'!N3:N27)</f>
        <v>272485.79599999997</v>
      </c>
      <c r="H95" s="31">
        <f ca="1">IFERROR(SUMIF('Input Data'!B3:B27,"GF",'Input Data'!N3:N27)/(SUMIF('Input Data'!N3:N27,"&gt;0",'Input Data'!N3:N27)),0)</f>
        <v>6.7552913496412487E-2</v>
      </c>
      <c r="I95" s="11" t="str">
        <f t="array" aca="1" ref="I95" ca="1">IFERROR(IF(SUMPRODUCT(('Input Data'!B3:B27="GF")*('Input Data'!Z3:Z27&gt;TODAY())*('Input Data'!AA3:AA27&gt;0))=0,"VACANT",TEXT(_xlfn.SINGLE(_xlfn.MINIFS('Input Data'!Z3:Z27,'Input Data'!B3:B27,"GF",'Input Data'!Z3:Z27,"&gt;"&amp;TODAY(),'Input Data'!AA3:AA27,"&gt;0")),"YYYY")),"—")</f>
        <v>2032</v>
      </c>
      <c r="J95" s="382"/>
      <c r="K95" s="382"/>
      <c r="L95" s="382"/>
      <c r="M95" s="382"/>
      <c r="N95" s="382"/>
    </row>
    <row r="96" spans="1:14" ht="27.75" customHeight="1" x14ac:dyDescent="0.35">
      <c r="A96" s="5"/>
      <c r="B96" s="131" t="s">
        <v>275</v>
      </c>
      <c r="C96" s="378" t="str">
        <f ca="1">IFERROR(MID(IF(('Input Data'!Z3&gt;TODAY())*('Input Data'!AA3&gt;0),", "&amp;'Input Data'!AB3&amp;" ("&amp;'Input Data'!C3&amp;")",""),3,999),"—")</f>
        <v>Opulent Two Enterprises (LWR GROUND)</v>
      </c>
      <c r="D96" s="378"/>
      <c r="E96" s="39">
        <f>SUMIF('Input Data'!B3:B27,"LWR GND",'Input Data'!F3:F27)</f>
        <v>0</v>
      </c>
      <c r="F96" s="42">
        <f>IFERROR(SUMIF('Input Data'!B3:B27,"LWR GND",'Input Data'!N3:N27)/SUMIF('Input Data'!B3:B27,"LWR GND",'Input Data'!F3:F27),0)</f>
        <v>0</v>
      </c>
      <c r="G96" s="42">
        <f>SUMIF('Input Data'!B3:B27,"LWR GND",'Input Data'!N3:N27)</f>
        <v>0</v>
      </c>
      <c r="H96" s="43">
        <f ca="1">IFERROR(SUMIF('Input Data'!B3:B27,"LWR GND",'Input Data'!N3:N27)/(SUMIF('Input Data'!N3:N27,"&gt;0",'Input Data'!N3:N27)),0)</f>
        <v>0</v>
      </c>
      <c r="I96" s="36">
        <v>2029</v>
      </c>
      <c r="J96" s="382"/>
      <c r="K96" s="382"/>
      <c r="L96" s="382"/>
      <c r="M96" s="382"/>
      <c r="N96" s="382"/>
    </row>
    <row r="97" spans="1:14" ht="19.5" customHeight="1" x14ac:dyDescent="0.35">
      <c r="A97" s="5"/>
      <c r="B97" s="348" t="s">
        <v>276</v>
      </c>
      <c r="C97" s="348"/>
      <c r="D97" s="348"/>
      <c r="E97" s="73">
        <f>SUM('Input Data'!F3:F27)</f>
        <v>4704.5</v>
      </c>
      <c r="F97" s="83"/>
      <c r="G97" s="74">
        <f ca="1">SUMPRODUCT(('Input Data'!K3:K27&gt;0)*('Input Data'!Y3:Y27&lt;&gt;"EXPIRED")*'Input Data'!N3:N27)</f>
        <v>4033664.6029999997</v>
      </c>
      <c r="H97" s="100">
        <v>1</v>
      </c>
      <c r="I97" s="83"/>
      <c r="J97" s="83"/>
      <c r="K97" s="83"/>
      <c r="L97" s="83"/>
      <c r="M97" s="83"/>
      <c r="N97" s="83"/>
    </row>
    <row r="98" spans="1:14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spans="1:14" ht="9.75" customHeight="1" x14ac:dyDescent="0.35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</row>
    <row r="100" spans="1:14" ht="21.75" customHeight="1" x14ac:dyDescent="0.35">
      <c r="A100" s="106"/>
      <c r="B100" s="387" t="s">
        <v>277</v>
      </c>
      <c r="C100" s="387"/>
      <c r="D100" s="387"/>
      <c r="E100" s="387"/>
      <c r="F100" s="387"/>
      <c r="G100" s="387"/>
      <c r="H100" s="387"/>
      <c r="I100" s="387"/>
      <c r="J100" s="387"/>
      <c r="K100" s="387"/>
      <c r="L100" s="387"/>
      <c r="M100" s="387"/>
      <c r="N100" s="106"/>
    </row>
    <row r="101" spans="1:14" ht="31.5" customHeight="1" x14ac:dyDescent="0.35">
      <c r="A101" s="108"/>
      <c r="B101" s="383"/>
      <c r="C101" s="383"/>
      <c r="D101" s="383"/>
      <c r="E101" s="24" t="s">
        <v>278</v>
      </c>
      <c r="F101" s="383" t="s">
        <v>279</v>
      </c>
      <c r="G101" s="383"/>
      <c r="H101" s="383" t="s">
        <v>280</v>
      </c>
      <c r="I101" s="383"/>
      <c r="J101" s="383" t="s">
        <v>281</v>
      </c>
      <c r="K101" s="383"/>
      <c r="L101" s="383"/>
      <c r="M101" s="383"/>
      <c r="N101" s="108"/>
    </row>
    <row r="102" spans="1:14" ht="19.5" customHeight="1" x14ac:dyDescent="0.35">
      <c r="A102" s="106"/>
      <c r="B102" s="324" t="s">
        <v>282</v>
      </c>
      <c r="C102" s="324"/>
      <c r="D102" s="324"/>
      <c r="E102" s="132">
        <f>Valuations!C6</f>
        <v>76500000</v>
      </c>
      <c r="F102" s="388">
        <f>Valuations!D6</f>
        <v>85000000</v>
      </c>
      <c r="G102" s="388"/>
      <c r="H102" s="388">
        <f>Valuations!E6</f>
        <v>79000000</v>
      </c>
      <c r="I102" s="388"/>
      <c r="J102" s="389">
        <f>IFERROR(E102-F102,"")</f>
        <v>-8500000</v>
      </c>
      <c r="K102" s="389"/>
      <c r="L102" s="390">
        <f>IFERROR((E102-F102)/F102,"")</f>
        <v>-0.1</v>
      </c>
      <c r="M102" s="390"/>
      <c r="N102" s="106"/>
    </row>
    <row r="103" spans="1:14" ht="19.5" customHeight="1" x14ac:dyDescent="0.35">
      <c r="A103" s="108"/>
      <c r="B103" s="324" t="s">
        <v>283</v>
      </c>
      <c r="C103" s="324"/>
      <c r="D103" s="324"/>
      <c r="E103" s="134">
        <f>Valuations!C7</f>
        <v>45455</v>
      </c>
      <c r="F103" s="391">
        <f>Valuations!D7</f>
        <v>44327</v>
      </c>
      <c r="G103" s="391"/>
      <c r="H103" s="391">
        <f>Valuations!E7</f>
        <v>43194</v>
      </c>
      <c r="I103" s="391"/>
      <c r="J103" s="385" t="s">
        <v>4</v>
      </c>
      <c r="K103" s="385"/>
      <c r="L103" s="385"/>
      <c r="M103" s="385"/>
      <c r="N103" s="108"/>
    </row>
    <row r="104" spans="1:14" ht="19.5" customHeight="1" x14ac:dyDescent="0.35">
      <c r="A104" s="106"/>
      <c r="B104" s="324" t="s">
        <v>284</v>
      </c>
      <c r="C104" s="324"/>
      <c r="D104" s="324"/>
      <c r="E104" s="135" t="str">
        <f>Valuations!C8</f>
        <v>Knight Frank</v>
      </c>
      <c r="F104" s="392" t="str">
        <f>Valuations!D8</f>
        <v>Knight Frank</v>
      </c>
      <c r="G104" s="392"/>
      <c r="H104" s="392" t="str">
        <f>Valuations!E8</f>
        <v>JLL</v>
      </c>
      <c r="I104" s="392"/>
      <c r="J104" s="385" t="s">
        <v>4</v>
      </c>
      <c r="K104" s="385"/>
      <c r="L104" s="385"/>
      <c r="M104" s="385"/>
      <c r="N104" s="106"/>
    </row>
    <row r="105" spans="1:14" ht="19.5" customHeight="1" x14ac:dyDescent="0.35">
      <c r="A105" s="108"/>
      <c r="B105" s="324" t="s">
        <v>285</v>
      </c>
      <c r="C105" s="324"/>
      <c r="D105" s="324"/>
      <c r="E105" s="136">
        <f>Valuations!C10</f>
        <v>5.2499999999999998E-2</v>
      </c>
      <c r="F105" s="393">
        <f>Valuations!D10</f>
        <v>4.7500000000000001E-2</v>
      </c>
      <c r="G105" s="393"/>
      <c r="H105" s="393">
        <f>Valuations!E10</f>
        <v>4.7500000000000001E-2</v>
      </c>
      <c r="I105" s="393"/>
      <c r="J105" s="394">
        <f>IFERROR(E105-F105,"")</f>
        <v>4.9999999999999975E-3</v>
      </c>
      <c r="K105" s="394"/>
      <c r="L105" s="394"/>
      <c r="M105" s="394"/>
      <c r="N105" s="108"/>
    </row>
    <row r="106" spans="1:14" ht="19.5" customHeight="1" x14ac:dyDescent="0.35">
      <c r="A106" s="106"/>
      <c r="B106" s="324" t="s">
        <v>286</v>
      </c>
      <c r="C106" s="324"/>
      <c r="D106" s="324"/>
      <c r="E106" s="136">
        <f>Valuations!C11</f>
        <v>3.6700000000000003E-2</v>
      </c>
      <c r="F106" s="393">
        <f>Valuations!D11</f>
        <v>3.73E-2</v>
      </c>
      <c r="G106" s="393"/>
      <c r="H106" s="393">
        <f>Valuations!E11</f>
        <v>3.2300000000000002E-2</v>
      </c>
      <c r="I106" s="393"/>
      <c r="J106" s="394">
        <f>IFERROR(E106-F106,"")</f>
        <v>-5.9999999999999637E-4</v>
      </c>
      <c r="K106" s="394"/>
      <c r="L106" s="394"/>
      <c r="M106" s="394"/>
      <c r="N106" s="106"/>
    </row>
    <row r="107" spans="1:14" ht="19.5" customHeight="1" x14ac:dyDescent="0.35">
      <c r="A107" s="108"/>
      <c r="B107" s="324" t="s">
        <v>287</v>
      </c>
      <c r="C107" s="324"/>
      <c r="D107" s="324"/>
      <c r="E107" s="138">
        <f>Valuations!C12</f>
        <v>14900000</v>
      </c>
      <c r="F107" s="388">
        <f>Valuations!D12</f>
        <v>11000000</v>
      </c>
      <c r="G107" s="388"/>
      <c r="H107" s="388">
        <f>Valuations!E12</f>
        <v>9480000</v>
      </c>
      <c r="I107" s="388"/>
      <c r="J107" s="395">
        <f>IFERROR(E107-F107,"")</f>
        <v>3900000</v>
      </c>
      <c r="K107" s="395"/>
      <c r="L107" s="395"/>
      <c r="M107" s="395"/>
      <c r="N107" s="108"/>
    </row>
    <row r="108" spans="1:14" ht="19.5" customHeight="1" x14ac:dyDescent="0.35">
      <c r="A108" s="106"/>
      <c r="B108" s="324" t="s">
        <v>288</v>
      </c>
      <c r="C108" s="324"/>
      <c r="D108" s="324"/>
      <c r="E108" s="135" t="str">
        <f>Valuations!F9</f>
        <v>First Mortgage Security Purposes</v>
      </c>
      <c r="F108" s="392" t="str">
        <f>Valuations!D9</f>
        <v>Market Value 'As Is'</v>
      </c>
      <c r="G108" s="392"/>
      <c r="H108" s="392" t="str">
        <f>Valuations!E9</f>
        <v>Market Value 'As Is'</v>
      </c>
      <c r="I108" s="392"/>
      <c r="J108" s="385" t="s">
        <v>4</v>
      </c>
      <c r="K108" s="385"/>
      <c r="L108" s="385"/>
      <c r="M108" s="385"/>
      <c r="N108" s="106"/>
    </row>
    <row r="109" spans="1:14" ht="9.75" customHeight="1" x14ac:dyDescent="0.35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</row>
    <row r="110" spans="1:14" ht="19.5" customHeight="1" x14ac:dyDescent="0.35">
      <c r="A110" s="106"/>
      <c r="B110" s="396" t="s">
        <v>289</v>
      </c>
      <c r="C110" s="396"/>
      <c r="D110" s="396"/>
      <c r="E110" s="396"/>
      <c r="F110" s="396"/>
      <c r="G110" s="396"/>
      <c r="H110" s="396"/>
      <c r="I110" s="396"/>
      <c r="J110" s="396"/>
      <c r="K110" s="396"/>
      <c r="L110" s="396"/>
      <c r="M110" s="396"/>
      <c r="N110" s="106"/>
    </row>
    <row r="111" spans="1:14" ht="27.75" customHeight="1" x14ac:dyDescent="0.35">
      <c r="A111" s="108"/>
      <c r="B111" s="383"/>
      <c r="C111" s="383"/>
      <c r="D111" s="383"/>
      <c r="E111" s="24" t="s">
        <v>290</v>
      </c>
      <c r="F111" s="383" t="s">
        <v>291</v>
      </c>
      <c r="G111" s="383"/>
      <c r="H111" s="383" t="s">
        <v>292</v>
      </c>
      <c r="I111" s="383"/>
      <c r="J111" s="383" t="s">
        <v>293</v>
      </c>
      <c r="K111" s="383"/>
      <c r="L111" s="383"/>
      <c r="M111" s="383"/>
      <c r="N111" s="108"/>
    </row>
    <row r="112" spans="1:14" ht="19.5" customHeight="1" x14ac:dyDescent="0.35">
      <c r="A112" s="106"/>
      <c r="B112" s="324" t="s">
        <v>294</v>
      </c>
      <c r="C112" s="324"/>
      <c r="D112" s="324"/>
      <c r="E112" s="135" t="str">
        <f>Valuations!C20</f>
        <v>FY26</v>
      </c>
      <c r="F112" s="392" t="str">
        <f>Valuations!D20</f>
        <v>FY25</v>
      </c>
      <c r="G112" s="392"/>
      <c r="H112" s="392" t="str">
        <f>Valuations!E20</f>
        <v>FY24</v>
      </c>
      <c r="I112" s="392"/>
      <c r="J112" s="385" t="s">
        <v>4</v>
      </c>
      <c r="K112" s="385"/>
      <c r="L112" s="385"/>
      <c r="M112" s="385"/>
      <c r="N112" s="106"/>
    </row>
    <row r="113" spans="1:14" ht="19.5" customHeight="1" x14ac:dyDescent="0.35">
      <c r="A113" s="108"/>
      <c r="B113" s="324" t="s">
        <v>295</v>
      </c>
      <c r="C113" s="324"/>
      <c r="D113" s="324"/>
      <c r="E113" s="132">
        <f>Valuations!C21</f>
        <v>16500000</v>
      </c>
      <c r="F113" s="388">
        <f>Valuations!D21</f>
        <v>16500000</v>
      </c>
      <c r="G113" s="388"/>
      <c r="H113" s="388">
        <f>Valuations!E21</f>
        <v>14900000</v>
      </c>
      <c r="I113" s="388"/>
      <c r="J113" s="389">
        <f>IFERROR(E113-G113,"")</f>
        <v>16500000</v>
      </c>
      <c r="K113" s="389"/>
      <c r="L113" s="390">
        <f>IFERROR((E113-F113)/F113,"")</f>
        <v>0</v>
      </c>
      <c r="M113" s="390"/>
      <c r="N113" s="108"/>
    </row>
    <row r="114" spans="1:14" ht="19.5" customHeight="1" x14ac:dyDescent="0.35">
      <c r="A114" s="106"/>
      <c r="B114" s="324" t="s">
        <v>296</v>
      </c>
      <c r="C114" s="324"/>
      <c r="D114" s="324"/>
      <c r="E114" s="138">
        <f>Valuations!C22</f>
        <v>293049.3</v>
      </c>
      <c r="F114" s="388">
        <f>Valuations!D22</f>
        <v>273049.3</v>
      </c>
      <c r="G114" s="388"/>
      <c r="H114" s="388">
        <f>Valuations!E22</f>
        <v>236382.65</v>
      </c>
      <c r="I114" s="388"/>
      <c r="J114" s="389">
        <f>IFERROR(E114-G114,"")</f>
        <v>293049.3</v>
      </c>
      <c r="K114" s="389"/>
      <c r="L114" s="390">
        <f>IFERROR((E114-F114)/F114,"")</f>
        <v>7.3246845899257021E-2</v>
      </c>
      <c r="M114" s="390"/>
      <c r="N114" s="106"/>
    </row>
    <row r="115" spans="1:14" ht="19.5" customHeight="1" x14ac:dyDescent="0.35">
      <c r="A115" s="5"/>
      <c r="B115" s="324" t="s">
        <v>297</v>
      </c>
      <c r="C115" s="324"/>
      <c r="D115" s="324"/>
      <c r="E115" s="134">
        <f>Valuations!C23</f>
        <v>45839</v>
      </c>
      <c r="F115" s="391">
        <f>Valuations!D23</f>
        <v>45474</v>
      </c>
      <c r="G115" s="391"/>
      <c r="H115" s="391">
        <f>Valuations!E23</f>
        <v>45108</v>
      </c>
      <c r="I115" s="391"/>
      <c r="J115" s="385" t="s">
        <v>4</v>
      </c>
      <c r="K115" s="385"/>
      <c r="L115" s="385"/>
      <c r="M115" s="385"/>
      <c r="N115" s="5"/>
    </row>
    <row r="116" spans="1:14" ht="9.75" customHeight="1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spans="1:14" ht="15.75" customHeight="1" x14ac:dyDescent="0.35">
      <c r="A117" s="5"/>
      <c r="B117" s="397" t="s">
        <v>298</v>
      </c>
      <c r="C117" s="397"/>
      <c r="D117" s="397"/>
      <c r="E117" s="397"/>
      <c r="F117" s="397"/>
      <c r="G117" s="397"/>
      <c r="H117" s="397"/>
      <c r="I117" s="397"/>
      <c r="J117" s="397"/>
      <c r="K117" s="397"/>
      <c r="L117" s="397"/>
      <c r="M117" s="397"/>
      <c r="N117" s="5"/>
    </row>
  </sheetData>
  <mergeCells count="221">
    <mergeCell ref="B115:D115"/>
    <mergeCell ref="F115:G115"/>
    <mergeCell ref="H115:I115"/>
    <mergeCell ref="J115:M115"/>
    <mergeCell ref="B117:M117"/>
    <mergeCell ref="B113:D113"/>
    <mergeCell ref="F113:G113"/>
    <mergeCell ref="H113:I113"/>
    <mergeCell ref="J113:K113"/>
    <mergeCell ref="L113:M113"/>
    <mergeCell ref="B114:D114"/>
    <mergeCell ref="F114:G114"/>
    <mergeCell ref="H114:I114"/>
    <mergeCell ref="J114:K114"/>
    <mergeCell ref="L114:M114"/>
    <mergeCell ref="B110:M110"/>
    <mergeCell ref="B111:D111"/>
    <mergeCell ref="F111:G111"/>
    <mergeCell ref="H111:I111"/>
    <mergeCell ref="J111:M111"/>
    <mergeCell ref="B112:D112"/>
    <mergeCell ref="F112:G112"/>
    <mergeCell ref="H112:I112"/>
    <mergeCell ref="J112:M112"/>
    <mergeCell ref="B106:D106"/>
    <mergeCell ref="F106:G106"/>
    <mergeCell ref="H106:I106"/>
    <mergeCell ref="J106:M106"/>
    <mergeCell ref="B107:D107"/>
    <mergeCell ref="F107:G107"/>
    <mergeCell ref="H107:I107"/>
    <mergeCell ref="J107:M107"/>
    <mergeCell ref="B108:D108"/>
    <mergeCell ref="F108:G108"/>
    <mergeCell ref="H108:I108"/>
    <mergeCell ref="J108:M108"/>
    <mergeCell ref="B103:D103"/>
    <mergeCell ref="F103:G103"/>
    <mergeCell ref="H103:I103"/>
    <mergeCell ref="J103:M103"/>
    <mergeCell ref="B104:D104"/>
    <mergeCell ref="F104:G104"/>
    <mergeCell ref="H104:I104"/>
    <mergeCell ref="J104:M104"/>
    <mergeCell ref="B105:D105"/>
    <mergeCell ref="F105:G105"/>
    <mergeCell ref="H105:I105"/>
    <mergeCell ref="J105:M105"/>
    <mergeCell ref="B100:M100"/>
    <mergeCell ref="B101:D101"/>
    <mergeCell ref="F101:G101"/>
    <mergeCell ref="H101:I101"/>
    <mergeCell ref="J101:M101"/>
    <mergeCell ref="B102:D102"/>
    <mergeCell ref="F102:G102"/>
    <mergeCell ref="H102:I102"/>
    <mergeCell ref="J102:K102"/>
    <mergeCell ref="L102:M102"/>
    <mergeCell ref="C93:D93"/>
    <mergeCell ref="J93:N93"/>
    <mergeCell ref="C94:D94"/>
    <mergeCell ref="J94:N94"/>
    <mergeCell ref="C95:D95"/>
    <mergeCell ref="J95:N95"/>
    <mergeCell ref="C96:D96"/>
    <mergeCell ref="J96:N96"/>
    <mergeCell ref="B97:D97"/>
    <mergeCell ref="C88:D88"/>
    <mergeCell ref="J88:N88"/>
    <mergeCell ref="C89:D89"/>
    <mergeCell ref="J89:N89"/>
    <mergeCell ref="C90:D90"/>
    <mergeCell ref="J90:N90"/>
    <mergeCell ref="C91:D91"/>
    <mergeCell ref="J91:N91"/>
    <mergeCell ref="C92:D92"/>
    <mergeCell ref="J92:N92"/>
    <mergeCell ref="C83:D83"/>
    <mergeCell ref="J83:N83"/>
    <mergeCell ref="C84:D84"/>
    <mergeCell ref="J84:N84"/>
    <mergeCell ref="C85:D85"/>
    <mergeCell ref="J85:N85"/>
    <mergeCell ref="C86:D86"/>
    <mergeCell ref="J86:N86"/>
    <mergeCell ref="C87:D87"/>
    <mergeCell ref="J87:N87"/>
    <mergeCell ref="B76:C76"/>
    <mergeCell ref="H76:N76"/>
    <mergeCell ref="B77:C77"/>
    <mergeCell ref="H77:N77"/>
    <mergeCell ref="B78:C78"/>
    <mergeCell ref="H78:N78"/>
    <mergeCell ref="B81:M81"/>
    <mergeCell ref="C82:D82"/>
    <mergeCell ref="J82:N82"/>
    <mergeCell ref="B71:C71"/>
    <mergeCell ref="H71:N71"/>
    <mergeCell ref="B72:C72"/>
    <mergeCell ref="H72:N72"/>
    <mergeCell ref="B73:C73"/>
    <mergeCell ref="H73:N73"/>
    <mergeCell ref="B74:C74"/>
    <mergeCell ref="H74:N74"/>
    <mergeCell ref="B75:C75"/>
    <mergeCell ref="H75:N75"/>
    <mergeCell ref="C66:D66"/>
    <mergeCell ref="H66:N66"/>
    <mergeCell ref="B67:C67"/>
    <mergeCell ref="H67:N67"/>
    <mergeCell ref="B68:C68"/>
    <mergeCell ref="H68:N68"/>
    <mergeCell ref="B69:C69"/>
    <mergeCell ref="H69:N69"/>
    <mergeCell ref="B70:C70"/>
    <mergeCell ref="H70:N70"/>
    <mergeCell ref="C49:D49"/>
    <mergeCell ref="J49:N49"/>
    <mergeCell ref="C50:D50"/>
    <mergeCell ref="J50:N50"/>
    <mergeCell ref="C51:D51"/>
    <mergeCell ref="J51:N51"/>
    <mergeCell ref="B52:E52"/>
    <mergeCell ref="J52:N52"/>
    <mergeCell ref="B65:M65"/>
    <mergeCell ref="C44:D44"/>
    <mergeCell ref="J44:N44"/>
    <mergeCell ref="C45:D45"/>
    <mergeCell ref="J45:N45"/>
    <mergeCell ref="C46:D46"/>
    <mergeCell ref="J46:N46"/>
    <mergeCell ref="C47:D47"/>
    <mergeCell ref="J47:N47"/>
    <mergeCell ref="C48:D48"/>
    <mergeCell ref="J48:N48"/>
    <mergeCell ref="C39:D39"/>
    <mergeCell ref="J39:N39"/>
    <mergeCell ref="C40:D40"/>
    <mergeCell ref="J40:N40"/>
    <mergeCell ref="C41:D41"/>
    <mergeCell ref="J41:N41"/>
    <mergeCell ref="C42:D42"/>
    <mergeCell ref="J42:N42"/>
    <mergeCell ref="C43:D43"/>
    <mergeCell ref="J43:N43"/>
    <mergeCell ref="C34:D34"/>
    <mergeCell ref="J34:N34"/>
    <mergeCell ref="C35:D35"/>
    <mergeCell ref="J35:N35"/>
    <mergeCell ref="C36:D36"/>
    <mergeCell ref="J36:N36"/>
    <mergeCell ref="C37:D37"/>
    <mergeCell ref="J37:N37"/>
    <mergeCell ref="C38:D38"/>
    <mergeCell ref="J38:N38"/>
    <mergeCell ref="C29:D29"/>
    <mergeCell ref="J29:N29"/>
    <mergeCell ref="C30:D30"/>
    <mergeCell ref="J30:N30"/>
    <mergeCell ref="C31:D31"/>
    <mergeCell ref="J31:N31"/>
    <mergeCell ref="C32:D32"/>
    <mergeCell ref="J32:N32"/>
    <mergeCell ref="C33:D33"/>
    <mergeCell ref="J33:N33"/>
    <mergeCell ref="H20:N20"/>
    <mergeCell ref="H21:N21"/>
    <mergeCell ref="H22:N22"/>
    <mergeCell ref="H23:N23"/>
    <mergeCell ref="H24:N24"/>
    <mergeCell ref="I25:N25"/>
    <mergeCell ref="B27:N27"/>
    <mergeCell ref="C28:D28"/>
    <mergeCell ref="J28:N28"/>
    <mergeCell ref="B12:G12"/>
    <mergeCell ref="E13:G13"/>
    <mergeCell ref="B14:C14"/>
    <mergeCell ref="E14:G14"/>
    <mergeCell ref="B15:C15"/>
    <mergeCell ref="E15:G15"/>
    <mergeCell ref="B17:N17"/>
    <mergeCell ref="H18:N18"/>
    <mergeCell ref="H19:N19"/>
    <mergeCell ref="B9:C9"/>
    <mergeCell ref="D9:E9"/>
    <mergeCell ref="F9:G9"/>
    <mergeCell ref="H9:I9"/>
    <mergeCell ref="J9:K9"/>
    <mergeCell ref="L9:M9"/>
    <mergeCell ref="B10:C10"/>
    <mergeCell ref="D10:E10"/>
    <mergeCell ref="F10:G10"/>
    <mergeCell ref="H10:I10"/>
    <mergeCell ref="J10:K10"/>
    <mergeCell ref="L10:M10"/>
    <mergeCell ref="B6:C6"/>
    <mergeCell ref="D6:E6"/>
    <mergeCell ref="F6:G6"/>
    <mergeCell ref="H6:I6"/>
    <mergeCell ref="J6:K6"/>
    <mergeCell ref="L6:M6"/>
    <mergeCell ref="B8:C8"/>
    <mergeCell ref="D8:E8"/>
    <mergeCell ref="F8:G8"/>
    <mergeCell ref="H8:I8"/>
    <mergeCell ref="J8:K8"/>
    <mergeCell ref="L8:M8"/>
    <mergeCell ref="A1:N1"/>
    <mergeCell ref="A2:N2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</mergeCells>
  <pageMargins left="0.75" right="0.75" top="1" bottom="1" header="0.51180555555555596" footer="0.51180555555555596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5"/>
  <sheetViews>
    <sheetView showGridLines="0" zoomScaleNormal="100" workbookViewId="0">
      <selection activeCell="J6" sqref="J6"/>
    </sheetView>
  </sheetViews>
  <sheetFormatPr defaultColWidth="8.6328125" defaultRowHeight="14.5" x14ac:dyDescent="0.35"/>
  <cols>
    <col min="1" max="1" width="1.453125" customWidth="1"/>
    <col min="2" max="2" width="33.08984375" customWidth="1"/>
    <col min="3" max="3" width="17" customWidth="1"/>
    <col min="4" max="6" width="16" customWidth="1"/>
    <col min="7" max="7" width="22" customWidth="1"/>
    <col min="8" max="8" width="1.453125" customWidth="1"/>
  </cols>
  <sheetData>
    <row r="1" spans="1:8" ht="31.5" customHeight="1" x14ac:dyDescent="0.35">
      <c r="A1" s="321" t="s">
        <v>299</v>
      </c>
      <c r="B1" s="321"/>
      <c r="C1" s="321"/>
      <c r="D1" s="321"/>
      <c r="E1" s="321"/>
      <c r="F1" s="321"/>
      <c r="G1" s="321"/>
      <c r="H1" s="321"/>
    </row>
    <row r="2" spans="1:8" ht="18" customHeight="1" x14ac:dyDescent="0.35">
      <c r="A2" s="398" t="s">
        <v>300</v>
      </c>
      <c r="B2" s="398"/>
      <c r="C2" s="398"/>
      <c r="D2" s="398"/>
      <c r="E2" s="398"/>
      <c r="F2" s="398"/>
      <c r="G2" s="398"/>
      <c r="H2" s="398"/>
    </row>
    <row r="3" spans="1:8" ht="7.5" customHeight="1" x14ac:dyDescent="0.35">
      <c r="A3" s="5"/>
      <c r="B3" s="5"/>
      <c r="C3" s="5"/>
      <c r="D3" s="5"/>
      <c r="E3" s="5"/>
      <c r="F3" s="5"/>
      <c r="G3" s="5"/>
      <c r="H3" s="5"/>
    </row>
    <row r="4" spans="1:8" ht="21.75" customHeight="1" x14ac:dyDescent="0.35">
      <c r="A4" s="5"/>
      <c r="B4" s="373" t="s">
        <v>301</v>
      </c>
      <c r="C4" s="373"/>
      <c r="D4" s="373"/>
      <c r="E4" s="373"/>
      <c r="F4" s="373"/>
      <c r="G4" s="373"/>
      <c r="H4" s="5"/>
    </row>
    <row r="5" spans="1:8" ht="27.75" customHeight="1" x14ac:dyDescent="0.35">
      <c r="A5" s="5"/>
      <c r="B5" s="24"/>
      <c r="C5" s="24" t="s">
        <v>302</v>
      </c>
      <c r="D5" s="24" t="s">
        <v>303</v>
      </c>
      <c r="E5" s="24" t="s">
        <v>304</v>
      </c>
      <c r="F5" s="383" t="s">
        <v>84</v>
      </c>
      <c r="G5" s="383"/>
      <c r="H5" s="5"/>
    </row>
    <row r="6" spans="1:8" ht="19.5" customHeight="1" x14ac:dyDescent="0.35">
      <c r="A6" s="5"/>
      <c r="B6" s="26" t="s">
        <v>305</v>
      </c>
      <c r="C6" s="140">
        <v>76500000</v>
      </c>
      <c r="D6" s="140">
        <v>85000000</v>
      </c>
      <c r="E6" s="140">
        <v>79000000</v>
      </c>
      <c r="F6" s="399"/>
      <c r="G6" s="399"/>
      <c r="H6" s="5"/>
    </row>
    <row r="7" spans="1:8" ht="19.5" customHeight="1" x14ac:dyDescent="0.35">
      <c r="A7" s="5"/>
      <c r="B7" s="26" t="s">
        <v>283</v>
      </c>
      <c r="C7" s="142">
        <v>45455</v>
      </c>
      <c r="D7" s="142">
        <v>44327</v>
      </c>
      <c r="E7" s="142">
        <v>43194</v>
      </c>
      <c r="F7" s="399"/>
      <c r="G7" s="399"/>
      <c r="H7" s="5"/>
    </row>
    <row r="8" spans="1:8" ht="19.5" customHeight="1" x14ac:dyDescent="0.35">
      <c r="A8" s="5"/>
      <c r="B8" s="26" t="s">
        <v>284</v>
      </c>
      <c r="C8" s="143" t="s">
        <v>306</v>
      </c>
      <c r="D8" s="143" t="s">
        <v>306</v>
      </c>
      <c r="E8" s="143" t="s">
        <v>307</v>
      </c>
      <c r="F8" s="399"/>
      <c r="G8" s="399"/>
      <c r="H8" s="5"/>
    </row>
    <row r="9" spans="1:8" ht="19.5" customHeight="1" x14ac:dyDescent="0.35">
      <c r="A9" s="5"/>
      <c r="B9" s="26" t="s">
        <v>288</v>
      </c>
      <c r="C9" s="144" t="s">
        <v>308</v>
      </c>
      <c r="D9" s="144" t="s">
        <v>308</v>
      </c>
      <c r="E9" s="144" t="s">
        <v>308</v>
      </c>
      <c r="F9" s="400" t="s">
        <v>309</v>
      </c>
      <c r="G9" s="400"/>
      <c r="H9" s="5"/>
    </row>
    <row r="10" spans="1:8" ht="19.5" customHeight="1" x14ac:dyDescent="0.35">
      <c r="A10" s="5"/>
      <c r="B10" s="26" t="s">
        <v>310</v>
      </c>
      <c r="C10" s="144">
        <v>5.2499999999999998E-2</v>
      </c>
      <c r="D10" s="144">
        <v>4.7500000000000001E-2</v>
      </c>
      <c r="E10" s="144">
        <v>4.7500000000000001E-2</v>
      </c>
      <c r="F10" s="399"/>
      <c r="G10" s="399"/>
      <c r="H10" s="5"/>
    </row>
    <row r="11" spans="1:8" ht="19.5" customHeight="1" x14ac:dyDescent="0.35">
      <c r="A11" s="5"/>
      <c r="B11" s="26" t="s">
        <v>311</v>
      </c>
      <c r="C11" s="144">
        <v>3.6700000000000003E-2</v>
      </c>
      <c r="D11" s="144">
        <v>3.73E-2</v>
      </c>
      <c r="E11" s="144">
        <v>3.2300000000000002E-2</v>
      </c>
      <c r="F11" s="399"/>
      <c r="G11" s="399"/>
      <c r="H11" s="5"/>
    </row>
    <row r="12" spans="1:8" ht="19.5" customHeight="1" x14ac:dyDescent="0.35">
      <c r="A12" s="5"/>
      <c r="B12" s="26" t="s">
        <v>312</v>
      </c>
      <c r="C12" s="140">
        <v>14900000</v>
      </c>
      <c r="D12" s="140">
        <v>11000000</v>
      </c>
      <c r="E12" s="140">
        <v>9480000</v>
      </c>
      <c r="F12" s="399"/>
      <c r="G12" s="399"/>
      <c r="H12" s="5"/>
    </row>
    <row r="13" spans="1:8" ht="19.5" customHeight="1" x14ac:dyDescent="0.35">
      <c r="A13" s="5"/>
      <c r="B13" s="26" t="s">
        <v>313</v>
      </c>
      <c r="C13" s="140">
        <v>55600000</v>
      </c>
      <c r="D13" s="140">
        <v>38700000</v>
      </c>
      <c r="E13" s="145"/>
      <c r="F13" s="399"/>
      <c r="G13" s="399"/>
      <c r="H13" s="5"/>
    </row>
    <row r="14" spans="1:8" ht="18" customHeight="1" x14ac:dyDescent="0.35">
      <c r="A14" s="5"/>
      <c r="B14" s="326" t="s">
        <v>314</v>
      </c>
      <c r="C14" s="326"/>
      <c r="D14" s="326"/>
      <c r="E14" s="326"/>
      <c r="F14" s="326"/>
      <c r="G14" s="326"/>
      <c r="H14" s="5"/>
    </row>
    <row r="15" spans="1:8" ht="19.5" customHeight="1" x14ac:dyDescent="0.35">
      <c r="A15" s="5"/>
      <c r="B15" s="26" t="s">
        <v>315</v>
      </c>
      <c r="C15" s="389">
        <f>IFERROR(C6-D6,"")</f>
        <v>-8500000</v>
      </c>
      <c r="D15" s="389"/>
      <c r="E15" s="133">
        <f>IFERROR((C6-D6)/D6,"")</f>
        <v>-0.1</v>
      </c>
      <c r="F15" s="328" t="s">
        <v>316</v>
      </c>
      <c r="G15" s="328"/>
      <c r="H15" s="5"/>
    </row>
    <row r="16" spans="1:8" ht="19.5" customHeight="1" x14ac:dyDescent="0.35">
      <c r="A16" s="5"/>
      <c r="B16" s="37" t="s">
        <v>317</v>
      </c>
      <c r="C16" s="389">
        <f>IFERROR(D6-E6,"")</f>
        <v>6000000</v>
      </c>
      <c r="D16" s="389"/>
      <c r="E16" s="133">
        <f>IFERROR((D6-E6)/E6,"")</f>
        <v>7.5949367088607597E-2</v>
      </c>
      <c r="F16" s="401"/>
      <c r="G16" s="401"/>
      <c r="H16" s="5"/>
    </row>
    <row r="17" spans="1:8" ht="9.75" customHeight="1" x14ac:dyDescent="0.35">
      <c r="A17" s="5"/>
      <c r="B17" s="5"/>
      <c r="C17" s="5"/>
      <c r="D17" s="5"/>
      <c r="E17" s="5"/>
      <c r="F17" s="5"/>
      <c r="G17" s="5"/>
      <c r="H17" s="5"/>
    </row>
    <row r="18" spans="1:8" ht="21.75" customHeight="1" x14ac:dyDescent="0.35">
      <c r="A18" s="5"/>
      <c r="B18" s="373" t="s">
        <v>318</v>
      </c>
      <c r="C18" s="373"/>
      <c r="D18" s="373"/>
      <c r="E18" s="373"/>
      <c r="F18" s="373"/>
      <c r="G18" s="373"/>
      <c r="H18" s="5"/>
    </row>
    <row r="19" spans="1:8" ht="27.75" customHeight="1" x14ac:dyDescent="0.35">
      <c r="A19" s="5"/>
      <c r="B19" s="24"/>
      <c r="C19" s="24" t="s">
        <v>319</v>
      </c>
      <c r="D19" s="24" t="s">
        <v>291</v>
      </c>
      <c r="E19" s="24" t="s">
        <v>292</v>
      </c>
      <c r="F19" s="383" t="s">
        <v>84</v>
      </c>
      <c r="G19" s="383"/>
      <c r="H19" s="5"/>
    </row>
    <row r="20" spans="1:8" ht="19.5" customHeight="1" x14ac:dyDescent="0.35">
      <c r="A20" s="5"/>
      <c r="B20" s="26" t="s">
        <v>294</v>
      </c>
      <c r="C20" s="143" t="s">
        <v>320</v>
      </c>
      <c r="D20" s="143" t="s">
        <v>321</v>
      </c>
      <c r="E20" s="143" t="s">
        <v>322</v>
      </c>
      <c r="F20" s="344"/>
      <c r="G20" s="344"/>
      <c r="H20" s="5"/>
    </row>
    <row r="21" spans="1:8" ht="19.5" customHeight="1" x14ac:dyDescent="0.35">
      <c r="A21" s="5"/>
      <c r="B21" s="26" t="s">
        <v>295</v>
      </c>
      <c r="C21" s="140">
        <v>16500000</v>
      </c>
      <c r="D21" s="140">
        <v>16500000</v>
      </c>
      <c r="E21" s="140">
        <v>14900000</v>
      </c>
      <c r="F21" s="344"/>
      <c r="G21" s="344"/>
      <c r="H21" s="5"/>
    </row>
    <row r="22" spans="1:8" ht="19.5" customHeight="1" x14ac:dyDescent="0.35">
      <c r="A22" s="5"/>
      <c r="B22" s="26" t="s">
        <v>296</v>
      </c>
      <c r="C22" s="140">
        <v>293049.3</v>
      </c>
      <c r="D22" s="140">
        <v>273049.3</v>
      </c>
      <c r="E22" s="140">
        <v>236382.65</v>
      </c>
      <c r="F22" s="344"/>
      <c r="G22" s="344"/>
      <c r="H22" s="5"/>
    </row>
    <row r="23" spans="1:8" ht="19.5" customHeight="1" x14ac:dyDescent="0.35">
      <c r="A23" s="5"/>
      <c r="B23" s="26" t="s">
        <v>297</v>
      </c>
      <c r="C23" s="142">
        <v>45839</v>
      </c>
      <c r="D23" s="142">
        <v>45474</v>
      </c>
      <c r="E23" s="142">
        <v>45108</v>
      </c>
      <c r="F23" s="344"/>
      <c r="G23" s="344"/>
      <c r="H23" s="5"/>
    </row>
    <row r="24" spans="1:8" ht="19.5" customHeight="1" x14ac:dyDescent="0.35">
      <c r="A24" s="5"/>
      <c r="B24" s="26" t="s">
        <v>323</v>
      </c>
      <c r="C24" s="145"/>
      <c r="D24" s="145"/>
      <c r="E24" s="145"/>
      <c r="F24" s="344"/>
      <c r="G24" s="344"/>
      <c r="H24" s="5"/>
    </row>
    <row r="25" spans="1:8" ht="19.5" customHeight="1" x14ac:dyDescent="0.35">
      <c r="A25" s="5"/>
      <c r="B25" s="26" t="s">
        <v>324</v>
      </c>
      <c r="C25" s="148"/>
      <c r="D25" s="148"/>
      <c r="E25" s="148"/>
      <c r="F25" s="344"/>
      <c r="G25" s="344"/>
      <c r="H25" s="5"/>
    </row>
    <row r="26" spans="1:8" ht="19.5" customHeight="1" x14ac:dyDescent="0.35">
      <c r="A26" s="5"/>
      <c r="B26" s="26" t="s">
        <v>325</v>
      </c>
      <c r="C26" s="149"/>
      <c r="D26" s="149"/>
      <c r="E26" s="149"/>
      <c r="F26" s="344"/>
      <c r="G26" s="344"/>
      <c r="H26" s="5"/>
    </row>
    <row r="27" spans="1:8" ht="19.5" customHeight="1" x14ac:dyDescent="0.35">
      <c r="A27" s="5"/>
      <c r="B27" s="26" t="s">
        <v>326</v>
      </c>
      <c r="C27" s="141"/>
      <c r="D27" s="141"/>
      <c r="E27" s="141"/>
      <c r="F27" s="344"/>
      <c r="G27" s="344"/>
      <c r="H27" s="5"/>
    </row>
    <row r="28" spans="1:8" ht="9.75" customHeight="1" x14ac:dyDescent="0.35">
      <c r="A28" s="5"/>
      <c r="B28" s="5"/>
      <c r="C28" s="5"/>
      <c r="D28" s="5"/>
      <c r="E28" s="5"/>
      <c r="F28" s="5"/>
      <c r="G28" s="5"/>
      <c r="H28" s="5"/>
    </row>
    <row r="29" spans="1:8" ht="18" customHeight="1" x14ac:dyDescent="0.35">
      <c r="A29" s="5"/>
      <c r="B29" s="326" t="s">
        <v>327</v>
      </c>
      <c r="C29" s="326"/>
      <c r="D29" s="326"/>
      <c r="E29" s="326"/>
      <c r="F29" s="326"/>
      <c r="G29" s="326"/>
      <c r="H29" s="5"/>
    </row>
    <row r="30" spans="1:8" ht="19.5" customHeight="1" x14ac:dyDescent="0.35">
      <c r="A30" s="5"/>
      <c r="B30" s="26" t="s">
        <v>328</v>
      </c>
      <c r="C30" s="389">
        <f>IFERROR(C21-D21,"")</f>
        <v>0</v>
      </c>
      <c r="D30" s="389"/>
      <c r="E30" s="133">
        <f>IFERROR((C21-D21)/D21,"")</f>
        <v>0</v>
      </c>
      <c r="F30" s="401"/>
      <c r="G30" s="401"/>
      <c r="H30" s="5"/>
    </row>
    <row r="31" spans="1:8" ht="19.5" customHeight="1" x14ac:dyDescent="0.35">
      <c r="A31" s="5"/>
      <c r="B31" s="150" t="s">
        <v>329</v>
      </c>
      <c r="C31" s="389">
        <f>IFERROR(D21-E21,"")</f>
        <v>1600000</v>
      </c>
      <c r="D31" s="389"/>
      <c r="E31" s="133">
        <f>IFERROR((D21-E21)/E21,"")</f>
        <v>0.10738255033557047</v>
      </c>
      <c r="F31" s="401"/>
      <c r="G31" s="401"/>
      <c r="H31" s="5"/>
    </row>
    <row r="32" spans="1:8" ht="9.75" customHeight="1" x14ac:dyDescent="0.35">
      <c r="A32" s="5"/>
      <c r="B32" s="5"/>
      <c r="C32" s="5"/>
      <c r="D32" s="5"/>
      <c r="E32" s="5"/>
      <c r="F32" s="5"/>
      <c r="G32" s="5"/>
      <c r="H32" s="5"/>
    </row>
    <row r="33" spans="1:8" ht="21.75" customHeight="1" x14ac:dyDescent="0.35">
      <c r="A33" s="5"/>
      <c r="B33" s="373" t="s">
        <v>330</v>
      </c>
      <c r="C33" s="373"/>
      <c r="D33" s="373"/>
      <c r="E33" s="373"/>
      <c r="F33" s="373"/>
      <c r="G33" s="373"/>
      <c r="H33" s="5"/>
    </row>
    <row r="34" spans="1:8" ht="24" customHeight="1" x14ac:dyDescent="0.35">
      <c r="A34" s="5"/>
      <c r="B34" s="383" t="s">
        <v>331</v>
      </c>
      <c r="C34" s="383"/>
      <c r="D34" s="383" t="s">
        <v>332</v>
      </c>
      <c r="E34" s="383"/>
      <c r="F34" s="383"/>
      <c r="G34" s="24" t="s">
        <v>333</v>
      </c>
      <c r="H34" s="5"/>
    </row>
    <row r="35" spans="1:8" ht="19.5" customHeight="1" x14ac:dyDescent="0.35">
      <c r="A35" s="5"/>
      <c r="B35" s="324" t="s">
        <v>334</v>
      </c>
      <c r="C35" s="324"/>
      <c r="D35" s="400" t="s">
        <v>335</v>
      </c>
      <c r="E35" s="400"/>
      <c r="F35" s="400"/>
      <c r="G35" s="141"/>
      <c r="H35" s="5"/>
    </row>
    <row r="36" spans="1:8" ht="19.5" customHeight="1" x14ac:dyDescent="0.35">
      <c r="A36" s="5"/>
      <c r="B36" s="324" t="s">
        <v>336</v>
      </c>
      <c r="C36" s="324"/>
      <c r="D36" s="402">
        <v>27000000</v>
      </c>
      <c r="E36" s="402"/>
      <c r="F36" s="402"/>
      <c r="G36" s="145"/>
      <c r="H36" s="5"/>
    </row>
    <row r="37" spans="1:8" ht="19.5" customHeight="1" x14ac:dyDescent="0.35">
      <c r="A37" s="5"/>
      <c r="B37" s="324" t="s">
        <v>337</v>
      </c>
      <c r="C37" s="324"/>
      <c r="D37" s="403">
        <v>45473</v>
      </c>
      <c r="E37" s="403"/>
      <c r="F37" s="403"/>
      <c r="G37" s="149"/>
      <c r="H37" s="5"/>
    </row>
    <row r="38" spans="1:8" ht="19.5" customHeight="1" x14ac:dyDescent="0.35">
      <c r="A38" s="5"/>
      <c r="B38" s="324" t="s">
        <v>338</v>
      </c>
      <c r="C38" s="324"/>
      <c r="D38" s="404"/>
      <c r="E38" s="404"/>
      <c r="F38" s="404"/>
      <c r="G38" s="151" t="s">
        <v>339</v>
      </c>
      <c r="H38" s="5"/>
    </row>
    <row r="39" spans="1:8" ht="19.5" customHeight="1" x14ac:dyDescent="0.35">
      <c r="A39" s="5"/>
      <c r="B39" s="324" t="s">
        <v>340</v>
      </c>
      <c r="C39" s="324"/>
      <c r="D39" s="399"/>
      <c r="E39" s="399"/>
      <c r="F39" s="399"/>
      <c r="G39" s="141"/>
      <c r="H39" s="5"/>
    </row>
    <row r="40" spans="1:8" ht="19.5" customHeight="1" x14ac:dyDescent="0.35">
      <c r="A40" s="5"/>
      <c r="B40" s="324" t="s">
        <v>341</v>
      </c>
      <c r="C40" s="324"/>
      <c r="D40" s="405"/>
      <c r="E40" s="405"/>
      <c r="F40" s="405"/>
      <c r="G40" s="149"/>
      <c r="H40" s="5"/>
    </row>
    <row r="41" spans="1:8" ht="19.5" customHeight="1" x14ac:dyDescent="0.35">
      <c r="A41" s="5"/>
      <c r="B41" s="324" t="s">
        <v>342</v>
      </c>
      <c r="C41" s="324"/>
      <c r="D41" s="390">
        <f>IFERROR(D36/Valuations!C6,"")</f>
        <v>0.35294117647058826</v>
      </c>
      <c r="E41" s="390"/>
      <c r="F41" s="390"/>
      <c r="G41" s="152"/>
      <c r="H41" s="5"/>
    </row>
    <row r="42" spans="1:8" ht="19.5" customHeight="1" x14ac:dyDescent="0.35">
      <c r="A42" s="5"/>
      <c r="B42" s="324" t="s">
        <v>343</v>
      </c>
      <c r="C42" s="324"/>
      <c r="D42" s="407"/>
      <c r="E42" s="407"/>
      <c r="F42" s="407"/>
      <c r="G42" s="153"/>
      <c r="H42" s="5"/>
    </row>
    <row r="43" spans="1:8" ht="19.5" customHeight="1" x14ac:dyDescent="0.35">
      <c r="A43" s="5"/>
      <c r="B43" s="324" t="s">
        <v>344</v>
      </c>
      <c r="C43" s="324"/>
      <c r="D43" s="399"/>
      <c r="E43" s="399"/>
      <c r="F43" s="399"/>
      <c r="G43" s="141"/>
      <c r="H43" s="5"/>
    </row>
    <row r="44" spans="1:8" ht="9.75" customHeight="1" x14ac:dyDescent="0.35">
      <c r="A44" s="5"/>
      <c r="B44" s="5"/>
      <c r="C44" s="5"/>
      <c r="D44" s="5"/>
      <c r="E44" s="5"/>
      <c r="F44" s="5"/>
      <c r="G44" s="5"/>
      <c r="H44" s="5"/>
    </row>
    <row r="45" spans="1:8" ht="19.5" customHeight="1" x14ac:dyDescent="0.35">
      <c r="A45" s="5"/>
      <c r="B45" s="406" t="s">
        <v>345</v>
      </c>
      <c r="C45" s="406"/>
      <c r="D45" s="406"/>
      <c r="E45" s="406"/>
      <c r="F45" s="406"/>
      <c r="G45" s="406"/>
      <c r="H45" s="5"/>
    </row>
  </sheetData>
  <mergeCells count="54">
    <mergeCell ref="B45:G45"/>
    <mergeCell ref="B41:C41"/>
    <mergeCell ref="D41:F41"/>
    <mergeCell ref="B42:C42"/>
    <mergeCell ref="D42:F42"/>
    <mergeCell ref="B43:C43"/>
    <mergeCell ref="D43:F43"/>
    <mergeCell ref="B38:C38"/>
    <mergeCell ref="D38:F38"/>
    <mergeCell ref="B39:C39"/>
    <mergeCell ref="D39:F39"/>
    <mergeCell ref="B40:C40"/>
    <mergeCell ref="D40:F40"/>
    <mergeCell ref="B35:C35"/>
    <mergeCell ref="D35:F35"/>
    <mergeCell ref="B36:C36"/>
    <mergeCell ref="D36:F36"/>
    <mergeCell ref="B37:C37"/>
    <mergeCell ref="D37:F37"/>
    <mergeCell ref="C31:D31"/>
    <mergeCell ref="F31:G31"/>
    <mergeCell ref="B33:G33"/>
    <mergeCell ref="B34:C34"/>
    <mergeCell ref="D34:F34"/>
    <mergeCell ref="F26:G26"/>
    <mergeCell ref="F27:G27"/>
    <mergeCell ref="B29:G29"/>
    <mergeCell ref="C30:D30"/>
    <mergeCell ref="F30:G30"/>
    <mergeCell ref="F21:G21"/>
    <mergeCell ref="F22:G22"/>
    <mergeCell ref="F23:G23"/>
    <mergeCell ref="F24:G24"/>
    <mergeCell ref="F25:G25"/>
    <mergeCell ref="C16:D16"/>
    <mergeCell ref="F16:G16"/>
    <mergeCell ref="B18:G18"/>
    <mergeCell ref="F19:G19"/>
    <mergeCell ref="F20:G20"/>
    <mergeCell ref="F12:G12"/>
    <mergeCell ref="F13:G13"/>
    <mergeCell ref="B14:G14"/>
    <mergeCell ref="C15:D15"/>
    <mergeCell ref="F15:G15"/>
    <mergeCell ref="F7:G7"/>
    <mergeCell ref="F8:G8"/>
    <mergeCell ref="F9:G9"/>
    <mergeCell ref="F10:G10"/>
    <mergeCell ref="F11:G11"/>
    <mergeCell ref="A1:H1"/>
    <mergeCell ref="A2:H2"/>
    <mergeCell ref="B4:G4"/>
    <mergeCell ref="F5:G5"/>
    <mergeCell ref="F6:G6"/>
  </mergeCells>
  <pageMargins left="0.75" right="0.75" top="1" bottom="1" header="0.51180555555555596" footer="0.51180555555555596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9"/>
  <sheetViews>
    <sheetView showGridLines="0" zoomScaleNormal="100" workbookViewId="0">
      <pane ySplit="3" topLeftCell="A4" activePane="bottomLeft" state="frozen"/>
      <selection pane="bottomLeft" activeCell="O30" sqref="O30"/>
    </sheetView>
  </sheetViews>
  <sheetFormatPr defaultColWidth="8.6328125" defaultRowHeight="14.5" x14ac:dyDescent="0.35"/>
  <cols>
    <col min="1" max="1" width="1.453125" customWidth="1"/>
    <col min="2" max="2" width="9" customWidth="1"/>
    <col min="3" max="3" width="10" customWidth="1"/>
    <col min="4" max="4" width="30" customWidth="1"/>
    <col min="5" max="5" width="12.36328125" bestFit="1" customWidth="1"/>
    <col min="6" max="7" width="12" customWidth="1"/>
    <col min="8" max="8" width="9" customWidth="1"/>
    <col min="9" max="9" width="21.7265625" bestFit="1" customWidth="1"/>
    <col min="10" max="10" width="10" customWidth="1"/>
    <col min="11" max="11" width="14" customWidth="1"/>
    <col min="12" max="12" width="10" customWidth="1"/>
    <col min="13" max="13" width="9" customWidth="1"/>
    <col min="14" max="14" width="14" customWidth="1"/>
    <col min="15" max="15" width="12" customWidth="1"/>
  </cols>
  <sheetData>
    <row r="1" spans="1:16" ht="27.75" customHeight="1" x14ac:dyDescent="0.35">
      <c r="A1" s="408" t="s">
        <v>346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8"/>
      <c r="O1" s="408"/>
      <c r="P1" s="5"/>
    </row>
    <row r="2" spans="1:16" ht="15.75" customHeight="1" x14ac:dyDescent="0.35">
      <c r="A2" s="322" t="s">
        <v>347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5"/>
    </row>
    <row r="3" spans="1:16" ht="36" customHeight="1" x14ac:dyDescent="0.35">
      <c r="A3" s="5"/>
      <c r="B3" s="24" t="s">
        <v>62</v>
      </c>
      <c r="C3" s="24" t="s">
        <v>63</v>
      </c>
      <c r="D3" s="24" t="s">
        <v>348</v>
      </c>
      <c r="E3" s="24" t="s">
        <v>349</v>
      </c>
      <c r="F3" s="24" t="s">
        <v>350</v>
      </c>
      <c r="G3" s="24" t="s">
        <v>351</v>
      </c>
      <c r="H3" s="24" t="s">
        <v>352</v>
      </c>
      <c r="I3" s="24" t="s">
        <v>353</v>
      </c>
      <c r="J3" s="24" t="s">
        <v>354</v>
      </c>
      <c r="K3" s="24" t="s">
        <v>355</v>
      </c>
      <c r="L3" s="24" t="s">
        <v>356</v>
      </c>
      <c r="M3" s="24" t="s">
        <v>357</v>
      </c>
      <c r="N3" s="24" t="s">
        <v>358</v>
      </c>
      <c r="O3" s="24" t="s">
        <v>359</v>
      </c>
      <c r="P3" s="24" t="s">
        <v>360</v>
      </c>
    </row>
    <row r="4" spans="1:16" ht="15.75" customHeight="1" x14ac:dyDescent="0.35">
      <c r="A4" s="5"/>
      <c r="B4" s="36" t="str">
        <f>'Input Data'!B3</f>
        <v>BSMT</v>
      </c>
      <c r="C4" s="36" t="str">
        <f>'Input Data'!C3</f>
        <v>LWR GROUND</v>
      </c>
      <c r="D4" s="37" t="str">
        <f ca="1">IFERROR('Input Data'!D3&amp;" ("&amp;'Input Data'!E3&amp;")",'Input Data'!D3)</f>
        <v>OPULENT TWO ENTERPRISES (OPULENT TWO ENTERPRISES)</v>
      </c>
      <c r="E4" s="39">
        <f>'Input Data'!F3</f>
        <v>151.19999999999999</v>
      </c>
      <c r="F4" s="40">
        <f ca="1">IFERROR('Input Data'!G3,"")</f>
        <v>42401</v>
      </c>
      <c r="G4" s="40">
        <f ca="1">IFERROR('Input Data'!H3,"")</f>
        <v>47149</v>
      </c>
      <c r="H4" s="41">
        <f ca="1">'Input Data'!I3</f>
        <v>13</v>
      </c>
      <c r="I4" s="44">
        <f ca="1">'Input Data'!V3</f>
        <v>2.2943189596167008</v>
      </c>
      <c r="J4" s="42">
        <f ca="1">'Input Data'!J3</f>
        <v>1002.01</v>
      </c>
      <c r="K4" s="42">
        <f ca="1">'Input Data'!N3</f>
        <v>123489.07199999999</v>
      </c>
      <c r="L4" s="154" t="str">
        <f t="shared" ref="L4:L28" ca="1" si="0">IF(Z3="","VACANT",IF(OR(Z3&lt;TODAY(),YEAR(Z3)&lt;=2026),"2026",IF(YEAR(Z3)=2027,"2027",IF(YEAR(Z3)=2028,"2028",IF(YEAR(Z3)=2029,"2029",IF(YEAR(Z3)=2030,"2030","2031+"))))))</f>
        <v>VACANT</v>
      </c>
      <c r="M4" s="36">
        <f>'Input Data'!O3</f>
        <v>0</v>
      </c>
      <c r="N4" s="38" t="str">
        <f>'Input Data'!P3</f>
        <v>FIXED 4%</v>
      </c>
      <c r="O4" s="42">
        <f>'Input Data'!S3</f>
        <v>930</v>
      </c>
      <c r="P4" s="42">
        <f ca="1">'Input Data'!T3</f>
        <v>72.009999999999991</v>
      </c>
    </row>
    <row r="5" spans="1:16" ht="15.75" customHeight="1" x14ac:dyDescent="0.35">
      <c r="A5" s="5"/>
      <c r="B5" s="11" t="str">
        <f>'Input Data'!B4</f>
        <v>GF</v>
      </c>
      <c r="C5" s="11" t="str">
        <f>'Input Data'!C4</f>
        <v>GROUND</v>
      </c>
      <c r="D5" s="26" t="str">
        <f ca="1">IFERROR('Input Data'!D4&amp;" ("&amp;'Input Data'!E4&amp;")",'Input Data'!D4)</f>
        <v>RCVRI MARTIN PLACE PTY LTD (RECOVERIE)</v>
      </c>
      <c r="E5" s="27">
        <f>'Input Data'!F4</f>
        <v>298.3</v>
      </c>
      <c r="F5" s="28">
        <f ca="1">IFERROR('Input Data'!G4,"")</f>
        <v>45678</v>
      </c>
      <c r="G5" s="28">
        <f ca="1">IFERROR('Input Data'!H4,"")</f>
        <v>48233</v>
      </c>
      <c r="H5" s="29">
        <f ca="1">'Input Data'!I4</f>
        <v>7</v>
      </c>
      <c r="I5" s="32">
        <f ca="1">'Input Data'!V4</f>
        <v>5.2621492128678984</v>
      </c>
      <c r="J5" s="30">
        <f ca="1">'Input Data'!J4</f>
        <v>1150.52</v>
      </c>
      <c r="K5" s="30">
        <f ca="1">'Input Data'!N4</f>
        <v>272485.79599999997</v>
      </c>
      <c r="L5" s="130" t="str">
        <f t="shared" ca="1" si="0"/>
        <v>VACANT</v>
      </c>
      <c r="M5" s="11">
        <f>'Input Data'!O4</f>
        <v>0</v>
      </c>
      <c r="N5" s="14" t="str">
        <f>'Input Data'!P4</f>
        <v>FIXED 4%</v>
      </c>
      <c r="O5" s="30">
        <f>'Input Data'!S4</f>
        <v>1100</v>
      </c>
      <c r="P5" s="30">
        <f ca="1">'Input Data'!T4</f>
        <v>50.519999999999982</v>
      </c>
    </row>
    <row r="6" spans="1:16" ht="15.75" customHeight="1" x14ac:dyDescent="0.35">
      <c r="A6" s="5"/>
      <c r="B6" s="46" t="str">
        <f>'Input Data'!B5</f>
        <v>L01</v>
      </c>
      <c r="C6" s="46" t="str">
        <f>'Input Data'!C5</f>
        <v>101&amp;2</v>
      </c>
      <c r="D6" s="47" t="str">
        <f>IFERROR('Input Data'!D5&amp;" ("&amp;'Input Data'!E5&amp;")",'Input Data'!D5)</f>
        <v>VACANT ()</v>
      </c>
      <c r="E6" s="48">
        <f>'Input Data'!F5</f>
        <v>162.4</v>
      </c>
      <c r="F6" s="9">
        <f>IFERROR('Input Data'!G5,"")</f>
        <v>0</v>
      </c>
      <c r="G6" s="9" t="str">
        <f ca="1">IFERROR('Input Data'!H5,"")</f>
        <v/>
      </c>
      <c r="H6" s="49">
        <f ca="1">'Input Data'!I5</f>
        <v>3</v>
      </c>
      <c r="I6" s="52">
        <f ca="1">'Input Data'!V5</f>
        <v>0</v>
      </c>
      <c r="J6" s="50">
        <f>'Input Data'!J5</f>
        <v>0</v>
      </c>
      <c r="K6" s="50">
        <f ca="1">'Input Data'!N5</f>
        <v>0</v>
      </c>
      <c r="L6" s="155" t="str">
        <f t="shared" ca="1" si="0"/>
        <v>VACANT</v>
      </c>
      <c r="M6" s="46">
        <f>'Input Data'!O5</f>
        <v>0</v>
      </c>
      <c r="N6" s="20">
        <f>'Input Data'!P5</f>
        <v>0</v>
      </c>
      <c r="O6" s="50">
        <f>'Input Data'!S5</f>
        <v>1115</v>
      </c>
      <c r="P6" s="50" t="str">
        <f>'Input Data'!T5</f>
        <v/>
      </c>
    </row>
    <row r="7" spans="1:16" ht="15.75" customHeight="1" x14ac:dyDescent="0.35">
      <c r="A7" s="5"/>
      <c r="B7" s="11" t="str">
        <f>'Input Data'!B6</f>
        <v>L01</v>
      </c>
      <c r="C7" s="11" t="str">
        <f>'Input Data'!C6</f>
        <v>103</v>
      </c>
      <c r="D7" s="26" t="str">
        <f ca="1">IFERROR('Input Data'!D6&amp;" ("&amp;'Input Data'!E6&amp;")",'Input Data'!D6)</f>
        <v>PU PRIME TRADING PTY LTD (PU PRIME TRADING PTY LTD)</v>
      </c>
      <c r="E7" s="27">
        <f>'Input Data'!F6</f>
        <v>96.3</v>
      </c>
      <c r="F7" s="28">
        <f ca="1">IFERROR('Input Data'!G6,"")</f>
        <v>44378</v>
      </c>
      <c r="G7" s="28">
        <f ca="1">IFERROR('Input Data'!H6,"")</f>
        <v>46918</v>
      </c>
      <c r="H7" s="29">
        <f ca="1">'Input Data'!I6</f>
        <v>7</v>
      </c>
      <c r="I7" s="32">
        <f ca="1">'Input Data'!V6</f>
        <v>1.6618754277891854</v>
      </c>
      <c r="J7" s="30">
        <f>'Input Data'!J6</f>
        <v>1021.99</v>
      </c>
      <c r="K7" s="30">
        <f ca="1">'Input Data'!N6</f>
        <v>89396.036999999997</v>
      </c>
      <c r="L7" s="130" t="str">
        <f t="shared" ca="1" si="0"/>
        <v>VACANT</v>
      </c>
      <c r="M7" s="11">
        <f>'Input Data'!O6</f>
        <v>0</v>
      </c>
      <c r="N7" s="14" t="str">
        <f>'Input Data'!P6</f>
        <v>FIXED 4%</v>
      </c>
      <c r="O7" s="30">
        <f>'Input Data'!S6</f>
        <v>960</v>
      </c>
      <c r="P7" s="30">
        <f>'Input Data'!T6</f>
        <v>61.990000000000009</v>
      </c>
    </row>
    <row r="8" spans="1:16" ht="15.75" customHeight="1" x14ac:dyDescent="0.35">
      <c r="A8" s="5"/>
      <c r="B8" s="46" t="str">
        <f>'Input Data'!B7</f>
        <v>L01</v>
      </c>
      <c r="C8" s="46" t="str">
        <f>'Input Data'!C7</f>
        <v>104</v>
      </c>
      <c r="D8" s="47" t="str">
        <f ca="1">IFERROR('Input Data'!D7&amp;" ("&amp;'Input Data'!E7&amp;")",'Input Data'!D7)</f>
        <v>TJC#1 PTY LTD (BALANCE INSOLVENCY)</v>
      </c>
      <c r="E8" s="48">
        <f>'Input Data'!F7</f>
        <v>98.1</v>
      </c>
      <c r="F8" s="9">
        <f ca="1">IFERROR('Input Data'!G7,"")</f>
        <v>45139</v>
      </c>
      <c r="G8" s="9">
        <f ca="1">IFERROR('Input Data'!H7,"")</f>
        <v>47330</v>
      </c>
      <c r="H8" s="49">
        <f ca="1">'Input Data'!I7</f>
        <v>3</v>
      </c>
      <c r="I8" s="52">
        <f ca="1">'Input Data'!V7</f>
        <v>2.7898699520876113</v>
      </c>
      <c r="J8" s="50">
        <f ca="1">'Input Data'!J7</f>
        <v>973.44</v>
      </c>
      <c r="K8" s="50">
        <f ca="1">'Input Data'!N7</f>
        <v>76070.66399999999</v>
      </c>
      <c r="L8" s="155" t="str">
        <f t="shared" ca="1" si="0"/>
        <v>VACANT</v>
      </c>
      <c r="M8" s="46">
        <f>'Input Data'!O7</f>
        <v>0</v>
      </c>
      <c r="N8" s="20" t="str">
        <f>'Input Data'!P7</f>
        <v>FIXED 4%</v>
      </c>
      <c r="O8" s="50">
        <f>'Input Data'!S7</f>
        <v>960</v>
      </c>
      <c r="P8" s="50">
        <f ca="1">'Input Data'!T7</f>
        <v>13.440000000000055</v>
      </c>
    </row>
    <row r="9" spans="1:16" ht="15.75" customHeight="1" x14ac:dyDescent="0.35">
      <c r="A9" s="5"/>
      <c r="B9" s="11" t="str">
        <f>'Input Data'!B8</f>
        <v>L02</v>
      </c>
      <c r="C9" s="11" t="str">
        <f>'Input Data'!C8</f>
        <v>WHOLE</v>
      </c>
      <c r="D9" s="26" t="str">
        <f ca="1">IFERROR('Input Data'!D8&amp;" ("&amp;'Input Data'!E8&amp;")",'Input Data'!D8)</f>
        <v>PRINCETON FINANCIAL SERVICES (PRINCETON FINANCIAL SERVICES)</v>
      </c>
      <c r="E9" s="27">
        <f>'Input Data'!F8</f>
        <v>393.2</v>
      </c>
      <c r="F9" s="28">
        <f ca="1">IFERROR('Input Data'!G8,"")</f>
        <v>45292</v>
      </c>
      <c r="G9" s="28">
        <f ca="1">IFERROR('Input Data'!H8,"")</f>
        <v>47118</v>
      </c>
      <c r="H9" s="29">
        <f ca="1">'Input Data'!I8</f>
        <v>5</v>
      </c>
      <c r="I9" s="32">
        <f ca="1">'Input Data'!V8</f>
        <v>2.2094455852156059</v>
      </c>
      <c r="J9" s="30">
        <f ca="1">'Input Data'!J8</f>
        <v>1081.5999999999999</v>
      </c>
      <c r="K9" s="30">
        <f ca="1">'Input Data'!N8</f>
        <v>401703.31999999995</v>
      </c>
      <c r="L9" s="130" t="str">
        <f t="shared" ca="1" si="0"/>
        <v>VACANT</v>
      </c>
      <c r="M9" s="11">
        <f>'Input Data'!O8</f>
        <v>0</v>
      </c>
      <c r="N9" s="14" t="str">
        <f>'Input Data'!P8</f>
        <v>FIXED 4%</v>
      </c>
      <c r="O9" s="30">
        <f>'Input Data'!S8</f>
        <v>1095</v>
      </c>
      <c r="P9" s="30">
        <f ca="1">'Input Data'!T8</f>
        <v>-13.400000000000091</v>
      </c>
    </row>
    <row r="10" spans="1:16" ht="15.75" customHeight="1" x14ac:dyDescent="0.35">
      <c r="A10" s="5"/>
      <c r="B10" s="11" t="str">
        <f>'Input Data'!B9</f>
        <v>L03</v>
      </c>
      <c r="C10" s="11" t="str">
        <f>'Input Data'!C9</f>
        <v>301&amp;2</v>
      </c>
      <c r="D10" s="26" t="str">
        <f ca="1">IFERROR('Input Data'!D9&amp;" ("&amp;'Input Data'!E9&amp;")",'Input Data'!D9)</f>
        <v>IPM RESIDENTIAL PTY LTD (IPM RESIDENTIAL PTY LTD)</v>
      </c>
      <c r="E10" s="27">
        <f>'Input Data'!F9</f>
        <v>164.2</v>
      </c>
      <c r="F10" s="28">
        <f ca="1">IFERROR('Input Data'!G9,"")</f>
        <v>44713</v>
      </c>
      <c r="G10" s="28">
        <f ca="1">IFERROR('Input Data'!H9,"")</f>
        <v>46538</v>
      </c>
      <c r="H10" s="29">
        <f ca="1">'Input Data'!I9</f>
        <v>5</v>
      </c>
      <c r="I10" s="32">
        <f ca="1">'Input Data'!V9</f>
        <v>0.62149212867898695</v>
      </c>
      <c r="J10" s="30">
        <f>'Input Data'!J9</f>
        <v>1216.58</v>
      </c>
      <c r="K10" s="30">
        <f ca="1">'Input Data'!N9</f>
        <v>184245.476</v>
      </c>
      <c r="L10" s="130" t="str">
        <f t="shared" ca="1" si="0"/>
        <v>VACANT</v>
      </c>
      <c r="M10" s="11">
        <f>'Input Data'!O9</f>
        <v>2</v>
      </c>
      <c r="N10" s="14" t="str">
        <f>'Input Data'!P9</f>
        <v>LEASE RENEWAL</v>
      </c>
      <c r="O10" s="30">
        <f>'Input Data'!S9</f>
        <v>1135</v>
      </c>
      <c r="P10" s="30">
        <f>'Input Data'!T9</f>
        <v>81.579999999999927</v>
      </c>
    </row>
    <row r="11" spans="1:16" ht="15.75" customHeight="1" x14ac:dyDescent="0.35">
      <c r="A11" s="5"/>
      <c r="B11" s="11" t="str">
        <f>'Input Data'!B10</f>
        <v>L03</v>
      </c>
      <c r="C11" s="11" t="str">
        <f>'Input Data'!C10</f>
        <v>303&amp;4</v>
      </c>
      <c r="D11" s="26" t="str">
        <f ca="1">IFERROR('Input Data'!D10&amp;" ("&amp;'Input Data'!E10&amp;")",'Input Data'!D10)</f>
        <v>BROADRIDGE (AUSTRALIA) PTY LTD (BROADRIDGE (AUSTRALI) PTY LTD)</v>
      </c>
      <c r="E11" s="27">
        <f>'Input Data'!F10</f>
        <v>193.4</v>
      </c>
      <c r="F11" s="28">
        <f ca="1">IFERROR('Input Data'!G10,"")</f>
        <v>45566</v>
      </c>
      <c r="G11" s="28">
        <f ca="1">IFERROR('Input Data'!H10,"")</f>
        <v>47026</v>
      </c>
      <c r="H11" s="29">
        <f ca="1">'Input Data'!I10</f>
        <v>4</v>
      </c>
      <c r="I11" s="32">
        <f ca="1">'Input Data'!V10</f>
        <v>1.9575633127994525</v>
      </c>
      <c r="J11" s="30">
        <f ca="1">'Input Data'!J10</f>
        <v>933.75</v>
      </c>
      <c r="K11" s="30">
        <f ca="1">'Input Data'!N10</f>
        <v>159625.04999999999</v>
      </c>
      <c r="L11" s="130" t="str">
        <f t="shared" ca="1" si="0"/>
        <v>VACANT</v>
      </c>
      <c r="M11" s="11">
        <f>'Input Data'!O10</f>
        <v>0</v>
      </c>
      <c r="N11" s="14" t="str">
        <f>'Input Data'!P10</f>
        <v>FIXED 3.75%</v>
      </c>
      <c r="O11" s="30">
        <f>'Input Data'!S10</f>
        <v>920</v>
      </c>
      <c r="P11" s="30">
        <f ca="1">'Input Data'!T10</f>
        <v>13.75</v>
      </c>
    </row>
    <row r="12" spans="1:16" ht="15.75" customHeight="1" x14ac:dyDescent="0.35">
      <c r="A12" s="5"/>
      <c r="B12" s="36" t="str">
        <f>'Input Data'!B11</f>
        <v>L04</v>
      </c>
      <c r="C12" s="36" t="str">
        <f>'Input Data'!C11</f>
        <v>401</v>
      </c>
      <c r="D12" s="37" t="str">
        <f ca="1">IFERROR('Input Data'!D11&amp;" ("&amp;'Input Data'!E11&amp;")",'Input Data'!D11)</f>
        <v>B-W INTERNATIONAL AUSTRALIA PTY LTD (B-W INTERNATIONAL AUSTRALIA PTY LTD)</v>
      </c>
      <c r="E12" s="39">
        <f>'Input Data'!F11</f>
        <v>214.1</v>
      </c>
      <c r="F12" s="40">
        <f ca="1">IFERROR('Input Data'!G11,"")</f>
        <v>45352</v>
      </c>
      <c r="G12" s="40">
        <f ca="1">IFERROR('Input Data'!H11,"")</f>
        <v>47177</v>
      </c>
      <c r="H12" s="41">
        <f ca="1">'Input Data'!I11</f>
        <v>5</v>
      </c>
      <c r="I12" s="44">
        <f ca="1">'Input Data'!V11</f>
        <v>2.3709787816563996</v>
      </c>
      <c r="J12" s="42">
        <f ca="1">'Input Data'!J11</f>
        <v>1135.6099999999999</v>
      </c>
      <c r="K12" s="42">
        <f ca="1">'Input Data'!N11</f>
        <v>188930.34099999996</v>
      </c>
      <c r="L12" s="154" t="str">
        <f t="shared" ca="1" si="0"/>
        <v>VACANT</v>
      </c>
      <c r="M12" s="36">
        <f>'Input Data'!O11</f>
        <v>0</v>
      </c>
      <c r="N12" s="38" t="str">
        <f>'Input Data'!P11</f>
        <v>FIXED 3.75%</v>
      </c>
      <c r="O12" s="42">
        <f>'Input Data'!S11</f>
        <v>1145</v>
      </c>
      <c r="P12" s="42">
        <f ca="1">'Input Data'!T11</f>
        <v>-9.3900000000001</v>
      </c>
    </row>
    <row r="13" spans="1:16" ht="15.75" customHeight="1" x14ac:dyDescent="0.35">
      <c r="A13" s="5"/>
      <c r="B13" s="156" t="str">
        <f>'Input Data'!B12</f>
        <v>L04</v>
      </c>
      <c r="C13" s="156" t="str">
        <f>'Input Data'!C12</f>
        <v>402</v>
      </c>
      <c r="D13" s="150" t="str">
        <f ca="1">IFERROR('Input Data'!D12&amp;" ("&amp;'Input Data'!E12&amp;")",'Input Data'!D12)</f>
        <v>MP TRAVEL PTY LTD (GRAY DAWES TRAVEL)</v>
      </c>
      <c r="E13" s="157">
        <f>'Input Data'!F12</f>
        <v>145.6</v>
      </c>
      <c r="F13" s="158">
        <f ca="1">IFERROR('Input Data'!G12,"")</f>
        <v>45658</v>
      </c>
      <c r="G13" s="158">
        <f ca="1">IFERROR('Input Data'!H12,"")</f>
        <v>47483</v>
      </c>
      <c r="H13" s="159">
        <f ca="1">'Input Data'!I12</f>
        <v>5</v>
      </c>
      <c r="I13" s="160">
        <f ca="1">'Input Data'!V12</f>
        <v>3.2087611225188226</v>
      </c>
      <c r="J13" s="161">
        <f ca="1">'Input Data'!J12</f>
        <v>1037.5</v>
      </c>
      <c r="K13" s="161">
        <f ca="1">'Input Data'!N12</f>
        <v>133384.12</v>
      </c>
      <c r="L13" s="162" t="str">
        <f t="shared" ca="1" si="0"/>
        <v>VACANT</v>
      </c>
      <c r="M13" s="156">
        <f>'Input Data'!O12</f>
        <v>0</v>
      </c>
      <c r="N13" s="22" t="str">
        <f>'Input Data'!P12</f>
        <v>FIXED 3.75%</v>
      </c>
      <c r="O13" s="161">
        <f>'Input Data'!S12</f>
        <v>1000</v>
      </c>
      <c r="P13" s="161">
        <f ca="1">'Input Data'!T12</f>
        <v>37.5</v>
      </c>
    </row>
    <row r="14" spans="1:16" ht="15.75" customHeight="1" x14ac:dyDescent="0.35">
      <c r="A14" s="5"/>
      <c r="B14" s="11" t="str">
        <f>'Input Data'!B13</f>
        <v>L05</v>
      </c>
      <c r="C14" s="11" t="str">
        <f>'Input Data'!C13</f>
        <v>501</v>
      </c>
      <c r="D14" s="26" t="str">
        <f ca="1">IFERROR('Input Data'!D13&amp;" ("&amp;'Input Data'!E13&amp;")",'Input Data'!D13)</f>
        <v>MONTGOMERY INVESTMENT (MONTGOMERY INVESTMENT)</v>
      </c>
      <c r="E14" s="27">
        <f>'Input Data'!F13</f>
        <v>212.3</v>
      </c>
      <c r="F14" s="28">
        <f ca="1">IFERROR('Input Data'!G13,"")</f>
        <v>43770</v>
      </c>
      <c r="G14" s="28">
        <f ca="1">IFERROR('Input Data'!H13,"")</f>
        <v>46691</v>
      </c>
      <c r="H14" s="29">
        <f ca="1">'Input Data'!I13</f>
        <v>8</v>
      </c>
      <c r="I14" s="32">
        <f ca="1">'Input Data'!V13</f>
        <v>1.0403832991101984</v>
      </c>
      <c r="J14" s="30">
        <f ca="1">'Input Data'!J13</f>
        <v>1341.24</v>
      </c>
      <c r="K14" s="30">
        <f ca="1">'Input Data'!N13</f>
        <v>235383.49200000003</v>
      </c>
      <c r="L14" s="130" t="str">
        <f t="shared" ca="1" si="0"/>
        <v>VACANT</v>
      </c>
      <c r="M14" s="11">
        <f>'Input Data'!O13</f>
        <v>0</v>
      </c>
      <c r="N14" s="14" t="str">
        <f>'Input Data'!P13</f>
        <v>FIXED 4%</v>
      </c>
      <c r="O14" s="30">
        <f>'Input Data'!S13</f>
        <v>1155</v>
      </c>
      <c r="P14" s="30">
        <f ca="1">'Input Data'!T13</f>
        <v>186.24</v>
      </c>
    </row>
    <row r="15" spans="1:16" ht="15.75" customHeight="1" x14ac:dyDescent="0.35">
      <c r="A15" s="5"/>
      <c r="B15" s="11" t="str">
        <f>'Input Data'!B14</f>
        <v>L05</v>
      </c>
      <c r="C15" s="11" t="str">
        <f>'Input Data'!C14</f>
        <v>502</v>
      </c>
      <c r="D15" s="26" t="str">
        <f ca="1">IFERROR('Input Data'!D14&amp;" ("&amp;'Input Data'!E14&amp;")",'Input Data'!D14)</f>
        <v>THREAT DEFENCE (THREAT DEFENCE PTY LTD)</v>
      </c>
      <c r="E15" s="27">
        <f>'Input Data'!F14</f>
        <v>163.80000000000001</v>
      </c>
      <c r="F15" s="28">
        <f ca="1">IFERROR('Input Data'!G14,"")</f>
        <v>45474</v>
      </c>
      <c r="G15" s="28">
        <f ca="1">IFERROR('Input Data'!H14,"")</f>
        <v>46568</v>
      </c>
      <c r="H15" s="29">
        <f ca="1">'Input Data'!I14</f>
        <v>3</v>
      </c>
      <c r="I15" s="32">
        <f ca="1">'Input Data'!V14</f>
        <v>0.70362765229294999</v>
      </c>
      <c r="J15" s="30">
        <f>'Input Data'!J14</f>
        <v>1054.8800000000001</v>
      </c>
      <c r="K15" s="30">
        <f ca="1">'Input Data'!N14</f>
        <v>131053.10400000005</v>
      </c>
      <c r="L15" s="130" t="str">
        <f t="shared" ca="1" si="0"/>
        <v>VACANT</v>
      </c>
      <c r="M15" s="11">
        <f>'Input Data'!O14</f>
        <v>0</v>
      </c>
      <c r="N15" s="14" t="str">
        <f>'Input Data'!P14</f>
        <v>LEASE RENEWAL</v>
      </c>
      <c r="O15" s="30">
        <f>'Input Data'!S14</f>
        <v>1020</v>
      </c>
      <c r="P15" s="30">
        <f>'Input Data'!T14</f>
        <v>34.880000000000109</v>
      </c>
    </row>
    <row r="16" spans="1:16" ht="15.75" customHeight="1" x14ac:dyDescent="0.35">
      <c r="A16" s="5"/>
      <c r="B16" s="11" t="str">
        <f>'Input Data'!B15</f>
        <v>L06</v>
      </c>
      <c r="C16" s="11" t="str">
        <f>'Input Data'!C15</f>
        <v>601</v>
      </c>
      <c r="D16" s="26" t="str">
        <f ca="1">IFERROR('Input Data'!D15&amp;" ("&amp;'Input Data'!E15&amp;")",'Input Data'!D15)</f>
        <v>FULLCRM PTY LTD (FULLCRM PTY LTD)</v>
      </c>
      <c r="E16" s="27">
        <f>'Input Data'!F15</f>
        <v>226.1</v>
      </c>
      <c r="F16" s="28">
        <f ca="1">IFERROR('Input Data'!G15,"")</f>
        <v>44531</v>
      </c>
      <c r="G16" s="28">
        <f ca="1">IFERROR('Input Data'!H15,"")</f>
        <v>46418</v>
      </c>
      <c r="H16" s="29">
        <f ca="1">'Input Data'!I15</f>
        <v>5.2</v>
      </c>
      <c r="I16" s="32">
        <f ca="1">'Input Data'!V15</f>
        <v>0.29295003422313481</v>
      </c>
      <c r="J16" s="30">
        <f ca="1">'Input Data'!J15</f>
        <v>1251.3399999999999</v>
      </c>
      <c r="K16" s="30">
        <f ca="1">'Input Data'!N15</f>
        <v>251183.53399999999</v>
      </c>
      <c r="L16" s="130" t="str">
        <f t="shared" ca="1" si="0"/>
        <v>VACANT</v>
      </c>
      <c r="M16" s="11">
        <f>'Input Data'!O15</f>
        <v>0</v>
      </c>
      <c r="N16" s="14" t="str">
        <f>'Input Data'!P15</f>
        <v>LEASE RENEWAL</v>
      </c>
      <c r="O16" s="30">
        <f>'Input Data'!S15</f>
        <v>1165</v>
      </c>
      <c r="P16" s="30">
        <f ca="1">'Input Data'!T15</f>
        <v>86.339999999999918</v>
      </c>
    </row>
    <row r="17" spans="1:16" ht="15.75" customHeight="1" x14ac:dyDescent="0.35">
      <c r="A17" s="5"/>
      <c r="B17" s="46" t="str">
        <f>'Input Data'!B16</f>
        <v>L06</v>
      </c>
      <c r="C17" s="46" t="str">
        <f>'Input Data'!C16</f>
        <v>602</v>
      </c>
      <c r="D17" s="47" t="str">
        <f>IFERROR('Input Data'!D16&amp;" ("&amp;'Input Data'!E16&amp;")",'Input Data'!D16)</f>
        <v>INNOVIS (INNOVIS)</v>
      </c>
      <c r="E17" s="48">
        <f>'Input Data'!F16</f>
        <v>152.1</v>
      </c>
      <c r="F17" s="9">
        <f>IFERROR('Input Data'!G16,"")</f>
        <v>46327</v>
      </c>
      <c r="G17" s="9">
        <f ca="1">IFERROR('Input Data'!H16,"")</f>
        <v>47421</v>
      </c>
      <c r="H17" s="49">
        <f>'Input Data'!I16</f>
        <v>3</v>
      </c>
      <c r="I17" s="52">
        <f ca="1">'Input Data'!V16</f>
        <v>3.0390143737166326</v>
      </c>
      <c r="J17" s="50">
        <f>'Input Data'!J16</f>
        <v>1090</v>
      </c>
      <c r="K17" s="50">
        <f ca="1">'Input Data'!N16</f>
        <v>135946.98000000001</v>
      </c>
      <c r="L17" s="155" t="str">
        <f t="shared" ca="1" si="0"/>
        <v>VACANT</v>
      </c>
      <c r="M17" s="46">
        <f>'Input Data'!O16</f>
        <v>0</v>
      </c>
      <c r="N17" s="20" t="str">
        <f>'Input Data'!P16</f>
        <v>FIXED 3.75%</v>
      </c>
      <c r="O17" s="50">
        <f>'Input Data'!S16</f>
        <v>1030</v>
      </c>
      <c r="P17" s="50">
        <f>'Input Data'!T16</f>
        <v>60</v>
      </c>
    </row>
    <row r="18" spans="1:16" ht="15.75" customHeight="1" x14ac:dyDescent="0.35">
      <c r="A18" s="5"/>
      <c r="B18" s="11" t="str">
        <f>'Input Data'!B17</f>
        <v>L07</v>
      </c>
      <c r="C18" s="11" t="str">
        <f>'Input Data'!C17</f>
        <v>701</v>
      </c>
      <c r="D18" s="26" t="str">
        <f ca="1">IFERROR('Input Data'!D17&amp;" ("&amp;'Input Data'!E17&amp;")",'Input Data'!D17)</f>
        <v>PINPOINT TALENT PTY LTD (PINPOINT TALENT PTY LTD)</v>
      </c>
      <c r="E18" s="27">
        <f>'Input Data'!F17</f>
        <v>210.5</v>
      </c>
      <c r="F18" s="28">
        <f ca="1">IFERROR('Input Data'!G17,"")</f>
        <v>45145</v>
      </c>
      <c r="G18" s="28">
        <f ca="1">IFERROR('Input Data'!H17,"")</f>
        <v>46605</v>
      </c>
      <c r="H18" s="29">
        <f ca="1">'Input Data'!I17</f>
        <v>4</v>
      </c>
      <c r="I18" s="32">
        <f ca="1">'Input Data'!V17</f>
        <v>0.80492813141683783</v>
      </c>
      <c r="J18" s="30">
        <f ca="1">'Input Data'!J17</f>
        <v>1173.54</v>
      </c>
      <c r="K18" s="30">
        <f ca="1">'Input Data'!N17</f>
        <v>178512.44999999998</v>
      </c>
      <c r="L18" s="130" t="str">
        <f t="shared" ca="1" si="0"/>
        <v>VACANT</v>
      </c>
      <c r="M18" s="11">
        <f>'Input Data'!O17</f>
        <v>0</v>
      </c>
      <c r="N18" s="14" t="str">
        <f>'Input Data'!P17</f>
        <v>LEASE RENEWAL</v>
      </c>
      <c r="O18" s="30">
        <f>'Input Data'!S17</f>
        <v>1175</v>
      </c>
      <c r="P18" s="30">
        <f ca="1">'Input Data'!T17</f>
        <v>-1.4600000000000364</v>
      </c>
    </row>
    <row r="19" spans="1:16" ht="15.75" customHeight="1" x14ac:dyDescent="0.35">
      <c r="A19" s="5"/>
      <c r="B19" s="11" t="str">
        <f>'Input Data'!B18</f>
        <v>L07</v>
      </c>
      <c r="C19" s="11" t="str">
        <f>'Input Data'!C18</f>
        <v>702</v>
      </c>
      <c r="D19" s="26" t="str">
        <f ca="1">IFERROR('Input Data'!D18&amp;" ("&amp;'Input Data'!E18&amp;")",'Input Data'!D18)</f>
        <v>SATELLITE OFFICE PTY LTD (SATELLITE OFFICE PTY LTD)</v>
      </c>
      <c r="E19" s="27">
        <f>'Input Data'!F18</f>
        <v>163.9</v>
      </c>
      <c r="F19" s="28">
        <f ca="1">IFERROR('Input Data'!G18,"")</f>
        <v>45444</v>
      </c>
      <c r="G19" s="28">
        <f ca="1">IFERROR('Input Data'!H18,"")</f>
        <v>46904</v>
      </c>
      <c r="H19" s="29">
        <f ca="1">'Input Data'!I18</f>
        <v>4</v>
      </c>
      <c r="I19" s="32">
        <f ca="1">'Input Data'!V18</f>
        <v>1.623545516769336</v>
      </c>
      <c r="J19" s="30">
        <f>'Input Data'!J18</f>
        <v>1054.8800000000001</v>
      </c>
      <c r="K19" s="30">
        <f ca="1">'Input Data'!N18</f>
        <v>132633.27200000003</v>
      </c>
      <c r="L19" s="130" t="str">
        <f t="shared" ca="1" si="0"/>
        <v>VACANT</v>
      </c>
      <c r="M19" s="11">
        <f>'Input Data'!O18</f>
        <v>0</v>
      </c>
      <c r="N19" s="14" t="str">
        <f>'Input Data'!P18</f>
        <v>FIXED 3.75%</v>
      </c>
      <c r="O19" s="30">
        <f>'Input Data'!S18</f>
        <v>1040</v>
      </c>
      <c r="P19" s="30">
        <f>'Input Data'!T18</f>
        <v>14.880000000000109</v>
      </c>
    </row>
    <row r="20" spans="1:16" ht="15.75" customHeight="1" x14ac:dyDescent="0.35">
      <c r="A20" s="5"/>
      <c r="B20" s="101" t="str">
        <f>'Input Data'!B19</f>
        <v>L08</v>
      </c>
      <c r="C20" s="101" t="str">
        <f>'Input Data'!C19</f>
        <v>801</v>
      </c>
      <c r="D20" s="163" t="str">
        <f ca="1">IFERROR('Input Data'!D19&amp;" ("&amp;'Input Data'!E19&amp;")",'Input Data'!D19)</f>
        <v>ARKANCE AUSTRALIA PTY LTD (ARKANCE AUSTRALIA PTY LTD)</v>
      </c>
      <c r="E20" s="103">
        <f>'Input Data'!F19</f>
        <v>222</v>
      </c>
      <c r="F20" s="59">
        <f ca="1">IFERROR('Input Data'!G19,"")</f>
        <v>45931</v>
      </c>
      <c r="G20" s="59">
        <f ca="1">IFERROR('Input Data'!H19,"")</f>
        <v>47756</v>
      </c>
      <c r="H20" s="164">
        <f ca="1">'Input Data'!I19</f>
        <v>5</v>
      </c>
      <c r="I20" s="165">
        <f ca="1">'Input Data'!V19</f>
        <v>3.9561943874058865</v>
      </c>
      <c r="J20" s="104">
        <f ca="1">'Input Data'!J19</f>
        <v>1300</v>
      </c>
      <c r="K20" s="104">
        <f ca="1">'Input Data'!N19</f>
        <v>242424</v>
      </c>
      <c r="L20" s="33" t="str">
        <f t="shared" ca="1" si="0"/>
        <v>VACANT</v>
      </c>
      <c r="M20" s="101">
        <f>'Input Data'!O19</f>
        <v>0</v>
      </c>
      <c r="N20" s="102" t="str">
        <f>'Input Data'!P19</f>
        <v>FIXED 3.75%</v>
      </c>
      <c r="O20" s="104">
        <f>'Input Data'!S19</f>
        <v>1300</v>
      </c>
      <c r="P20" s="104">
        <f ca="1">'Input Data'!T19</f>
        <v>0</v>
      </c>
    </row>
    <row r="21" spans="1:16" ht="15.75" customHeight="1" x14ac:dyDescent="0.35">
      <c r="A21" s="5"/>
      <c r="B21" s="11" t="str">
        <f>'Input Data'!B20</f>
        <v>L08</v>
      </c>
      <c r="C21" s="11" t="str">
        <f>'Input Data'!C20</f>
        <v>802</v>
      </c>
      <c r="D21" s="26" t="str">
        <f ca="1">IFERROR('Input Data'!D20&amp;" ("&amp;'Input Data'!E20&amp;")",'Input Data'!D20)</f>
        <v>HILLIARD &amp; BERRY (HILLIARD &amp; BERRY)</v>
      </c>
      <c r="E21" s="27">
        <f>'Input Data'!F20</f>
        <v>138.5</v>
      </c>
      <c r="F21" s="28">
        <f ca="1">IFERROR('Input Data'!G20,"")</f>
        <v>41654</v>
      </c>
      <c r="G21" s="28">
        <f ca="1">IFERROR('Input Data'!H20,"")</f>
        <v>46965</v>
      </c>
      <c r="H21" s="29">
        <f ca="1">'Input Data'!I20</f>
        <v>14.6</v>
      </c>
      <c r="I21" s="32">
        <f ca="1">'Input Data'!V20</f>
        <v>1.7905544147843941</v>
      </c>
      <c r="J21" s="30">
        <f ca="1">'Input Data'!J20</f>
        <v>843.65</v>
      </c>
      <c r="K21" s="30">
        <f ca="1">'Input Data'!N20</f>
        <v>116845.52499999999</v>
      </c>
      <c r="L21" s="130" t="str">
        <f t="shared" ca="1" si="0"/>
        <v>VACANT</v>
      </c>
      <c r="M21" s="11">
        <f>'Input Data'!O20</f>
        <v>0</v>
      </c>
      <c r="N21" s="14" t="str">
        <f>'Input Data'!P20</f>
        <v>FIXED 4%</v>
      </c>
      <c r="O21" s="30">
        <f>'Input Data'!S20</f>
        <v>1030</v>
      </c>
      <c r="P21" s="30">
        <f ca="1">'Input Data'!T20</f>
        <v>-186.35000000000002</v>
      </c>
    </row>
    <row r="22" spans="1:16" ht="15.75" customHeight="1" x14ac:dyDescent="0.35">
      <c r="A22" s="5"/>
      <c r="B22" s="46" t="str">
        <f>'Input Data'!B21</f>
        <v>L09</v>
      </c>
      <c r="C22" s="46" t="str">
        <f>'Input Data'!C21</f>
        <v>901</v>
      </c>
      <c r="D22" s="47" t="str">
        <f ca="1">IFERROR('Input Data'!D21&amp;" ("&amp;'Input Data'!E21&amp;")",'Input Data'!D21)</f>
        <v>AITKEN INVESTMENT MANAGEMENT PTY LTD (AITKEN INVESTMENT MANAGEMENT)</v>
      </c>
      <c r="E22" s="48">
        <f>'Input Data'!F21</f>
        <v>52.8</v>
      </c>
      <c r="F22" s="9">
        <f ca="1">IFERROR('Input Data'!G21,"")</f>
        <v>45823</v>
      </c>
      <c r="G22" s="9">
        <f ca="1">IFERROR('Input Data'!H21,"")</f>
        <v>46918</v>
      </c>
      <c r="H22" s="49">
        <f ca="1">'Input Data'!I21</f>
        <v>3</v>
      </c>
      <c r="I22" s="52">
        <f ca="1">'Input Data'!V21</f>
        <v>1.6618754277891854</v>
      </c>
      <c r="J22" s="50">
        <f>'Input Data'!J21</f>
        <v>1338.88</v>
      </c>
      <c r="K22" s="50">
        <f ca="1">'Input Data'!N21</f>
        <v>54298.464</v>
      </c>
      <c r="L22" s="155" t="str">
        <f t="shared" ca="1" si="0"/>
        <v>VACANT</v>
      </c>
      <c r="M22" s="46">
        <f>'Input Data'!O21</f>
        <v>0</v>
      </c>
      <c r="N22" s="20" t="str">
        <f>'Input Data'!P21</f>
        <v>FIXED 4%</v>
      </c>
      <c r="O22" s="50">
        <f>'Input Data'!S21</f>
        <v>1350</v>
      </c>
      <c r="P22" s="50">
        <f>'Input Data'!T21</f>
        <v>-11.119999999999891</v>
      </c>
    </row>
    <row r="23" spans="1:16" ht="15.75" customHeight="1" x14ac:dyDescent="0.35">
      <c r="A23" s="5"/>
      <c r="B23" s="101" t="str">
        <f>'Input Data'!B22</f>
        <v>L09</v>
      </c>
      <c r="C23" s="101" t="str">
        <f>'Input Data'!C22</f>
        <v>902&amp;3</v>
      </c>
      <c r="D23" s="163" t="str">
        <f ca="1">IFERROR('Input Data'!D22&amp;" ("&amp;'Input Data'!E22&amp;")",'Input Data'!D22)</f>
        <v>CAPITAL E MARKETING AND EVENTS PTY LTD (CAPITAL E MARKETING AND EVENTS)</v>
      </c>
      <c r="E23" s="103">
        <f>'Input Data'!F22</f>
        <v>303</v>
      </c>
      <c r="F23" s="59">
        <f ca="1">IFERROR('Input Data'!G22,"")</f>
        <v>44562</v>
      </c>
      <c r="G23" s="59">
        <f ca="1">IFERROR('Input Data'!H22,"")</f>
        <v>47573</v>
      </c>
      <c r="H23" s="164">
        <f ca="1">'Input Data'!I22</f>
        <v>8.1999999999999993</v>
      </c>
      <c r="I23" s="165">
        <f ca="1">'Input Data'!V22</f>
        <v>3.4551676933607118</v>
      </c>
      <c r="J23" s="104">
        <f ca="1">'Input Data'!J22</f>
        <v>1141.25</v>
      </c>
      <c r="K23" s="104">
        <f ca="1">'Input Data'!N22</f>
        <v>255323.07</v>
      </c>
      <c r="L23" s="33" t="str">
        <f t="shared" ca="1" si="0"/>
        <v>VACANT</v>
      </c>
      <c r="M23" s="101">
        <f>'Input Data'!O22</f>
        <v>0</v>
      </c>
      <c r="N23" s="102" t="str">
        <f>'Input Data'!P22</f>
        <v>FIXED 3.75%</v>
      </c>
      <c r="O23" s="104">
        <f>'Input Data'!S22</f>
        <v>1125</v>
      </c>
      <c r="P23" s="104">
        <f ca="1">'Input Data'!T22</f>
        <v>16.25</v>
      </c>
    </row>
    <row r="24" spans="1:16" ht="15.75" customHeight="1" x14ac:dyDescent="0.35">
      <c r="A24" s="5"/>
      <c r="B24" s="36" t="str">
        <f>'Input Data'!B23</f>
        <v>L10</v>
      </c>
      <c r="C24" s="36" t="str">
        <f>'Input Data'!C23</f>
        <v>1001&amp;2</v>
      </c>
      <c r="D24" s="37" t="str">
        <f ca="1">IFERROR('Input Data'!D23&amp;" ("&amp;'Input Data'!E23&amp;")",'Input Data'!D23)</f>
        <v>CONNECTUS SERVICES PTY LTD (CONNECTUS)</v>
      </c>
      <c r="E24" s="39">
        <f>'Input Data'!F23</f>
        <v>363.2</v>
      </c>
      <c r="F24" s="40">
        <f ca="1">IFERROR('Input Data'!G23,"")</f>
        <v>45261</v>
      </c>
      <c r="G24" s="40">
        <f ca="1">IFERROR('Input Data'!H23,"")</f>
        <v>47452</v>
      </c>
      <c r="H24" s="41">
        <f ca="1">'Input Data'!I23</f>
        <v>6</v>
      </c>
      <c r="I24" s="44">
        <f ca="1">'Input Data'!V23</f>
        <v>3.1238877481177276</v>
      </c>
      <c r="J24" s="42">
        <f ca="1">'Input Data'!J23</f>
        <v>1189.67</v>
      </c>
      <c r="K24" s="42">
        <f ca="1">'Input Data'!N23</f>
        <v>317550.18400000001</v>
      </c>
      <c r="L24" s="154" t="str">
        <f t="shared" ca="1" si="0"/>
        <v>VACANT</v>
      </c>
      <c r="M24" s="36">
        <f>'Input Data'!O23</f>
        <v>0</v>
      </c>
      <c r="N24" s="38" t="str">
        <f>'Input Data'!P23</f>
        <v>FIXED</v>
      </c>
      <c r="O24" s="42">
        <f>'Input Data'!S23</f>
        <v>1200</v>
      </c>
      <c r="P24" s="42">
        <f ca="1">'Input Data'!T23</f>
        <v>-10.329999999999927</v>
      </c>
    </row>
    <row r="25" spans="1:16" ht="15.75" customHeight="1" x14ac:dyDescent="0.35">
      <c r="A25" s="5"/>
      <c r="B25" s="46" t="str">
        <f>'Input Data'!B24</f>
        <v>L11</v>
      </c>
      <c r="C25" s="46" t="str">
        <f>'Input Data'!C24</f>
        <v>1101</v>
      </c>
      <c r="D25" s="47" t="str">
        <f ca="1">IFERROR('Input Data'!D24&amp;" ("&amp;'Input Data'!E24&amp;")",'Input Data'!D24)</f>
        <v>MICHAEL FLEGG PTY LTD (MICHAEL FLEGG PTY LTD)</v>
      </c>
      <c r="E25" s="48">
        <f>'Input Data'!F24</f>
        <v>62.4</v>
      </c>
      <c r="F25" s="9">
        <f ca="1">IFERROR('Input Data'!G24,"")</f>
        <v>44531</v>
      </c>
      <c r="G25" s="9">
        <f ca="1">IFERROR('Input Data'!H24,"")</f>
        <v>46356</v>
      </c>
      <c r="H25" s="49">
        <f ca="1">'Input Data'!I24</f>
        <v>5</v>
      </c>
      <c r="I25" s="52">
        <f ca="1">'Input Data'!V24</f>
        <v>0.12320328542094455</v>
      </c>
      <c r="J25" s="50">
        <f ca="1">'Input Data'!J24</f>
        <v>1368.73</v>
      </c>
      <c r="K25" s="50">
        <f ca="1">'Input Data'!N24</f>
        <v>85408.751999999993</v>
      </c>
      <c r="L25" s="155" t="str">
        <f t="shared" ca="1" si="0"/>
        <v>VACANT</v>
      </c>
      <c r="M25" s="46">
        <f>'Input Data'!O24</f>
        <v>0</v>
      </c>
      <c r="N25" s="20" t="str">
        <f>'Input Data'!P24</f>
        <v>LEASE RENEWAL</v>
      </c>
      <c r="O25" s="50">
        <f>'Input Data'!S24</f>
        <v>1405</v>
      </c>
      <c r="P25" s="50">
        <f ca="1">'Input Data'!T24</f>
        <v>-36.269999999999982</v>
      </c>
    </row>
    <row r="26" spans="1:16" ht="15.75" customHeight="1" x14ac:dyDescent="0.35">
      <c r="A26" s="5"/>
      <c r="B26" s="46" t="str">
        <f>'Input Data'!B25</f>
        <v>L11</v>
      </c>
      <c r="C26" s="46" t="str">
        <f>'Input Data'!C25</f>
        <v>1102</v>
      </c>
      <c r="D26" s="47" t="str">
        <f ca="1">IFERROR('Input Data'!D25&amp;" ("&amp;'Input Data'!E25&amp;")",'Input Data'!D25)</f>
        <v>LEWIS WOOLCOTT (LEWIS WOOLCOTT)</v>
      </c>
      <c r="E26" s="48">
        <f>'Input Data'!F25</f>
        <v>133.1</v>
      </c>
      <c r="F26" s="9">
        <f ca="1">IFERROR('Input Data'!G25,"")</f>
        <v>46249</v>
      </c>
      <c r="G26" s="9">
        <f ca="1">IFERROR('Input Data'!H25,"")</f>
        <v>46979</v>
      </c>
      <c r="H26" s="49">
        <f ca="1">'Input Data'!I25</f>
        <v>2</v>
      </c>
      <c r="I26" s="52">
        <f ca="1">'Input Data'!V25</f>
        <v>1.8288843258042438</v>
      </c>
      <c r="J26" s="50">
        <f ca="1">'Input Data'!J25</f>
        <v>1271.0999999999999</v>
      </c>
      <c r="K26" s="50">
        <f ca="1">'Input Data'!N25</f>
        <v>138730.39999999997</v>
      </c>
      <c r="L26" s="155" t="str">
        <f t="shared" ca="1" si="0"/>
        <v>VACANT</v>
      </c>
      <c r="M26" s="46">
        <f>'Input Data'!O25</f>
        <v>0</v>
      </c>
      <c r="N26" s="20" t="str">
        <f>'Input Data'!P25</f>
        <v>FIXED 4.0%</v>
      </c>
      <c r="O26" s="50">
        <f>'Input Data'!S25</f>
        <v>1250</v>
      </c>
      <c r="P26" s="50">
        <f ca="1">'Input Data'!T25</f>
        <v>21.099999999999909</v>
      </c>
    </row>
    <row r="27" spans="1:16" ht="15.75" customHeight="1" x14ac:dyDescent="0.35">
      <c r="A27" s="5"/>
      <c r="B27" s="46" t="str">
        <f>'Input Data'!B26</f>
        <v>L12</v>
      </c>
      <c r="C27" s="46" t="str">
        <f>'Input Data'!C26</f>
        <v>L12</v>
      </c>
      <c r="D27" s="47" t="str">
        <f ca="1">IFERROR('Input Data'!D26&amp;" ("&amp;'Input Data'!E26&amp;")",'Input Data'!D26)</f>
        <v>DAKOTA CORPORATION (OWNER OCCUPIED)</v>
      </c>
      <c r="E27" s="48">
        <f>'Input Data'!F26</f>
        <v>223.7</v>
      </c>
      <c r="F27" s="9">
        <f ca="1">IFERROR('Input Data'!G26,"")</f>
        <v>42736</v>
      </c>
      <c r="G27" s="9">
        <f ca="1">IFERROR('Input Data'!H26,"")</f>
        <v>47118</v>
      </c>
      <c r="H27" s="49">
        <f ca="1">'Input Data'!I26</f>
        <v>7</v>
      </c>
      <c r="I27" s="52">
        <f ca="1">'Input Data'!V26</f>
        <v>2.2094455852156059</v>
      </c>
      <c r="J27" s="50">
        <f>'Input Data'!J26</f>
        <v>0</v>
      </c>
      <c r="K27" s="50">
        <f ca="1">'Input Data'!N26</f>
        <v>0</v>
      </c>
      <c r="L27" s="155" t="str">
        <f t="shared" ca="1" si="0"/>
        <v>VACANT</v>
      </c>
      <c r="M27" s="46">
        <f>'Input Data'!O26</f>
        <v>2</v>
      </c>
      <c r="N27" s="20" t="str">
        <f>'Input Data'!P26</f>
        <v>MONTHLY TENANT</v>
      </c>
      <c r="O27" s="50">
        <f>'Input Data'!S26</f>
        <v>384</v>
      </c>
      <c r="P27" s="50" t="str">
        <f>'Input Data'!T26</f>
        <v/>
      </c>
    </row>
    <row r="28" spans="1:16" ht="15.75" customHeight="1" x14ac:dyDescent="0.35">
      <c r="A28" s="5"/>
      <c r="B28" s="60" t="str">
        <f>'Input Data'!B27</f>
        <v>L11</v>
      </c>
      <c r="C28" s="60" t="str">
        <f>'Input Data'!C27</f>
        <v>1103</v>
      </c>
      <c r="D28" s="54" t="str">
        <f ca="1">IFERROR('Input Data'!D27&amp;" ("&amp;'Input Data'!E27&amp;")",'Input Data'!D27)</f>
        <v>INTERFI SYSTEMS PTY LTD (INTERFI SYSTEMS)</v>
      </c>
      <c r="E28" s="62">
        <f>'Input Data'!F27</f>
        <v>160.30000000000001</v>
      </c>
      <c r="F28" s="63">
        <f ca="1">IFERROR('Input Data'!G27,"")</f>
        <v>46218</v>
      </c>
      <c r="G28" s="63">
        <f ca="1">IFERROR('Input Data'!H27,"")</f>
        <v>47313</v>
      </c>
      <c r="H28" s="64">
        <f ca="1">'Input Data'!I27</f>
        <v>3</v>
      </c>
      <c r="I28" s="67">
        <f ca="1">'Input Data'!V27</f>
        <v>2.7433264887063653</v>
      </c>
      <c r="J28" s="65">
        <f ca="1">'Input Data'!J27</f>
        <v>1150</v>
      </c>
      <c r="K28" s="65">
        <f ca="1">'Input Data'!N27</f>
        <v>129041.5</v>
      </c>
      <c r="L28" s="69" t="str">
        <f t="shared" ca="1" si="0"/>
        <v>VACANT</v>
      </c>
      <c r="M28" s="60">
        <f>'Input Data'!O27</f>
        <v>0</v>
      </c>
      <c r="N28" s="61" t="str">
        <f>'Input Data'!P27</f>
        <v>FIXED 4.0%</v>
      </c>
      <c r="O28" s="65">
        <f>'Input Data'!S27</f>
        <v>1060</v>
      </c>
      <c r="P28" s="65">
        <f ca="1">'Input Data'!T27</f>
        <v>90</v>
      </c>
    </row>
    <row r="29" spans="1:16" ht="19.5" customHeight="1" x14ac:dyDescent="0.35">
      <c r="A29" s="5"/>
      <c r="B29" s="409" t="s">
        <v>361</v>
      </c>
      <c r="C29" s="409"/>
      <c r="D29" s="409"/>
      <c r="E29" s="166">
        <f>SUM('Input Data'!F3:F27)</f>
        <v>4704.5</v>
      </c>
      <c r="F29" s="83"/>
      <c r="G29" s="83"/>
      <c r="H29" s="83"/>
      <c r="I29" s="167">
        <f t="array" aca="1" ref="I29" ca="1">IFERROR(SUMPRODUCT(('Input Data'!H3:H25&lt;&gt;"")*'Input Data'!F3:F25*MAX(('Input Data'!H3:H25-TODAY())/365.25,0))/SUMPRODUCT(('Input Data'!H3:H25&lt;&gt;"")*'Input Data'!F3:F25),0)</f>
        <v>0</v>
      </c>
      <c r="J29" s="83"/>
      <c r="K29" s="74">
        <f ca="1">SUM('Input Data'!N3:N27)</f>
        <v>4033664.6029999997</v>
      </c>
      <c r="L29" s="83"/>
      <c r="M29" s="83"/>
      <c r="N29" s="83"/>
      <c r="O29" s="83"/>
      <c r="P29" s="83"/>
    </row>
  </sheetData>
  <mergeCells count="3">
    <mergeCell ref="A1:O1"/>
    <mergeCell ref="A2:O2"/>
    <mergeCell ref="B29:D29"/>
  </mergeCells>
  <pageMargins left="0.75" right="0.75" top="1" bottom="1" header="0.51180555555555596" footer="0.51180555555555596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7"/>
  <sheetViews>
    <sheetView showGridLines="0" zoomScaleNormal="100" workbookViewId="0">
      <pane ySplit="2" topLeftCell="A3" activePane="bottomLeft" state="frozen"/>
      <selection pane="bottomLeft" activeCell="G7" sqref="G7"/>
    </sheetView>
  </sheetViews>
  <sheetFormatPr defaultColWidth="8.6328125" defaultRowHeight="14.5" x14ac:dyDescent="0.35"/>
  <cols>
    <col min="1" max="1" width="8" customWidth="1"/>
    <col min="2" max="2" width="10" customWidth="1"/>
    <col min="3" max="3" width="28" customWidth="1"/>
    <col min="4" max="4" width="26" customWidth="1"/>
    <col min="5" max="5" width="10" customWidth="1"/>
    <col min="6" max="7" width="12" customWidth="1"/>
    <col min="8" max="8" width="9" customWidth="1"/>
    <col min="9" max="9" width="12" customWidth="1"/>
    <col min="10" max="11" width="13" customWidth="1"/>
    <col min="12" max="12" width="15" customWidth="1"/>
    <col min="13" max="13" width="14" customWidth="1"/>
    <col min="14" max="14" width="13" customWidth="1"/>
    <col min="15" max="15" width="9" customWidth="1"/>
    <col min="16" max="17" width="14" customWidth="1"/>
    <col min="18" max="18" width="12" customWidth="1"/>
    <col min="19" max="19" width="14" customWidth="1"/>
    <col min="20" max="20" width="12" customWidth="1"/>
    <col min="21" max="21" width="14" customWidth="1"/>
    <col min="22" max="22" width="22" customWidth="1"/>
  </cols>
  <sheetData>
    <row r="1" spans="1:22" ht="27.75" customHeight="1" x14ac:dyDescent="0.35">
      <c r="A1" s="408" t="s">
        <v>362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8"/>
      <c r="O1" s="408"/>
      <c r="P1" s="408"/>
      <c r="Q1" s="408"/>
      <c r="R1" s="408"/>
      <c r="S1" s="408"/>
      <c r="T1" s="408"/>
      <c r="U1" s="408"/>
      <c r="V1" s="408"/>
    </row>
    <row r="2" spans="1:22" ht="31.5" customHeight="1" x14ac:dyDescent="0.35">
      <c r="A2" s="23" t="s">
        <v>62</v>
      </c>
      <c r="B2" s="23" t="s">
        <v>63</v>
      </c>
      <c r="C2" s="23" t="s">
        <v>64</v>
      </c>
      <c r="D2" s="23" t="s">
        <v>65</v>
      </c>
      <c r="E2" s="23" t="s">
        <v>66</v>
      </c>
      <c r="F2" s="23" t="s">
        <v>67</v>
      </c>
      <c r="G2" s="23" t="s">
        <v>68</v>
      </c>
      <c r="H2" s="23" t="s">
        <v>69</v>
      </c>
      <c r="I2" s="23" t="s">
        <v>363</v>
      </c>
      <c r="J2" s="23" t="s">
        <v>364</v>
      </c>
      <c r="K2" s="23" t="s">
        <v>365</v>
      </c>
      <c r="L2" s="23" t="s">
        <v>74</v>
      </c>
      <c r="M2" s="23" t="s">
        <v>366</v>
      </c>
      <c r="N2" s="23" t="s">
        <v>73</v>
      </c>
      <c r="O2" s="23" t="s">
        <v>75</v>
      </c>
      <c r="P2" s="23" t="s">
        <v>76</v>
      </c>
      <c r="Q2" s="23" t="s">
        <v>367</v>
      </c>
      <c r="R2" s="23" t="s">
        <v>78</v>
      </c>
      <c r="S2" s="23" t="s">
        <v>368</v>
      </c>
      <c r="T2" s="23" t="s">
        <v>369</v>
      </c>
      <c r="U2" s="23" t="s">
        <v>370</v>
      </c>
      <c r="V2" s="23" t="s">
        <v>84</v>
      </c>
    </row>
    <row r="3" spans="1:22" ht="15.75" customHeight="1" x14ac:dyDescent="0.35">
      <c r="A3" s="60" t="str">
        <f>'Input Data'!B26</f>
        <v>L12</v>
      </c>
      <c r="B3" s="60" t="str">
        <f>'Input Data'!C26</f>
        <v>L12</v>
      </c>
      <c r="C3" s="54" t="str">
        <f ca="1">'Input Data'!D26</f>
        <v>DAKOTA CORPORATION</v>
      </c>
      <c r="D3" s="54" t="str">
        <f ca="1">'Input Data'!E26</f>
        <v>OWNER OCCUPIED</v>
      </c>
      <c r="E3" s="62">
        <f>'Input Data'!F26</f>
        <v>223.7</v>
      </c>
      <c r="F3" s="63">
        <f ca="1">IFERROR('Input Data'!G26,"")</f>
        <v>42736</v>
      </c>
      <c r="G3" s="63">
        <f ca="1">IFERROR('Input Data'!H26,"")</f>
        <v>47118</v>
      </c>
      <c r="H3" s="64">
        <f ca="1">'Input Data'!I26</f>
        <v>7</v>
      </c>
      <c r="I3" s="67">
        <f ca="1">'Input Data'!V26</f>
        <v>2.2094455852156059</v>
      </c>
      <c r="J3" s="65">
        <f>'Input Data'!J26</f>
        <v>0</v>
      </c>
      <c r="K3" s="65">
        <f>'Input Data'!S26</f>
        <v>384</v>
      </c>
      <c r="L3" s="65">
        <f ca="1">'Input Data'!N26</f>
        <v>0</v>
      </c>
      <c r="M3" s="65">
        <f>'Input Data'!L26</f>
        <v>0</v>
      </c>
      <c r="N3" s="65">
        <f>'Input Data'!M26</f>
        <v>0</v>
      </c>
      <c r="O3" s="168">
        <f>'Input Data'!O26</f>
        <v>2</v>
      </c>
      <c r="P3" s="61" t="str">
        <f>'Input Data'!P26</f>
        <v>MONTHLY TENANT</v>
      </c>
      <c r="Q3" s="63">
        <f>IFERROR('Input Data'!Q26,"")</f>
        <v>45291</v>
      </c>
      <c r="R3" s="61" t="str">
        <f>'Input Data'!R26</f>
        <v>N/A</v>
      </c>
      <c r="S3" s="65" t="str">
        <f>'Input Data'!T26</f>
        <v/>
      </c>
      <c r="T3" s="66" t="str">
        <f>'Input Data'!U26</f>
        <v/>
      </c>
      <c r="U3" s="62">
        <f ca="1">'Input Data'!W26</f>
        <v>494.25297741273101</v>
      </c>
      <c r="V3" s="61">
        <f>'Input Data'!X26</f>
        <v>0</v>
      </c>
    </row>
    <row r="4" spans="1:22" ht="15.75" customHeight="1" x14ac:dyDescent="0.35">
      <c r="A4" s="60" t="str">
        <f>'Input Data'!B21</f>
        <v>L09</v>
      </c>
      <c r="B4" s="60" t="str">
        <f>'Input Data'!C21</f>
        <v>901</v>
      </c>
      <c r="C4" s="54" t="str">
        <f ca="1">'Input Data'!D21</f>
        <v>AITKEN INVESTMENT MANAGEMENT PTY LTD</v>
      </c>
      <c r="D4" s="54" t="str">
        <f ca="1">'Input Data'!E21</f>
        <v>AITKEN INVESTMENT MANAGEMENT</v>
      </c>
      <c r="E4" s="62">
        <f>'Input Data'!F21</f>
        <v>52.8</v>
      </c>
      <c r="F4" s="63">
        <f ca="1">IFERROR('Input Data'!G21,"")</f>
        <v>45823</v>
      </c>
      <c r="G4" s="63">
        <f ca="1">IFERROR('Input Data'!H21,"")</f>
        <v>46918</v>
      </c>
      <c r="H4" s="64">
        <f ca="1">'Input Data'!I21</f>
        <v>3</v>
      </c>
      <c r="I4" s="67">
        <f ca="1">'Input Data'!V21</f>
        <v>1.6618754277891854</v>
      </c>
      <c r="J4" s="65">
        <f>'Input Data'!J21</f>
        <v>1338.88</v>
      </c>
      <c r="K4" s="65">
        <f>'Input Data'!S21</f>
        <v>1350</v>
      </c>
      <c r="L4" s="65">
        <f ca="1">'Input Data'!N21</f>
        <v>54298.464</v>
      </c>
      <c r="M4" s="65">
        <f>'Input Data'!L21</f>
        <v>-16394.400000000001</v>
      </c>
      <c r="N4" s="65">
        <f>'Input Data'!M21</f>
        <v>3780</v>
      </c>
      <c r="O4" s="168">
        <f>'Input Data'!O21</f>
        <v>0</v>
      </c>
      <c r="P4" s="61" t="str">
        <f>'Input Data'!P21</f>
        <v>FIXED 4%</v>
      </c>
      <c r="Q4" s="63">
        <f>IFERROR('Input Data'!Q21,"")</f>
        <v>46918</v>
      </c>
      <c r="R4" s="61" t="str">
        <f>'Input Data'!R21</f>
        <v>Net</v>
      </c>
      <c r="S4" s="65">
        <f>'Input Data'!T21</f>
        <v>-11.119999999999891</v>
      </c>
      <c r="T4" s="66">
        <f>'Input Data'!U21</f>
        <v>-8.237037037036956E-3</v>
      </c>
      <c r="U4" s="62">
        <f ca="1">'Input Data'!W21</f>
        <v>87.747022587268987</v>
      </c>
      <c r="V4" s="61">
        <f>'Input Data'!X21</f>
        <v>0</v>
      </c>
    </row>
    <row r="5" spans="1:22" ht="15.75" customHeight="1" x14ac:dyDescent="0.35">
      <c r="A5" s="46" t="str">
        <f>'Input Data'!B16</f>
        <v>L06</v>
      </c>
      <c r="B5" s="46" t="str">
        <f>'Input Data'!C16</f>
        <v>602</v>
      </c>
      <c r="C5" s="47" t="str">
        <f>'Input Data'!D16</f>
        <v>INNOVIS</v>
      </c>
      <c r="D5" s="47" t="str">
        <f>'Input Data'!E16</f>
        <v>INNOVIS</v>
      </c>
      <c r="E5" s="48">
        <f>'Input Data'!F16</f>
        <v>152.1</v>
      </c>
      <c r="F5" s="9">
        <f>IFERROR('Input Data'!G16,"")</f>
        <v>46327</v>
      </c>
      <c r="G5" s="9">
        <f ca="1">IFERROR('Input Data'!H16,"")</f>
        <v>47421</v>
      </c>
      <c r="H5" s="49">
        <f>'Input Data'!I16</f>
        <v>3</v>
      </c>
      <c r="I5" s="52">
        <f ca="1">'Input Data'!V16</f>
        <v>3.0390143737166326</v>
      </c>
      <c r="J5" s="50">
        <f>'Input Data'!J16</f>
        <v>1090</v>
      </c>
      <c r="K5" s="50">
        <f>'Input Data'!S16</f>
        <v>1030</v>
      </c>
      <c r="L5" s="50">
        <f ca="1">'Input Data'!N16</f>
        <v>135946.98000000001</v>
      </c>
      <c r="M5" s="50">
        <f>'Input Data'!L16</f>
        <v>-29842.02</v>
      </c>
      <c r="N5" s="50">
        <f>'Input Data'!M16</f>
        <v>0</v>
      </c>
      <c r="O5" s="169">
        <f>'Input Data'!O16</f>
        <v>0</v>
      </c>
      <c r="P5" s="20" t="str">
        <f>'Input Data'!P16</f>
        <v>FIXED 3.75%</v>
      </c>
      <c r="Q5" s="9">
        <f>IFERROR('Input Data'!Q16,"")</f>
        <v>46692</v>
      </c>
      <c r="R5" s="20" t="str">
        <f>'Input Data'!R16</f>
        <v>Net</v>
      </c>
      <c r="S5" s="50">
        <f>'Input Data'!T16</f>
        <v>60</v>
      </c>
      <c r="T5" s="51">
        <f>'Input Data'!U16</f>
        <v>5.8252427184466021E-2</v>
      </c>
      <c r="U5" s="48">
        <f ca="1">'Input Data'!W16</f>
        <v>462.23408624229978</v>
      </c>
      <c r="V5" s="20">
        <f>'Input Data'!X16</f>
        <v>0</v>
      </c>
    </row>
    <row r="6" spans="1:22" ht="15.75" customHeight="1" x14ac:dyDescent="0.35">
      <c r="A6" s="46" t="str">
        <f>'Input Data'!B5</f>
        <v>L01</v>
      </c>
      <c r="B6" s="46" t="str">
        <f>'Input Data'!C5</f>
        <v>101&amp;2</v>
      </c>
      <c r="C6" s="47" t="str">
        <f>'Input Data'!D5</f>
        <v>VACANT</v>
      </c>
      <c r="D6" s="47">
        <f>'Input Data'!E5</f>
        <v>0</v>
      </c>
      <c r="E6" s="48">
        <f>'Input Data'!F5</f>
        <v>162.4</v>
      </c>
      <c r="F6" s="9">
        <f>IFERROR('Input Data'!G5,"")</f>
        <v>0</v>
      </c>
      <c r="G6" s="9" t="str">
        <f ca="1">IFERROR('Input Data'!H5,"")</f>
        <v/>
      </c>
      <c r="H6" s="49">
        <f ca="1">'Input Data'!I5</f>
        <v>3</v>
      </c>
      <c r="I6" s="52">
        <f ca="1">'Input Data'!V5</f>
        <v>0</v>
      </c>
      <c r="J6" s="50">
        <f>'Input Data'!J5</f>
        <v>0</v>
      </c>
      <c r="K6" s="50">
        <f>'Input Data'!S5</f>
        <v>1115</v>
      </c>
      <c r="L6" s="50">
        <f ca="1">'Input Data'!N5</f>
        <v>0</v>
      </c>
      <c r="M6" s="50">
        <f>'Input Data'!L5</f>
        <v>0</v>
      </c>
      <c r="N6" s="50">
        <f>'Input Data'!M5</f>
        <v>0</v>
      </c>
      <c r="O6" s="169">
        <f>'Input Data'!O5</f>
        <v>0</v>
      </c>
      <c r="P6" s="20">
        <f>'Input Data'!P5</f>
        <v>0</v>
      </c>
      <c r="Q6" s="9">
        <f>IFERROR('Input Data'!Q5,"")</f>
        <v>0</v>
      </c>
      <c r="R6" s="20">
        <f>'Input Data'!R5</f>
        <v>0</v>
      </c>
      <c r="S6" s="50" t="str">
        <f>'Input Data'!T5</f>
        <v/>
      </c>
      <c r="T6" s="51">
        <f>'Input Data'!U5</f>
        <v>0</v>
      </c>
      <c r="U6" s="48">
        <f ca="1">'Input Data'!W5</f>
        <v>0</v>
      </c>
      <c r="V6" s="20">
        <f>'Input Data'!X5</f>
        <v>0</v>
      </c>
    </row>
    <row r="7" spans="1:22" ht="15.75" customHeight="1" x14ac:dyDescent="0.35">
      <c r="A7" s="46" t="str">
        <f>'Input Data'!B7</f>
        <v>L01</v>
      </c>
      <c r="B7" s="46" t="str">
        <f>'Input Data'!C7</f>
        <v>104</v>
      </c>
      <c r="C7" s="47" t="str">
        <f ca="1">'Input Data'!D7</f>
        <v>TJC#1 PTY LTD</v>
      </c>
      <c r="D7" s="47" t="str">
        <f ca="1">'Input Data'!E7</f>
        <v>BALANCE INSOLVENCY</v>
      </c>
      <c r="E7" s="48">
        <f>'Input Data'!F7</f>
        <v>98.1</v>
      </c>
      <c r="F7" s="9">
        <f ca="1">IFERROR('Input Data'!G7,"")</f>
        <v>45139</v>
      </c>
      <c r="G7" s="9">
        <f ca="1">IFERROR('Input Data'!H7,"")</f>
        <v>47330</v>
      </c>
      <c r="H7" s="49">
        <f ca="1">'Input Data'!I7</f>
        <v>3</v>
      </c>
      <c r="I7" s="52">
        <f ca="1">'Input Data'!V7</f>
        <v>2.7898699520876113</v>
      </c>
      <c r="J7" s="50">
        <f ca="1">'Input Data'!J7</f>
        <v>973.44</v>
      </c>
      <c r="K7" s="50">
        <f>'Input Data'!S7</f>
        <v>960</v>
      </c>
      <c r="L7" s="50">
        <f ca="1">'Input Data'!N7</f>
        <v>76070.66399999999</v>
      </c>
      <c r="M7" s="50">
        <f>'Input Data'!L7</f>
        <v>-19423.8</v>
      </c>
      <c r="N7" s="50">
        <f>'Input Data'!M7</f>
        <v>4500</v>
      </c>
      <c r="O7" s="169">
        <f>'Input Data'!O7</f>
        <v>0</v>
      </c>
      <c r="P7" s="20" t="str">
        <f>'Input Data'!P7</f>
        <v>FIXED 4%</v>
      </c>
      <c r="Q7" s="9">
        <f>IFERROR('Input Data'!Q7,"")</f>
        <v>46600</v>
      </c>
      <c r="R7" s="20" t="str">
        <f>'Input Data'!R7</f>
        <v>Net</v>
      </c>
      <c r="S7" s="50">
        <f ca="1">'Input Data'!T7</f>
        <v>13.440000000000055</v>
      </c>
      <c r="T7" s="51">
        <f ca="1">'Input Data'!U7</f>
        <v>1.4000000000000058E-2</v>
      </c>
      <c r="U7" s="48">
        <f ca="1">'Input Data'!W7</f>
        <v>273.68624229979469</v>
      </c>
      <c r="V7" s="20">
        <f>'Input Data'!X7</f>
        <v>0</v>
      </c>
    </row>
    <row r="8" spans="1:22" ht="15.75" customHeight="1" x14ac:dyDescent="0.35">
      <c r="A8" s="46" t="str">
        <f>'Input Data'!B25</f>
        <v>L11</v>
      </c>
      <c r="B8" s="46" t="str">
        <f>'Input Data'!C25</f>
        <v>1102</v>
      </c>
      <c r="C8" s="47" t="str">
        <f ca="1">'Input Data'!D25</f>
        <v>LEWIS WOOLCOTT</v>
      </c>
      <c r="D8" s="47" t="str">
        <f ca="1">'Input Data'!E25</f>
        <v>LEWIS WOOLCOTT</v>
      </c>
      <c r="E8" s="48">
        <f>'Input Data'!F25</f>
        <v>133.1</v>
      </c>
      <c r="F8" s="9">
        <f ca="1">IFERROR('Input Data'!G25,"")</f>
        <v>46249</v>
      </c>
      <c r="G8" s="9">
        <f ca="1">IFERROR('Input Data'!H25,"")</f>
        <v>46979</v>
      </c>
      <c r="H8" s="49">
        <f ca="1">'Input Data'!I25</f>
        <v>2</v>
      </c>
      <c r="I8" s="52">
        <f ca="1">'Input Data'!V25</f>
        <v>1.8288843258042438</v>
      </c>
      <c r="J8" s="50">
        <f ca="1">'Input Data'!J25</f>
        <v>1271.0999999999999</v>
      </c>
      <c r="K8" s="50">
        <f>'Input Data'!S25</f>
        <v>1250</v>
      </c>
      <c r="L8" s="50">
        <f ca="1">'Input Data'!N25</f>
        <v>138730.39999999997</v>
      </c>
      <c r="M8" s="50">
        <f>'Input Data'!L25</f>
        <v>-30453.01</v>
      </c>
      <c r="N8" s="50">
        <f>'Input Data'!M25</f>
        <v>5820</v>
      </c>
      <c r="O8" s="169">
        <f>'Input Data'!O25</f>
        <v>0</v>
      </c>
      <c r="P8" s="20" t="str">
        <f>'Input Data'!P25</f>
        <v>FIXED 4.0%</v>
      </c>
      <c r="Q8" s="9">
        <f>IFERROR('Input Data'!Q25,"")</f>
        <v>46614</v>
      </c>
      <c r="R8" s="20" t="str">
        <f>'Input Data'!R25</f>
        <v>Net</v>
      </c>
      <c r="S8" s="50">
        <f ca="1">'Input Data'!T25</f>
        <v>21.099999999999909</v>
      </c>
      <c r="T8" s="51">
        <f ca="1">'Input Data'!U25</f>
        <v>1.6879999999999926E-2</v>
      </c>
      <c r="U8" s="48">
        <f ca="1">'Input Data'!W25</f>
        <v>243.42450376454482</v>
      </c>
      <c r="V8" s="20" t="str">
        <f>'Input Data'!X25</f>
        <v>Lewis Woolcott new lease commences 15/8/26 (day after PharmX's lease ends), 2 yr term to 14/8/28, $1,271.10 psm. Outgoings carried forward at PharmX's existing rate pending TS confirmation.</v>
      </c>
    </row>
    <row r="9" spans="1:22" ht="15.75" customHeight="1" x14ac:dyDescent="0.35">
      <c r="A9" s="46" t="str">
        <f>'Input Data'!B24</f>
        <v>L11</v>
      </c>
      <c r="B9" s="46" t="str">
        <f>'Input Data'!C24</f>
        <v>1101</v>
      </c>
      <c r="C9" s="47" t="str">
        <f ca="1">'Input Data'!D24</f>
        <v>MICHAEL FLEGG PTY LTD</v>
      </c>
      <c r="D9" s="47" t="str">
        <f ca="1">'Input Data'!E24</f>
        <v>MICHAEL FLEGG PTY LTD</v>
      </c>
      <c r="E9" s="48">
        <f>'Input Data'!F24</f>
        <v>62.4</v>
      </c>
      <c r="F9" s="9">
        <f ca="1">IFERROR('Input Data'!G24,"")</f>
        <v>44531</v>
      </c>
      <c r="G9" s="9">
        <f ca="1">IFERROR('Input Data'!H24,"")</f>
        <v>46356</v>
      </c>
      <c r="H9" s="49">
        <f ca="1">'Input Data'!I24</f>
        <v>5</v>
      </c>
      <c r="I9" s="52">
        <f ca="1">'Input Data'!V24</f>
        <v>0.12320328542094455</v>
      </c>
      <c r="J9" s="50">
        <f ca="1">'Input Data'!J24</f>
        <v>1368.73</v>
      </c>
      <c r="K9" s="50">
        <f>'Input Data'!S24</f>
        <v>1405</v>
      </c>
      <c r="L9" s="50">
        <f ca="1">'Input Data'!N24</f>
        <v>85408.751999999993</v>
      </c>
      <c r="M9" s="50">
        <f>'Input Data'!L24</f>
        <v>0</v>
      </c>
      <c r="N9" s="50">
        <f>'Input Data'!M24</f>
        <v>4200</v>
      </c>
      <c r="O9" s="169">
        <f>'Input Data'!O24</f>
        <v>0</v>
      </c>
      <c r="P9" s="20" t="str">
        <f>'Input Data'!P24</f>
        <v>LEASE RENEWAL</v>
      </c>
      <c r="Q9" s="9">
        <f>IFERROR('Input Data'!Q24,"")</f>
        <v>46357</v>
      </c>
      <c r="R9" s="20" t="str">
        <f>'Input Data'!R24</f>
        <v>Net</v>
      </c>
      <c r="S9" s="50">
        <f ca="1">'Input Data'!T24</f>
        <v>-36.269999999999982</v>
      </c>
      <c r="T9" s="51">
        <f ca="1">'Input Data'!U24</f>
        <v>-2.5814946619217068E-2</v>
      </c>
      <c r="U9" s="48">
        <f ca="1">'Input Data'!W24</f>
        <v>7.6878850102669398</v>
      </c>
      <c r="V9" s="20">
        <f>'Input Data'!X24</f>
        <v>0</v>
      </c>
    </row>
    <row r="10" spans="1:22" ht="15.75" customHeight="1" x14ac:dyDescent="0.35">
      <c r="A10" s="36" t="str">
        <f>'Input Data'!B15</f>
        <v>L06</v>
      </c>
      <c r="B10" s="36" t="str">
        <f>'Input Data'!C15</f>
        <v>601</v>
      </c>
      <c r="C10" s="37" t="str">
        <f ca="1">'Input Data'!D15</f>
        <v>FULLCRM PTY LTD</v>
      </c>
      <c r="D10" s="37" t="str">
        <f ca="1">'Input Data'!E15</f>
        <v>FULLCRM PTY LTD</v>
      </c>
      <c r="E10" s="39">
        <f>'Input Data'!F15</f>
        <v>226.1</v>
      </c>
      <c r="F10" s="40">
        <f ca="1">IFERROR('Input Data'!G15,"")</f>
        <v>44531</v>
      </c>
      <c r="G10" s="40">
        <f ca="1">IFERROR('Input Data'!H15,"")</f>
        <v>46418</v>
      </c>
      <c r="H10" s="41">
        <f ca="1">'Input Data'!I15</f>
        <v>5.2</v>
      </c>
      <c r="I10" s="44">
        <f ca="1">'Input Data'!V15</f>
        <v>0.29295003422313481</v>
      </c>
      <c r="J10" s="42">
        <f ca="1">'Input Data'!J15</f>
        <v>1251.3399999999999</v>
      </c>
      <c r="K10" s="42">
        <f>'Input Data'!S15</f>
        <v>1165</v>
      </c>
      <c r="L10" s="42">
        <f ca="1">'Input Data'!N15</f>
        <v>251183.53399999999</v>
      </c>
      <c r="M10" s="42">
        <f>'Input Data'!L15</f>
        <v>-31744.44</v>
      </c>
      <c r="N10" s="42">
        <f>'Input Data'!M15</f>
        <v>13800</v>
      </c>
      <c r="O10" s="170">
        <f>'Input Data'!O15</f>
        <v>0</v>
      </c>
      <c r="P10" s="38" t="str">
        <f>'Input Data'!P15</f>
        <v>LEASE RENEWAL</v>
      </c>
      <c r="Q10" s="40">
        <f>IFERROR('Input Data'!Q15,"")</f>
        <v>46419</v>
      </c>
      <c r="R10" s="38" t="str">
        <f>'Input Data'!R15</f>
        <v>Net</v>
      </c>
      <c r="S10" s="42">
        <f ca="1">'Input Data'!T15</f>
        <v>86.339999999999918</v>
      </c>
      <c r="T10" s="43">
        <f ca="1">'Input Data'!U15</f>
        <v>7.4111587982832544E-2</v>
      </c>
      <c r="U10" s="39">
        <f ca="1">'Input Data'!W15</f>
        <v>66.236002737850782</v>
      </c>
      <c r="V10" s="38">
        <f>'Input Data'!X15</f>
        <v>0</v>
      </c>
    </row>
    <row r="11" spans="1:22" ht="15.75" customHeight="1" x14ac:dyDescent="0.35">
      <c r="A11" s="11" t="str">
        <f>'Input Data'!B9</f>
        <v>L03</v>
      </c>
      <c r="B11" s="11" t="str">
        <f>'Input Data'!C9</f>
        <v>301&amp;2</v>
      </c>
      <c r="C11" s="26" t="str">
        <f ca="1">'Input Data'!D9</f>
        <v>IPM RESIDENTIAL PTY LTD</v>
      </c>
      <c r="D11" s="26" t="str">
        <f ca="1">'Input Data'!E9</f>
        <v>IPM RESIDENTIAL PTY LTD</v>
      </c>
      <c r="E11" s="27">
        <f>'Input Data'!F9</f>
        <v>164.2</v>
      </c>
      <c r="F11" s="28">
        <f ca="1">IFERROR('Input Data'!G9,"")</f>
        <v>44713</v>
      </c>
      <c r="G11" s="28">
        <f ca="1">IFERROR('Input Data'!H9,"")</f>
        <v>46538</v>
      </c>
      <c r="H11" s="29">
        <f ca="1">'Input Data'!I9</f>
        <v>5</v>
      </c>
      <c r="I11" s="32">
        <f ca="1">'Input Data'!V9</f>
        <v>0.62149212867898695</v>
      </c>
      <c r="J11" s="30">
        <f>'Input Data'!J9</f>
        <v>1216.58</v>
      </c>
      <c r="K11" s="30">
        <f>'Input Data'!S9</f>
        <v>1135</v>
      </c>
      <c r="L11" s="30">
        <f ca="1">'Input Data'!N9</f>
        <v>184245.476</v>
      </c>
      <c r="M11" s="30">
        <f>'Input Data'!L9</f>
        <v>-15516.96</v>
      </c>
      <c r="N11" s="30">
        <f>'Input Data'!M9</f>
        <v>9900</v>
      </c>
      <c r="O11" s="171">
        <f>'Input Data'!O9</f>
        <v>2</v>
      </c>
      <c r="P11" s="14" t="str">
        <f>'Input Data'!P9</f>
        <v>LEASE RENEWAL</v>
      </c>
      <c r="Q11" s="28">
        <f>IFERROR('Input Data'!Q9,"")</f>
        <v>46539</v>
      </c>
      <c r="R11" s="14" t="str">
        <f>'Input Data'!R9</f>
        <v>Net</v>
      </c>
      <c r="S11" s="30">
        <f>'Input Data'!T9</f>
        <v>81.579999999999927</v>
      </c>
      <c r="T11" s="31">
        <f>'Input Data'!U9</f>
        <v>7.1876651982378789E-2</v>
      </c>
      <c r="U11" s="27">
        <f ca="1">'Input Data'!W9</f>
        <v>102.04900752908965</v>
      </c>
      <c r="V11" s="14">
        <f>'Input Data'!X9</f>
        <v>0</v>
      </c>
    </row>
    <row r="12" spans="1:22" ht="15.75" customHeight="1" x14ac:dyDescent="0.35">
      <c r="A12" s="36" t="str">
        <f>'Input Data'!B14</f>
        <v>L05</v>
      </c>
      <c r="B12" s="36" t="str">
        <f>'Input Data'!C14</f>
        <v>502</v>
      </c>
      <c r="C12" s="37" t="str">
        <f ca="1">'Input Data'!D14</f>
        <v>THREAT DEFENCE</v>
      </c>
      <c r="D12" s="37" t="str">
        <f ca="1">'Input Data'!E14</f>
        <v>THREAT DEFENCE PTY LTD</v>
      </c>
      <c r="E12" s="39">
        <f>'Input Data'!F14</f>
        <v>163.80000000000001</v>
      </c>
      <c r="F12" s="40">
        <f ca="1">IFERROR('Input Data'!G14,"")</f>
        <v>45474</v>
      </c>
      <c r="G12" s="40">
        <f ca="1">IFERROR('Input Data'!H14,"")</f>
        <v>46568</v>
      </c>
      <c r="H12" s="41">
        <f ca="1">'Input Data'!I14</f>
        <v>3</v>
      </c>
      <c r="I12" s="44">
        <f ca="1">'Input Data'!V14</f>
        <v>0.70362765229294999</v>
      </c>
      <c r="J12" s="42">
        <f>'Input Data'!J14</f>
        <v>1054.8800000000001</v>
      </c>
      <c r="K12" s="42">
        <f>'Input Data'!S14</f>
        <v>1020</v>
      </c>
      <c r="L12" s="42">
        <f ca="1">'Input Data'!N14</f>
        <v>131053.10400000005</v>
      </c>
      <c r="M12" s="42">
        <f>'Input Data'!L14</f>
        <v>-41736.239999999998</v>
      </c>
      <c r="N12" s="42">
        <f>'Input Data'!M14</f>
        <v>7140</v>
      </c>
      <c r="O12" s="170">
        <f>'Input Data'!O14</f>
        <v>0</v>
      </c>
      <c r="P12" s="38" t="str">
        <f>'Input Data'!P14</f>
        <v>LEASE RENEWAL</v>
      </c>
      <c r="Q12" s="40">
        <f>IFERROR('Input Data'!Q14,"")</f>
        <v>46569</v>
      </c>
      <c r="R12" s="38" t="str">
        <f>'Input Data'!R14</f>
        <v>Net</v>
      </c>
      <c r="S12" s="42">
        <f>'Input Data'!T14</f>
        <v>34.880000000000109</v>
      </c>
      <c r="T12" s="43">
        <f>'Input Data'!U14</f>
        <v>3.4196078431372658E-2</v>
      </c>
      <c r="U12" s="39">
        <f ca="1">'Input Data'!W14</f>
        <v>115.25420944558522</v>
      </c>
      <c r="V12" s="38">
        <f>'Input Data'!X14</f>
        <v>0</v>
      </c>
    </row>
    <row r="13" spans="1:22" ht="15.75" customHeight="1" x14ac:dyDescent="0.35">
      <c r="A13" s="11" t="str">
        <f>'Input Data'!B17</f>
        <v>L07</v>
      </c>
      <c r="B13" s="11" t="str">
        <f>'Input Data'!C17</f>
        <v>701</v>
      </c>
      <c r="C13" s="26" t="str">
        <f ca="1">'Input Data'!D17</f>
        <v>PINPOINT TALENT PTY LTD</v>
      </c>
      <c r="D13" s="26" t="str">
        <f ca="1">'Input Data'!E17</f>
        <v>PINPOINT TALENT PTY LTD</v>
      </c>
      <c r="E13" s="27">
        <f>'Input Data'!F17</f>
        <v>210.5</v>
      </c>
      <c r="F13" s="28">
        <f ca="1">IFERROR('Input Data'!G17,"")</f>
        <v>45145</v>
      </c>
      <c r="G13" s="28">
        <f ca="1">IFERROR('Input Data'!H17,"")</f>
        <v>46605</v>
      </c>
      <c r="H13" s="29">
        <f ca="1">'Input Data'!I17</f>
        <v>4</v>
      </c>
      <c r="I13" s="32">
        <f ca="1">'Input Data'!V17</f>
        <v>0.80492813141683783</v>
      </c>
      <c r="J13" s="30">
        <f ca="1">'Input Data'!J17</f>
        <v>1173.54</v>
      </c>
      <c r="K13" s="30">
        <f>'Input Data'!S17</f>
        <v>1175</v>
      </c>
      <c r="L13" s="30">
        <f ca="1">'Input Data'!N17</f>
        <v>178512.44999999998</v>
      </c>
      <c r="M13" s="30">
        <f>'Input Data'!L17</f>
        <v>-68517.72</v>
      </c>
      <c r="N13" s="30">
        <f>'Input Data'!M17</f>
        <v>13800</v>
      </c>
      <c r="O13" s="171">
        <f>'Input Data'!O17</f>
        <v>0</v>
      </c>
      <c r="P13" s="14" t="str">
        <f>'Input Data'!P17</f>
        <v>LEASE RENEWAL</v>
      </c>
      <c r="Q13" s="28">
        <f>IFERROR('Input Data'!Q17,"")</f>
        <v>46606</v>
      </c>
      <c r="R13" s="14" t="str">
        <f>'Input Data'!R17</f>
        <v>Net</v>
      </c>
      <c r="S13" s="30">
        <f ca="1">'Input Data'!T17</f>
        <v>-1.4600000000000364</v>
      </c>
      <c r="T13" s="31">
        <f ca="1">'Input Data'!U17</f>
        <v>-1.2425531914893927E-3</v>
      </c>
      <c r="U13" s="27">
        <f ca="1">'Input Data'!W17</f>
        <v>169.43737166324436</v>
      </c>
      <c r="V13" s="14">
        <f>'Input Data'!X17</f>
        <v>0</v>
      </c>
    </row>
    <row r="14" spans="1:22" ht="15.75" customHeight="1" x14ac:dyDescent="0.35">
      <c r="A14" s="36" t="str">
        <f>'Input Data'!B13</f>
        <v>L05</v>
      </c>
      <c r="B14" s="36" t="str">
        <f>'Input Data'!C13</f>
        <v>501</v>
      </c>
      <c r="C14" s="37" t="str">
        <f ca="1">'Input Data'!D13</f>
        <v>MONTGOMERY INVESTMENT</v>
      </c>
      <c r="D14" s="37" t="str">
        <f ca="1">'Input Data'!E13</f>
        <v>MONTGOMERY INVESTMENT</v>
      </c>
      <c r="E14" s="39">
        <f>'Input Data'!F13</f>
        <v>212.3</v>
      </c>
      <c r="F14" s="40">
        <f ca="1">IFERROR('Input Data'!G13,"")</f>
        <v>43770</v>
      </c>
      <c r="G14" s="40">
        <f ca="1">IFERROR('Input Data'!H13,"")</f>
        <v>46691</v>
      </c>
      <c r="H14" s="41">
        <f ca="1">'Input Data'!I13</f>
        <v>8</v>
      </c>
      <c r="I14" s="44">
        <f ca="1">'Input Data'!V13</f>
        <v>1.0403832991101984</v>
      </c>
      <c r="J14" s="42">
        <f ca="1">'Input Data'!J13</f>
        <v>1341.24</v>
      </c>
      <c r="K14" s="42">
        <f>'Input Data'!S13</f>
        <v>1155</v>
      </c>
      <c r="L14" s="42">
        <f ca="1">'Input Data'!N13</f>
        <v>235383.49200000003</v>
      </c>
      <c r="M14" s="42">
        <f>'Input Data'!L13</f>
        <v>-49361.760000000002</v>
      </c>
      <c r="N14" s="42">
        <f>'Input Data'!M13</f>
        <v>9900</v>
      </c>
      <c r="O14" s="170">
        <f>'Input Data'!O13</f>
        <v>0</v>
      </c>
      <c r="P14" s="38" t="str">
        <f>'Input Data'!P13</f>
        <v>FIXED 4%</v>
      </c>
      <c r="Q14" s="40">
        <f>IFERROR('Input Data'!Q13,"")</f>
        <v>46327</v>
      </c>
      <c r="R14" s="38" t="str">
        <f>'Input Data'!R13</f>
        <v>Net</v>
      </c>
      <c r="S14" s="42">
        <f ca="1">'Input Data'!T13</f>
        <v>186.24</v>
      </c>
      <c r="T14" s="43">
        <f ca="1">'Input Data'!U13</f>
        <v>0.16124675324675325</v>
      </c>
      <c r="U14" s="39">
        <f ca="1">'Input Data'!W13</f>
        <v>220.87337440109513</v>
      </c>
      <c r="V14" s="38">
        <f>'Input Data'!X13</f>
        <v>0</v>
      </c>
    </row>
    <row r="15" spans="1:22" ht="15.75" customHeight="1" x14ac:dyDescent="0.35">
      <c r="A15" s="11" t="str">
        <f>'Input Data'!B18</f>
        <v>L07</v>
      </c>
      <c r="B15" s="11" t="str">
        <f>'Input Data'!C18</f>
        <v>702</v>
      </c>
      <c r="C15" s="26" t="str">
        <f ca="1">'Input Data'!D18</f>
        <v>SATELLITE OFFICE PTY LTD</v>
      </c>
      <c r="D15" s="26" t="str">
        <f ca="1">'Input Data'!E18</f>
        <v>SATELLITE OFFICE PTY LTD</v>
      </c>
      <c r="E15" s="27">
        <f>'Input Data'!F18</f>
        <v>163.9</v>
      </c>
      <c r="F15" s="28">
        <f ca="1">IFERROR('Input Data'!G18,"")</f>
        <v>45444</v>
      </c>
      <c r="G15" s="28">
        <f ca="1">IFERROR('Input Data'!H18,"")</f>
        <v>46904</v>
      </c>
      <c r="H15" s="29">
        <f ca="1">'Input Data'!I18</f>
        <v>4</v>
      </c>
      <c r="I15" s="32">
        <f ca="1">'Input Data'!V18</f>
        <v>1.623545516769336</v>
      </c>
      <c r="J15" s="30">
        <f>'Input Data'!J18</f>
        <v>1054.8800000000001</v>
      </c>
      <c r="K15" s="30">
        <f>'Input Data'!S18</f>
        <v>1040</v>
      </c>
      <c r="L15" s="30">
        <f ca="1">'Input Data'!N18</f>
        <v>132633.27200000003</v>
      </c>
      <c r="M15" s="30">
        <f>'Input Data'!L18</f>
        <v>-40261.56</v>
      </c>
      <c r="N15" s="30">
        <f>'Input Data'!M18</f>
        <v>7020</v>
      </c>
      <c r="O15" s="171">
        <f>'Input Data'!O18</f>
        <v>0</v>
      </c>
      <c r="P15" s="14" t="str">
        <f>'Input Data'!P18</f>
        <v>FIXED 3.75%</v>
      </c>
      <c r="Q15" s="28">
        <f>IFERROR('Input Data'!Q18,"")</f>
        <v>46539</v>
      </c>
      <c r="R15" s="14" t="str">
        <f>'Input Data'!R18</f>
        <v>Net</v>
      </c>
      <c r="S15" s="30">
        <f>'Input Data'!T18</f>
        <v>14.880000000000109</v>
      </c>
      <c r="T15" s="31">
        <f>'Input Data'!U18</f>
        <v>1.4307692307692412E-2</v>
      </c>
      <c r="U15" s="27">
        <f ca="1">'Input Data'!W18</f>
        <v>266.0991101984942</v>
      </c>
      <c r="V15" s="14">
        <f>'Input Data'!X18</f>
        <v>0</v>
      </c>
    </row>
    <row r="16" spans="1:22" ht="15.75" customHeight="1" x14ac:dyDescent="0.35">
      <c r="A16" s="36" t="str">
        <f>'Input Data'!B6</f>
        <v>L01</v>
      </c>
      <c r="B16" s="36" t="str">
        <f>'Input Data'!C6</f>
        <v>103</v>
      </c>
      <c r="C16" s="37" t="str">
        <f ca="1">'Input Data'!D6</f>
        <v>PU PRIME TRADING PTY LTD</v>
      </c>
      <c r="D16" s="37" t="str">
        <f ca="1">'Input Data'!E6</f>
        <v>PU PRIME TRADING PTY LTD</v>
      </c>
      <c r="E16" s="39">
        <f>'Input Data'!F6</f>
        <v>96.3</v>
      </c>
      <c r="F16" s="40">
        <f ca="1">IFERROR('Input Data'!G6,"")</f>
        <v>44378</v>
      </c>
      <c r="G16" s="40">
        <f ca="1">IFERROR('Input Data'!H6,"")</f>
        <v>46918</v>
      </c>
      <c r="H16" s="41">
        <f ca="1">'Input Data'!I6</f>
        <v>7</v>
      </c>
      <c r="I16" s="44">
        <f ca="1">'Input Data'!V6</f>
        <v>1.6618754277891854</v>
      </c>
      <c r="J16" s="42">
        <f>'Input Data'!J6</f>
        <v>1021.99</v>
      </c>
      <c r="K16" s="42">
        <f>'Input Data'!S6</f>
        <v>960</v>
      </c>
      <c r="L16" s="42">
        <f ca="1">'Input Data'!N6</f>
        <v>89396.036999999997</v>
      </c>
      <c r="M16" s="42">
        <f>'Input Data'!L6</f>
        <v>-9021.6</v>
      </c>
      <c r="N16" s="42">
        <f>'Input Data'!M6</f>
        <v>6780</v>
      </c>
      <c r="O16" s="170">
        <f>'Input Data'!O6</f>
        <v>0</v>
      </c>
      <c r="P16" s="38" t="str">
        <f>'Input Data'!P6</f>
        <v>FIXED 4%</v>
      </c>
      <c r="Q16" s="40">
        <f>IFERROR('Input Data'!Q6,"")</f>
        <v>46461</v>
      </c>
      <c r="R16" s="38" t="str">
        <f>'Input Data'!R6</f>
        <v>Net</v>
      </c>
      <c r="S16" s="42">
        <f>'Input Data'!T6</f>
        <v>61.990000000000009</v>
      </c>
      <c r="T16" s="43">
        <f>'Input Data'!U6</f>
        <v>6.4572916666666674E-2</v>
      </c>
      <c r="U16" s="39">
        <f ca="1">'Input Data'!W6</f>
        <v>160.03860369609856</v>
      </c>
      <c r="V16" s="38">
        <f>'Input Data'!X6</f>
        <v>0</v>
      </c>
    </row>
    <row r="17" spans="1:22" ht="15.75" customHeight="1" x14ac:dyDescent="0.35">
      <c r="A17" s="11" t="str">
        <f>'Input Data'!B20</f>
        <v>L08</v>
      </c>
      <c r="B17" s="11" t="str">
        <f>'Input Data'!C20</f>
        <v>802</v>
      </c>
      <c r="C17" s="26" t="str">
        <f ca="1">'Input Data'!D20</f>
        <v>HILLIARD &amp; BERRY</v>
      </c>
      <c r="D17" s="26" t="str">
        <f ca="1">'Input Data'!E20</f>
        <v>HILLIARD &amp; BERRY</v>
      </c>
      <c r="E17" s="27">
        <f>'Input Data'!F20</f>
        <v>138.5</v>
      </c>
      <c r="F17" s="28">
        <f ca="1">IFERROR('Input Data'!G20,"")</f>
        <v>41654</v>
      </c>
      <c r="G17" s="28">
        <f ca="1">IFERROR('Input Data'!H20,"")</f>
        <v>46965</v>
      </c>
      <c r="H17" s="29">
        <f ca="1">'Input Data'!I20</f>
        <v>14.6</v>
      </c>
      <c r="I17" s="32">
        <f ca="1">'Input Data'!V20</f>
        <v>1.7905544147843941</v>
      </c>
      <c r="J17" s="30">
        <f ca="1">'Input Data'!J20</f>
        <v>843.65</v>
      </c>
      <c r="K17" s="30">
        <f>'Input Data'!S20</f>
        <v>1030</v>
      </c>
      <c r="L17" s="30">
        <f ca="1">'Input Data'!N20</f>
        <v>116845.52499999999</v>
      </c>
      <c r="M17" s="30">
        <f>'Input Data'!L20</f>
        <v>0</v>
      </c>
      <c r="N17" s="30">
        <f>'Input Data'!M20</f>
        <v>12240</v>
      </c>
      <c r="O17" s="171">
        <f>'Input Data'!O20</f>
        <v>0</v>
      </c>
      <c r="P17" s="14" t="str">
        <f>'Input Data'!P20</f>
        <v>FIXED 4%</v>
      </c>
      <c r="Q17" s="28">
        <f>IFERROR('Input Data'!Q20,"")</f>
        <v>46600</v>
      </c>
      <c r="R17" s="14" t="str">
        <f>'Input Data'!R20</f>
        <v>Net</v>
      </c>
      <c r="S17" s="30">
        <f ca="1">'Input Data'!T20</f>
        <v>-186.35000000000002</v>
      </c>
      <c r="T17" s="31">
        <f ca="1">'Input Data'!U20</f>
        <v>-0.18092233009708741</v>
      </c>
      <c r="U17" s="27">
        <f ca="1">'Input Data'!W20</f>
        <v>247.99178644763859</v>
      </c>
      <c r="V17" s="14">
        <f>'Input Data'!X20</f>
        <v>0</v>
      </c>
    </row>
    <row r="18" spans="1:22" ht="15.75" customHeight="1" x14ac:dyDescent="0.35">
      <c r="A18" s="36" t="str">
        <f>'Input Data'!B10</f>
        <v>L03</v>
      </c>
      <c r="B18" s="36" t="str">
        <f>'Input Data'!C10</f>
        <v>303&amp;4</v>
      </c>
      <c r="C18" s="37" t="str">
        <f ca="1">'Input Data'!D10</f>
        <v>BROADRIDGE (AUSTRALIA) PTY LTD</v>
      </c>
      <c r="D18" s="37" t="str">
        <f ca="1">'Input Data'!E10</f>
        <v>BROADRIDGE (AUSTRALI) PTY LTD</v>
      </c>
      <c r="E18" s="39">
        <f>'Input Data'!F10</f>
        <v>193.4</v>
      </c>
      <c r="F18" s="40">
        <f ca="1">IFERROR('Input Data'!G10,"")</f>
        <v>45566</v>
      </c>
      <c r="G18" s="40">
        <f ca="1">IFERROR('Input Data'!H10,"")</f>
        <v>47026</v>
      </c>
      <c r="H18" s="41">
        <f ca="1">'Input Data'!I10</f>
        <v>4</v>
      </c>
      <c r="I18" s="44">
        <f ca="1">'Input Data'!V10</f>
        <v>1.9575633127994525</v>
      </c>
      <c r="J18" s="42">
        <f ca="1">'Input Data'!J10</f>
        <v>933.75</v>
      </c>
      <c r="K18" s="42">
        <f>'Input Data'!S10</f>
        <v>920</v>
      </c>
      <c r="L18" s="42">
        <f ca="1">'Input Data'!N10</f>
        <v>159625.04999999999</v>
      </c>
      <c r="M18" s="42">
        <f>'Input Data'!L10</f>
        <v>-20962.2</v>
      </c>
      <c r="N18" s="42">
        <f>'Input Data'!M10</f>
        <v>6300</v>
      </c>
      <c r="O18" s="170">
        <f>'Input Data'!O10</f>
        <v>0</v>
      </c>
      <c r="P18" s="38" t="str">
        <f>'Input Data'!P10</f>
        <v>FIXED 3.75%</v>
      </c>
      <c r="Q18" s="40">
        <f>IFERROR('Input Data'!Q10,"")</f>
        <v>46296</v>
      </c>
      <c r="R18" s="38" t="str">
        <f>'Input Data'!R10</f>
        <v>Net</v>
      </c>
      <c r="S18" s="42">
        <f ca="1">'Input Data'!T10</f>
        <v>13.75</v>
      </c>
      <c r="T18" s="43">
        <f ca="1">'Input Data'!U10</f>
        <v>1.4945652173913044E-2</v>
      </c>
      <c r="U18" s="39">
        <f ca="1">'Input Data'!W10</f>
        <v>378.59274469541413</v>
      </c>
      <c r="V18" s="38">
        <f>'Input Data'!X10</f>
        <v>0</v>
      </c>
    </row>
    <row r="19" spans="1:22" ht="15.75" customHeight="1" x14ac:dyDescent="0.35">
      <c r="A19" s="11" t="str">
        <f>'Input Data'!B8</f>
        <v>L02</v>
      </c>
      <c r="B19" s="11" t="str">
        <f>'Input Data'!C8</f>
        <v>WHOLE</v>
      </c>
      <c r="C19" s="26" t="str">
        <f ca="1">'Input Data'!D8</f>
        <v>PRINCETON FINANCIAL SERVICES</v>
      </c>
      <c r="D19" s="26" t="str">
        <f ca="1">'Input Data'!E8</f>
        <v>PRINCETON FINANCIAL SERVICES</v>
      </c>
      <c r="E19" s="27">
        <f>'Input Data'!F8</f>
        <v>393.2</v>
      </c>
      <c r="F19" s="28">
        <f ca="1">IFERROR('Input Data'!G8,"")</f>
        <v>45292</v>
      </c>
      <c r="G19" s="28">
        <f ca="1">IFERROR('Input Data'!H8,"")</f>
        <v>47118</v>
      </c>
      <c r="H19" s="29">
        <f ca="1">'Input Data'!I8</f>
        <v>5</v>
      </c>
      <c r="I19" s="32">
        <f ca="1">'Input Data'!V8</f>
        <v>2.2094455852156059</v>
      </c>
      <c r="J19" s="30">
        <f ca="1">'Input Data'!J8</f>
        <v>1081.5999999999999</v>
      </c>
      <c r="K19" s="30">
        <f>'Input Data'!S8</f>
        <v>1095</v>
      </c>
      <c r="L19" s="30">
        <f ca="1">'Input Data'!N8</f>
        <v>401703.31999999995</v>
      </c>
      <c r="M19" s="30">
        <f>'Input Data'!L8</f>
        <v>-23581.8</v>
      </c>
      <c r="N19" s="30">
        <f>'Input Data'!M8</f>
        <v>16200</v>
      </c>
      <c r="O19" s="171">
        <f>'Input Data'!O8</f>
        <v>0</v>
      </c>
      <c r="P19" s="14" t="str">
        <f>'Input Data'!P8</f>
        <v>FIXED 4%</v>
      </c>
      <c r="Q19" s="28">
        <f>IFERROR('Input Data'!Q8,"")</f>
        <v>46388</v>
      </c>
      <c r="R19" s="14" t="str">
        <f>'Input Data'!R8</f>
        <v>Net</v>
      </c>
      <c r="S19" s="30">
        <f ca="1">'Input Data'!T8</f>
        <v>-13.400000000000091</v>
      </c>
      <c r="T19" s="31">
        <f ca="1">'Input Data'!U8</f>
        <v>-1.2237442922374513E-2</v>
      </c>
      <c r="U19" s="27">
        <f ca="1">'Input Data'!W8</f>
        <v>868.75400410677616</v>
      </c>
      <c r="V19" s="14">
        <f>'Input Data'!X8</f>
        <v>0</v>
      </c>
    </row>
    <row r="20" spans="1:22" ht="15.75" customHeight="1" x14ac:dyDescent="0.35">
      <c r="A20" s="36" t="str">
        <f>'Input Data'!B3</f>
        <v>BSMT</v>
      </c>
      <c r="B20" s="36" t="str">
        <f>'Input Data'!C3</f>
        <v>LWR GROUND</v>
      </c>
      <c r="C20" s="37" t="str">
        <f ca="1">'Input Data'!D3</f>
        <v>OPULENT TWO ENTERPRISES</v>
      </c>
      <c r="D20" s="37" t="str">
        <f ca="1">'Input Data'!E3</f>
        <v>OPULENT TWO ENTERPRISES</v>
      </c>
      <c r="E20" s="39">
        <f>'Input Data'!F3</f>
        <v>151.19999999999999</v>
      </c>
      <c r="F20" s="40">
        <f ca="1">IFERROR('Input Data'!G3,"")</f>
        <v>42401</v>
      </c>
      <c r="G20" s="40">
        <f ca="1">IFERROR('Input Data'!H3,"")</f>
        <v>47149</v>
      </c>
      <c r="H20" s="41">
        <f ca="1">'Input Data'!I3</f>
        <v>13</v>
      </c>
      <c r="I20" s="44">
        <f ca="1">'Input Data'!V3</f>
        <v>2.2943189596167008</v>
      </c>
      <c r="J20" s="42">
        <f ca="1">'Input Data'!J3</f>
        <v>1002.01</v>
      </c>
      <c r="K20" s="42">
        <f>'Input Data'!S3</f>
        <v>930</v>
      </c>
      <c r="L20" s="42">
        <f ca="1">'Input Data'!N3</f>
        <v>123489.07199999999</v>
      </c>
      <c r="M20" s="42">
        <f>'Input Data'!L3</f>
        <v>-28014.84</v>
      </c>
      <c r="N20" s="42">
        <f>'Input Data'!M3</f>
        <v>15000</v>
      </c>
      <c r="O20" s="170">
        <f>'Input Data'!O3</f>
        <v>0</v>
      </c>
      <c r="P20" s="38" t="str">
        <f>'Input Data'!P3</f>
        <v>FIXED 4%</v>
      </c>
      <c r="Q20" s="40">
        <f>IFERROR('Input Data'!Q3,"")</f>
        <v>46419</v>
      </c>
      <c r="R20" s="38" t="str">
        <f>'Input Data'!R3</f>
        <v>Net</v>
      </c>
      <c r="S20" s="42">
        <f ca="1">'Input Data'!T3</f>
        <v>72.009999999999991</v>
      </c>
      <c r="T20" s="43">
        <f ca="1">'Input Data'!U3</f>
        <v>7.7430107526881717E-2</v>
      </c>
      <c r="U20" s="39">
        <f ca="1">'Input Data'!W3</f>
        <v>346.90102669404513</v>
      </c>
      <c r="V20" s="38">
        <f>'Input Data'!X3</f>
        <v>0</v>
      </c>
    </row>
    <row r="21" spans="1:22" ht="15.75" customHeight="1" x14ac:dyDescent="0.35">
      <c r="A21" s="11" t="str">
        <f>'Input Data'!B11</f>
        <v>L04</v>
      </c>
      <c r="B21" s="11" t="str">
        <f>'Input Data'!C11</f>
        <v>401</v>
      </c>
      <c r="C21" s="26" t="str">
        <f ca="1">'Input Data'!D11</f>
        <v>B-W INTERNATIONAL AUSTRALIA PTY LTD</v>
      </c>
      <c r="D21" s="26" t="str">
        <f ca="1">'Input Data'!E11</f>
        <v>B-W INTERNATIONAL AUSTRALIA PTY LTD</v>
      </c>
      <c r="E21" s="27">
        <f>'Input Data'!F11</f>
        <v>214.1</v>
      </c>
      <c r="F21" s="28">
        <f ca="1">IFERROR('Input Data'!G11,"")</f>
        <v>45352</v>
      </c>
      <c r="G21" s="28">
        <f ca="1">IFERROR('Input Data'!H11,"")</f>
        <v>47177</v>
      </c>
      <c r="H21" s="29">
        <f ca="1">'Input Data'!I11</f>
        <v>5</v>
      </c>
      <c r="I21" s="32">
        <f ca="1">'Input Data'!V11</f>
        <v>2.3709787816563996</v>
      </c>
      <c r="J21" s="30">
        <f ca="1">'Input Data'!J11</f>
        <v>1135.6099999999999</v>
      </c>
      <c r="K21" s="30">
        <f>'Input Data'!S11</f>
        <v>1145</v>
      </c>
      <c r="L21" s="30">
        <f ca="1">'Input Data'!N11</f>
        <v>188930.34099999996</v>
      </c>
      <c r="M21" s="30">
        <f>'Input Data'!L11</f>
        <v>-54203.76</v>
      </c>
      <c r="N21" s="30">
        <f>'Input Data'!M11</f>
        <v>8700</v>
      </c>
      <c r="O21" s="171">
        <f>'Input Data'!O11</f>
        <v>0</v>
      </c>
      <c r="P21" s="14" t="str">
        <f>'Input Data'!P11</f>
        <v>FIXED 3.75%</v>
      </c>
      <c r="Q21" s="28">
        <f>IFERROR('Input Data'!Q11,"")</f>
        <v>46447</v>
      </c>
      <c r="R21" s="14" t="str">
        <f>'Input Data'!R11</f>
        <v>Net</v>
      </c>
      <c r="S21" s="30">
        <f ca="1">'Input Data'!T11</f>
        <v>-9.3900000000001</v>
      </c>
      <c r="T21" s="31">
        <f ca="1">'Input Data'!U11</f>
        <v>-8.2008733624455016E-3</v>
      </c>
      <c r="U21" s="27">
        <f ca="1">'Input Data'!W11</f>
        <v>507.62655715263514</v>
      </c>
      <c r="V21" s="14">
        <f>'Input Data'!X11</f>
        <v>0</v>
      </c>
    </row>
    <row r="22" spans="1:22" ht="15.75" customHeight="1" x14ac:dyDescent="0.35">
      <c r="A22" s="36" t="str">
        <f>'Input Data'!B23</f>
        <v>L10</v>
      </c>
      <c r="B22" s="36" t="str">
        <f>'Input Data'!C23</f>
        <v>1001&amp;2</v>
      </c>
      <c r="C22" s="37" t="str">
        <f ca="1">'Input Data'!D23</f>
        <v>CONNECTUS SERVICES PTY LTD</v>
      </c>
      <c r="D22" s="37" t="str">
        <f ca="1">'Input Data'!E23</f>
        <v>CONNECTUS</v>
      </c>
      <c r="E22" s="39">
        <f>'Input Data'!F23</f>
        <v>363.2</v>
      </c>
      <c r="F22" s="40">
        <f ca="1">IFERROR('Input Data'!G23,"")</f>
        <v>45261</v>
      </c>
      <c r="G22" s="40">
        <f ca="1">IFERROR('Input Data'!H23,"")</f>
        <v>47452</v>
      </c>
      <c r="H22" s="41">
        <f ca="1">'Input Data'!I23</f>
        <v>6</v>
      </c>
      <c r="I22" s="44">
        <f ca="1">'Input Data'!V23</f>
        <v>3.1238877481177276</v>
      </c>
      <c r="J22" s="42">
        <f ca="1">'Input Data'!J23</f>
        <v>1189.67</v>
      </c>
      <c r="K22" s="42">
        <f>'Input Data'!S23</f>
        <v>1200</v>
      </c>
      <c r="L22" s="42">
        <f ca="1">'Input Data'!N23</f>
        <v>317550.18400000001</v>
      </c>
      <c r="M22" s="42">
        <f>'Input Data'!L23</f>
        <v>-114537.96</v>
      </c>
      <c r="N22" s="42">
        <f>'Input Data'!M23</f>
        <v>15000</v>
      </c>
      <c r="O22" s="170">
        <f>'Input Data'!O23</f>
        <v>0</v>
      </c>
      <c r="P22" s="38" t="str">
        <f>'Input Data'!P23</f>
        <v>FIXED</v>
      </c>
      <c r="Q22" s="40">
        <f>IFERROR('Input Data'!Q23,"")</f>
        <v>46357</v>
      </c>
      <c r="R22" s="38" t="str">
        <f>'Input Data'!R23</f>
        <v>Net</v>
      </c>
      <c r="S22" s="42">
        <f ca="1">'Input Data'!T23</f>
        <v>-10.329999999999927</v>
      </c>
      <c r="T22" s="43">
        <f ca="1">'Input Data'!U23</f>
        <v>-8.6083333333332734E-3</v>
      </c>
      <c r="U22" s="39">
        <f ca="1">'Input Data'!W23</f>
        <v>1134.5960301163586</v>
      </c>
      <c r="V22" s="38">
        <f>'Input Data'!X23</f>
        <v>0</v>
      </c>
    </row>
    <row r="23" spans="1:22" ht="15.75" customHeight="1" x14ac:dyDescent="0.35">
      <c r="A23" s="11" t="str">
        <f>'Input Data'!B12</f>
        <v>L04</v>
      </c>
      <c r="B23" s="11" t="str">
        <f>'Input Data'!C12</f>
        <v>402</v>
      </c>
      <c r="C23" s="26" t="str">
        <f ca="1">'Input Data'!D12</f>
        <v>MP TRAVEL PTY LTD</v>
      </c>
      <c r="D23" s="26" t="str">
        <f ca="1">'Input Data'!E12</f>
        <v>GRAY DAWES TRAVEL</v>
      </c>
      <c r="E23" s="27">
        <f>'Input Data'!F12</f>
        <v>145.6</v>
      </c>
      <c r="F23" s="28">
        <f ca="1">IFERROR('Input Data'!G12,"")</f>
        <v>45658</v>
      </c>
      <c r="G23" s="28">
        <f ca="1">IFERROR('Input Data'!H12,"")</f>
        <v>47483</v>
      </c>
      <c r="H23" s="29">
        <f ca="1">'Input Data'!I12</f>
        <v>5</v>
      </c>
      <c r="I23" s="32">
        <f ca="1">'Input Data'!V12</f>
        <v>3.2087611225188226</v>
      </c>
      <c r="J23" s="30">
        <f ca="1">'Input Data'!J12</f>
        <v>1037.5</v>
      </c>
      <c r="K23" s="30">
        <f>'Input Data'!S12</f>
        <v>1000</v>
      </c>
      <c r="L23" s="30">
        <f ca="1">'Input Data'!N12</f>
        <v>133384.12</v>
      </c>
      <c r="M23" s="30">
        <f>'Input Data'!L12</f>
        <v>-17675.88</v>
      </c>
      <c r="N23" s="30">
        <f>'Input Data'!M12</f>
        <v>6000</v>
      </c>
      <c r="O23" s="171">
        <f>'Input Data'!O12</f>
        <v>0</v>
      </c>
      <c r="P23" s="14" t="str">
        <f>'Input Data'!P12</f>
        <v>FIXED 3.75%</v>
      </c>
      <c r="Q23" s="28">
        <f>IFERROR('Input Data'!Q12,"")</f>
        <v>46388</v>
      </c>
      <c r="R23" s="14" t="str">
        <f>'Input Data'!R12</f>
        <v>Net</v>
      </c>
      <c r="S23" s="30">
        <f ca="1">'Input Data'!T12</f>
        <v>37.5</v>
      </c>
      <c r="T23" s="31">
        <f ca="1">'Input Data'!U12</f>
        <v>3.7499999999999999E-2</v>
      </c>
      <c r="U23" s="27">
        <f ca="1">'Input Data'!W12</f>
        <v>467.19561943874055</v>
      </c>
      <c r="V23" s="14">
        <f>'Input Data'!X12</f>
        <v>0</v>
      </c>
    </row>
    <row r="24" spans="1:22" ht="15.75" customHeight="1" x14ac:dyDescent="0.35">
      <c r="A24" s="36" t="str">
        <f>'Input Data'!B22</f>
        <v>L09</v>
      </c>
      <c r="B24" s="36" t="str">
        <f>'Input Data'!C22</f>
        <v>902&amp;3</v>
      </c>
      <c r="C24" s="37" t="str">
        <f ca="1">'Input Data'!D22</f>
        <v>CAPITAL E MARKETING AND EVENTS PTY LTD</v>
      </c>
      <c r="D24" s="37" t="str">
        <f ca="1">'Input Data'!E22</f>
        <v>CAPITAL E MARKETING AND EVENTS</v>
      </c>
      <c r="E24" s="39">
        <f>'Input Data'!F22</f>
        <v>303</v>
      </c>
      <c r="F24" s="40">
        <f ca="1">IFERROR('Input Data'!G22,"")</f>
        <v>44562</v>
      </c>
      <c r="G24" s="40">
        <f ca="1">IFERROR('Input Data'!H22,"")</f>
        <v>47573</v>
      </c>
      <c r="H24" s="41">
        <f ca="1">'Input Data'!I22</f>
        <v>8.1999999999999993</v>
      </c>
      <c r="I24" s="44">
        <f ca="1">'Input Data'!V22</f>
        <v>3.4551676933607118</v>
      </c>
      <c r="J24" s="42">
        <f ca="1">'Input Data'!J22</f>
        <v>1141.25</v>
      </c>
      <c r="K24" s="42">
        <f>'Input Data'!S22</f>
        <v>1125</v>
      </c>
      <c r="L24" s="42">
        <f ca="1">'Input Data'!N22</f>
        <v>255323.07</v>
      </c>
      <c r="M24" s="42">
        <f>'Input Data'!L22</f>
        <v>-90475.68</v>
      </c>
      <c r="N24" s="42">
        <f>'Input Data'!M22</f>
        <v>9300</v>
      </c>
      <c r="O24" s="170">
        <f>'Input Data'!O22</f>
        <v>0</v>
      </c>
      <c r="P24" s="38" t="str">
        <f>'Input Data'!P22</f>
        <v>FIXED 3.75%</v>
      </c>
      <c r="Q24" s="40">
        <f>IFERROR('Input Data'!Q22,"")</f>
        <v>46478</v>
      </c>
      <c r="R24" s="38" t="str">
        <f>'Input Data'!R22</f>
        <v>Net</v>
      </c>
      <c r="S24" s="42">
        <f ca="1">'Input Data'!T22</f>
        <v>16.25</v>
      </c>
      <c r="T24" s="43">
        <f ca="1">'Input Data'!U22</f>
        <v>1.4444444444444444E-2</v>
      </c>
      <c r="U24" s="39">
        <f ca="1">'Input Data'!W22</f>
        <v>1046.9158110882956</v>
      </c>
      <c r="V24" s="38">
        <f>'Input Data'!X22</f>
        <v>0</v>
      </c>
    </row>
    <row r="25" spans="1:22" ht="15.75" customHeight="1" x14ac:dyDescent="0.35">
      <c r="A25" s="11" t="str">
        <f>'Input Data'!B19</f>
        <v>L08</v>
      </c>
      <c r="B25" s="11" t="str">
        <f>'Input Data'!C19</f>
        <v>801</v>
      </c>
      <c r="C25" s="26" t="str">
        <f ca="1">'Input Data'!D19</f>
        <v>ARKANCE AUSTRALIA PTY LTD</v>
      </c>
      <c r="D25" s="26" t="str">
        <f ca="1">'Input Data'!E19</f>
        <v>ARKANCE AUSTRALIA PTY LTD</v>
      </c>
      <c r="E25" s="27">
        <f>'Input Data'!F19</f>
        <v>222</v>
      </c>
      <c r="F25" s="28">
        <f ca="1">IFERROR('Input Data'!G19,"")</f>
        <v>45931</v>
      </c>
      <c r="G25" s="28">
        <f ca="1">IFERROR('Input Data'!H19,"")</f>
        <v>47756</v>
      </c>
      <c r="H25" s="29">
        <f ca="1">'Input Data'!I19</f>
        <v>5</v>
      </c>
      <c r="I25" s="32">
        <f ca="1">'Input Data'!V19</f>
        <v>3.9561943874058865</v>
      </c>
      <c r="J25" s="30">
        <f ca="1">'Input Data'!J19</f>
        <v>1300</v>
      </c>
      <c r="K25" s="30">
        <f>'Input Data'!S19</f>
        <v>1300</v>
      </c>
      <c r="L25" s="30">
        <f ca="1">'Input Data'!N19</f>
        <v>242424</v>
      </c>
      <c r="M25" s="30">
        <f>'Input Data'!L19</f>
        <v>-46176</v>
      </c>
      <c r="N25" s="30">
        <f>'Input Data'!M19</f>
        <v>1500</v>
      </c>
      <c r="O25" s="171">
        <f>'Input Data'!O19</f>
        <v>0</v>
      </c>
      <c r="P25" s="14" t="str">
        <f>'Input Data'!P19</f>
        <v>FIXED 3.75%</v>
      </c>
      <c r="Q25" s="28">
        <f>IFERROR('Input Data'!Q19,"")</f>
        <v>46296</v>
      </c>
      <c r="R25" s="14" t="str">
        <f>'Input Data'!R19</f>
        <v>Net</v>
      </c>
      <c r="S25" s="30">
        <f ca="1">'Input Data'!T19</f>
        <v>0</v>
      </c>
      <c r="T25" s="31">
        <f ca="1">'Input Data'!U19</f>
        <v>0</v>
      </c>
      <c r="U25" s="27">
        <f ca="1">'Input Data'!W19</f>
        <v>878.27515400410675</v>
      </c>
      <c r="V25" s="14">
        <f>'Input Data'!X19</f>
        <v>0</v>
      </c>
    </row>
    <row r="26" spans="1:22" ht="15.75" customHeight="1" x14ac:dyDescent="0.35">
      <c r="A26" s="36" t="str">
        <f>'Input Data'!B4</f>
        <v>GF</v>
      </c>
      <c r="B26" s="36" t="str">
        <f>'Input Data'!C4</f>
        <v>GROUND</v>
      </c>
      <c r="C26" s="37" t="str">
        <f ca="1">'Input Data'!D4</f>
        <v>RCVRI MARTIN PLACE PTY LTD</v>
      </c>
      <c r="D26" s="37" t="str">
        <f ca="1">'Input Data'!E4</f>
        <v>RECOVERIE</v>
      </c>
      <c r="E26" s="39">
        <f>'Input Data'!F4</f>
        <v>298.3</v>
      </c>
      <c r="F26" s="40">
        <f ca="1">IFERROR('Input Data'!G4,"")</f>
        <v>45678</v>
      </c>
      <c r="G26" s="40">
        <f ca="1">IFERROR('Input Data'!H4,"")</f>
        <v>48233</v>
      </c>
      <c r="H26" s="41">
        <f ca="1">'Input Data'!I4</f>
        <v>7</v>
      </c>
      <c r="I26" s="44">
        <f ca="1">'Input Data'!V4</f>
        <v>5.2621492128678984</v>
      </c>
      <c r="J26" s="42">
        <f ca="1">'Input Data'!J4</f>
        <v>1150.52</v>
      </c>
      <c r="K26" s="42">
        <f>'Input Data'!S4</f>
        <v>1100</v>
      </c>
      <c r="L26" s="42">
        <f ca="1">'Input Data'!N4</f>
        <v>272485.79599999997</v>
      </c>
      <c r="M26" s="42">
        <f>'Input Data'!L4</f>
        <v>-70714.320000000007</v>
      </c>
      <c r="N26" s="42">
        <f>'Input Data'!M4</f>
        <v>10408.32</v>
      </c>
      <c r="O26" s="170">
        <f>'Input Data'!O4</f>
        <v>0</v>
      </c>
      <c r="P26" s="38" t="str">
        <f>'Input Data'!P4</f>
        <v>FIXED 4%</v>
      </c>
      <c r="Q26" s="40">
        <f>IFERROR('Input Data'!Q4,"")</f>
        <v>46408</v>
      </c>
      <c r="R26" s="38" t="str">
        <f>'Input Data'!R4</f>
        <v>Gross</v>
      </c>
      <c r="S26" s="42">
        <f ca="1">'Input Data'!T4</f>
        <v>50.519999999999982</v>
      </c>
      <c r="T26" s="43">
        <f ca="1">'Input Data'!U4</f>
        <v>4.5927272727272712E-2</v>
      </c>
      <c r="U26" s="39">
        <f ca="1">'Input Data'!W4</f>
        <v>1569.6991101984941</v>
      </c>
      <c r="V26" s="38">
        <f>'Input Data'!X4</f>
        <v>0</v>
      </c>
    </row>
    <row r="27" spans="1:22" ht="15.75" customHeight="1" x14ac:dyDescent="0.35">
      <c r="A27" s="60" t="str">
        <f>'Input Data'!B27</f>
        <v>L11</v>
      </c>
      <c r="B27" s="69" t="str">
        <f>'Input Data'!C27</f>
        <v>1103</v>
      </c>
      <c r="C27" s="54" t="str">
        <f ca="1">'Input Data'!D27</f>
        <v>INTERFI SYSTEMS PTY LTD</v>
      </c>
      <c r="D27" s="54" t="str">
        <f ca="1">'Input Data'!E27</f>
        <v>INTERFI SYSTEMS</v>
      </c>
      <c r="E27" s="62">
        <f>'Input Data'!F27</f>
        <v>160.30000000000001</v>
      </c>
      <c r="F27" s="63">
        <f ca="1">IFERROR('Input Data'!G27,"")</f>
        <v>46218</v>
      </c>
      <c r="G27" s="63">
        <f ca="1">IFERROR('Input Data'!H27,"")</f>
        <v>47313</v>
      </c>
      <c r="H27" s="64">
        <f ca="1">'Input Data'!I27</f>
        <v>3</v>
      </c>
      <c r="I27" s="67">
        <f ca="1">'Input Data'!V27</f>
        <v>2.7433264887063653</v>
      </c>
      <c r="J27" s="65">
        <f ca="1">'Input Data'!J27</f>
        <v>1150</v>
      </c>
      <c r="K27" s="65">
        <f>'Input Data'!S27</f>
        <v>1060</v>
      </c>
      <c r="L27" s="65">
        <f ca="1">'Input Data'!N27</f>
        <v>129041.5</v>
      </c>
      <c r="M27" s="65">
        <f>'Input Data'!L27</f>
        <v>-55303.5</v>
      </c>
      <c r="N27" s="65">
        <f>'Input Data'!M27</f>
        <v>0</v>
      </c>
      <c r="O27" s="168">
        <f>'Input Data'!O27</f>
        <v>0</v>
      </c>
      <c r="P27" s="61" t="str">
        <f>'Input Data'!P27</f>
        <v>FIXED 4.0%</v>
      </c>
      <c r="Q27" s="63">
        <f>IFERROR('Input Data'!Q27,"")</f>
        <v>46583</v>
      </c>
      <c r="R27" s="61" t="str">
        <f>'Input Data'!R27</f>
        <v>Net</v>
      </c>
      <c r="S27" s="65">
        <f ca="1">'Input Data'!T27</f>
        <v>90</v>
      </c>
      <c r="T27" s="66">
        <f ca="1">'Input Data'!U27</f>
        <v>8.4905660377358486E-2</v>
      </c>
      <c r="U27" s="62">
        <f ca="1">'Input Data'!W27</f>
        <v>439.75523613963037</v>
      </c>
      <c r="V27" s="54" t="str">
        <f>'Input Data'!X27</f>
        <v>Interfi Systems (correct spelling per Jul26 TS, previously recorded as "Inferni Systems") — 3 yr term from 15/7/26 to 14/7/29, $1,150 psm. Jul26 TS confirms no Outgoings Cont or car parks for this suite (cleaning charged separately, not tracked in Outgoings PA column).</v>
      </c>
    </row>
  </sheetData>
  <mergeCells count="1">
    <mergeCell ref="A1:V1"/>
  </mergeCells>
  <pageMargins left="0.75" right="0.75" top="1" bottom="1" header="0.51180555555555596" footer="0.51180555555555596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0"/>
  <sheetViews>
    <sheetView showGridLines="0" zoomScaleNormal="100" workbookViewId="0">
      <selection activeCell="A10" sqref="A10"/>
    </sheetView>
  </sheetViews>
  <sheetFormatPr defaultColWidth="8.6328125" defaultRowHeight="14.5" x14ac:dyDescent="0.35"/>
  <cols>
    <col min="1" max="1" width="12" customWidth="1"/>
    <col min="2" max="2" width="28" customWidth="1"/>
    <col min="3" max="3" width="14" customWidth="1"/>
    <col min="4" max="5" width="10" customWidth="1"/>
    <col min="6" max="6" width="12" customWidth="1"/>
    <col min="7" max="7" width="10" customWidth="1"/>
    <col min="8" max="9" width="14" customWidth="1"/>
    <col min="10" max="10" width="10" customWidth="1"/>
    <col min="11" max="11" width="11" customWidth="1"/>
    <col min="12" max="13" width="14" customWidth="1"/>
    <col min="14" max="14" width="12" customWidth="1"/>
    <col min="15" max="15" width="30" customWidth="1"/>
  </cols>
  <sheetData>
    <row r="1" spans="1:15" ht="27.75" customHeight="1" x14ac:dyDescent="0.35">
      <c r="A1" s="408" t="s">
        <v>371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8"/>
      <c r="O1" s="5"/>
    </row>
    <row r="2" spans="1:15" ht="27.75" customHeight="1" x14ac:dyDescent="0.35">
      <c r="A2" s="23" t="s">
        <v>372</v>
      </c>
      <c r="B2" s="23" t="s">
        <v>64</v>
      </c>
      <c r="C2" s="23" t="s">
        <v>373</v>
      </c>
      <c r="D2" s="23" t="s">
        <v>232</v>
      </c>
      <c r="E2" s="23" t="s">
        <v>66</v>
      </c>
      <c r="F2" s="23" t="s">
        <v>374</v>
      </c>
      <c r="G2" s="23" t="s">
        <v>375</v>
      </c>
      <c r="H2" s="23" t="s">
        <v>376</v>
      </c>
      <c r="I2" s="23" t="s">
        <v>377</v>
      </c>
      <c r="J2" s="23" t="s">
        <v>378</v>
      </c>
      <c r="K2" s="23" t="s">
        <v>379</v>
      </c>
      <c r="L2" s="23" t="s">
        <v>380</v>
      </c>
      <c r="M2" s="23" t="s">
        <v>381</v>
      </c>
      <c r="N2" s="23" t="s">
        <v>382</v>
      </c>
      <c r="O2" s="23" t="s">
        <v>84</v>
      </c>
    </row>
    <row r="3" spans="1:15" ht="15.75" customHeight="1" x14ac:dyDescent="0.35">
      <c r="A3" s="28">
        <v>45931</v>
      </c>
      <c r="B3" s="14" t="s">
        <v>383</v>
      </c>
      <c r="C3" s="101" t="s">
        <v>384</v>
      </c>
      <c r="D3" s="11" t="s">
        <v>385</v>
      </c>
      <c r="E3" s="27">
        <v>193.4</v>
      </c>
      <c r="F3" s="30">
        <v>900</v>
      </c>
      <c r="G3" s="12">
        <v>3.7499999999999999E-2</v>
      </c>
      <c r="H3" s="28">
        <v>45931</v>
      </c>
      <c r="I3" s="28">
        <v>46660</v>
      </c>
      <c r="J3" s="11" t="s">
        <v>386</v>
      </c>
      <c r="K3" s="172">
        <v>0.31</v>
      </c>
      <c r="L3" s="30">
        <v>110228</v>
      </c>
      <c r="M3" s="30">
        <v>83849</v>
      </c>
      <c r="N3" s="30">
        <v>21758</v>
      </c>
      <c r="O3" s="147"/>
    </row>
    <row r="4" spans="1:15" ht="15.75" customHeight="1" x14ac:dyDescent="0.35">
      <c r="A4" s="40">
        <v>45839</v>
      </c>
      <c r="B4" s="38" t="s">
        <v>387</v>
      </c>
      <c r="C4" s="101" t="s">
        <v>384</v>
      </c>
      <c r="D4" s="36" t="s">
        <v>388</v>
      </c>
      <c r="E4" s="39">
        <v>145.6</v>
      </c>
      <c r="F4" s="42">
        <v>1000</v>
      </c>
      <c r="G4" s="173">
        <v>3.7499999999999999E-2</v>
      </c>
      <c r="H4" s="40">
        <v>45658</v>
      </c>
      <c r="I4" s="40">
        <v>47483</v>
      </c>
      <c r="J4" s="36" t="s">
        <v>389</v>
      </c>
      <c r="K4" s="174">
        <v>0.32</v>
      </c>
      <c r="L4" s="42">
        <v>144581</v>
      </c>
      <c r="M4" s="42">
        <v>88357</v>
      </c>
      <c r="N4" s="42">
        <v>0</v>
      </c>
      <c r="O4" s="110"/>
    </row>
    <row r="5" spans="1:15" ht="15.75" customHeight="1" x14ac:dyDescent="0.35">
      <c r="A5" s="28">
        <v>45678</v>
      </c>
      <c r="B5" s="14" t="s">
        <v>390</v>
      </c>
      <c r="C5" s="101" t="s">
        <v>384</v>
      </c>
      <c r="D5" s="11" t="s">
        <v>96</v>
      </c>
      <c r="E5" s="27">
        <v>298.3</v>
      </c>
      <c r="F5" s="30">
        <v>1106.27</v>
      </c>
      <c r="G5" s="12">
        <v>0.04</v>
      </c>
      <c r="H5" s="28">
        <v>45678</v>
      </c>
      <c r="I5" s="28">
        <v>48233</v>
      </c>
      <c r="J5" s="11" t="s">
        <v>391</v>
      </c>
      <c r="K5" s="172">
        <v>0.25</v>
      </c>
      <c r="L5" s="30">
        <v>82500</v>
      </c>
      <c r="M5" s="30">
        <v>495000</v>
      </c>
      <c r="N5" s="30">
        <v>0</v>
      </c>
      <c r="O5" s="147"/>
    </row>
    <row r="6" spans="1:15" ht="15.75" customHeight="1" x14ac:dyDescent="0.35">
      <c r="A6" s="40">
        <v>45292</v>
      </c>
      <c r="B6" s="38" t="s">
        <v>392</v>
      </c>
      <c r="C6" s="11" t="s">
        <v>393</v>
      </c>
      <c r="D6" s="36" t="s">
        <v>394</v>
      </c>
      <c r="E6" s="39">
        <v>303</v>
      </c>
      <c r="F6" s="42">
        <v>1100</v>
      </c>
      <c r="G6" s="173">
        <v>3.7499999999999999E-2</v>
      </c>
      <c r="H6" s="40">
        <v>44562</v>
      </c>
      <c r="I6" s="40">
        <v>47573</v>
      </c>
      <c r="J6" s="36" t="s">
        <v>389</v>
      </c>
      <c r="K6" s="174">
        <v>0.34</v>
      </c>
      <c r="L6" s="42">
        <v>0</v>
      </c>
      <c r="M6" s="42">
        <v>533280</v>
      </c>
      <c r="N6" s="42">
        <v>33330</v>
      </c>
      <c r="O6" s="110"/>
    </row>
    <row r="7" spans="1:15" ht="15.75" customHeight="1" x14ac:dyDescent="0.35">
      <c r="A7" s="28">
        <v>46189</v>
      </c>
      <c r="B7" s="14" t="s">
        <v>395</v>
      </c>
      <c r="C7" s="11" t="s">
        <v>393</v>
      </c>
      <c r="D7" s="11">
        <v>1.04</v>
      </c>
      <c r="E7" s="27">
        <v>162.4</v>
      </c>
      <c r="F7" s="30">
        <v>1012.37</v>
      </c>
      <c r="G7" s="12">
        <v>0.04</v>
      </c>
      <c r="H7" s="28">
        <v>42795</v>
      </c>
      <c r="I7" s="28">
        <v>46203</v>
      </c>
      <c r="J7" s="11" t="s">
        <v>396</v>
      </c>
      <c r="K7" s="172">
        <v>0.22</v>
      </c>
      <c r="L7" s="30">
        <v>0</v>
      </c>
      <c r="M7" s="30">
        <v>44690</v>
      </c>
      <c r="N7" s="30">
        <v>0</v>
      </c>
      <c r="O7" s="147"/>
    </row>
    <row r="8" spans="1:15" ht="15.75" customHeight="1" x14ac:dyDescent="0.35">
      <c r="A8" s="28">
        <v>46058</v>
      </c>
      <c r="B8" s="14" t="s">
        <v>397</v>
      </c>
      <c r="C8" s="11" t="s">
        <v>393</v>
      </c>
      <c r="D8" s="11" t="s">
        <v>398</v>
      </c>
      <c r="E8" s="27">
        <v>96.3</v>
      </c>
      <c r="F8" s="30">
        <v>1022</v>
      </c>
      <c r="G8" s="12">
        <v>0.04</v>
      </c>
      <c r="H8" s="28">
        <v>44378</v>
      </c>
      <c r="I8" s="28">
        <v>46918</v>
      </c>
      <c r="J8" s="11" t="s">
        <v>399</v>
      </c>
      <c r="K8" s="12">
        <v>8.5000000000000006E-2</v>
      </c>
      <c r="L8" s="30">
        <v>0</v>
      </c>
      <c r="M8" s="30">
        <v>18043.21</v>
      </c>
      <c r="N8" s="30">
        <v>0</v>
      </c>
      <c r="O8" s="147"/>
    </row>
    <row r="9" spans="1:15" ht="14.25" customHeight="1" x14ac:dyDescent="0.35">
      <c r="A9" s="158">
        <v>46176</v>
      </c>
      <c r="B9" s="22" t="s">
        <v>177</v>
      </c>
      <c r="C9" s="101" t="s">
        <v>384</v>
      </c>
      <c r="D9" s="156">
        <v>11.02</v>
      </c>
      <c r="E9" s="157">
        <v>133.1</v>
      </c>
      <c r="F9" s="161">
        <v>1271.0999999999999</v>
      </c>
      <c r="G9" s="175">
        <v>0.04</v>
      </c>
      <c r="H9" s="158">
        <v>46249</v>
      </c>
      <c r="I9" s="158">
        <v>46979</v>
      </c>
      <c r="J9" s="156" t="s">
        <v>399</v>
      </c>
      <c r="K9" s="176">
        <v>0.18</v>
      </c>
      <c r="L9" s="161">
        <v>0</v>
      </c>
      <c r="M9" s="161">
        <v>60906.02</v>
      </c>
      <c r="N9" s="161">
        <v>0</v>
      </c>
      <c r="O9" s="116"/>
    </row>
    <row r="10" spans="1:15" ht="14.25" customHeight="1" x14ac:dyDescent="0.35">
      <c r="A10" s="28">
        <v>46192</v>
      </c>
      <c r="B10" s="14" t="s">
        <v>400</v>
      </c>
      <c r="C10" s="101" t="s">
        <v>384</v>
      </c>
      <c r="D10" s="11">
        <v>11.03</v>
      </c>
      <c r="E10" s="27">
        <v>160.30000000000001</v>
      </c>
      <c r="F10" s="30">
        <v>1150</v>
      </c>
      <c r="G10" s="12">
        <v>0.04</v>
      </c>
      <c r="H10" s="28">
        <v>46218</v>
      </c>
      <c r="I10" s="28">
        <v>47313</v>
      </c>
      <c r="J10" s="11" t="s">
        <v>396</v>
      </c>
      <c r="K10" s="172">
        <v>0.3</v>
      </c>
      <c r="L10" s="30">
        <v>0</v>
      </c>
      <c r="M10" s="30">
        <f>1035*E10</f>
        <v>165910.5</v>
      </c>
      <c r="N10" s="30">
        <v>0</v>
      </c>
      <c r="O10" s="147"/>
    </row>
    <row r="11" spans="1:15" ht="14.25" customHeight="1" x14ac:dyDescent="0.35">
      <c r="A11" s="5"/>
      <c r="B11" s="5"/>
      <c r="C11" s="5"/>
      <c r="D11" s="5"/>
      <c r="E11" s="5"/>
      <c r="F11" s="177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ht="19.5" customHeight="1" x14ac:dyDescent="0.35">
      <c r="A13" s="348" t="s">
        <v>401</v>
      </c>
      <c r="B13" s="348"/>
      <c r="C13" s="348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ht="15.75" customHeight="1" x14ac:dyDescent="0.35">
      <c r="A14" s="324" t="str">
        <f ca="1">CONCATENATE("WALE by NLA (Current — ",TEXT(TODAY(),"mmm yyyy"),")")</f>
        <v>WALE by NLA (Current — Oct 2026)</v>
      </c>
      <c r="B14" s="324"/>
      <c r="C14" s="178">
        <f ca="1">Dashboard!D14</f>
        <v>2.3298143987721764</v>
      </c>
      <c r="D14" s="5"/>
      <c r="E14" s="5"/>
      <c r="F14" s="179"/>
      <c r="G14" s="5"/>
      <c r="H14" s="5"/>
      <c r="I14" s="5"/>
      <c r="J14" s="5"/>
      <c r="K14" s="5"/>
      <c r="L14" s="5"/>
      <c r="M14" s="5"/>
      <c r="N14" s="5"/>
      <c r="O14" s="5"/>
    </row>
    <row r="15" spans="1:15" ht="15.75" customHeight="1" x14ac:dyDescent="0.35">
      <c r="A15" s="410" t="str">
        <f ca="1">CONCATENATE("Occupancy (Current — ",TEXT(TODAY(),"mmm yyyy"),")")</f>
        <v>Occupancy (Current — Oct 2026)</v>
      </c>
      <c r="B15" s="410"/>
      <c r="C15" s="180">
        <f ca="1">Dashboard!H5</f>
        <v>0.96547985970878958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ht="15.75" customHeight="1" x14ac:dyDescent="0.35">
      <c r="A16" s="324" t="s">
        <v>402</v>
      </c>
      <c r="B16" s="324"/>
      <c r="C16" s="181" t="s">
        <v>403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35">
      <c r="A17" s="410" t="s">
        <v>404</v>
      </c>
      <c r="B17" s="410"/>
      <c r="C17" s="21" t="s">
        <v>405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35">
      <c r="A18" s="324" t="s">
        <v>406</v>
      </c>
      <c r="B18" s="324"/>
      <c r="C18" s="181" t="s">
        <v>407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35">
      <c r="A19" s="410" t="s">
        <v>408</v>
      </c>
      <c r="B19" s="410"/>
      <c r="C19" s="21" t="s">
        <v>409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4.25" customHeight="1" x14ac:dyDescent="0.35">
      <c r="A21" s="72" t="s">
        <v>410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4.25" customHeight="1" x14ac:dyDescent="0.35">
      <c r="A22" s="26" t="s">
        <v>411</v>
      </c>
      <c r="B22" s="5"/>
      <c r="C22" s="181">
        <f>COUNT(A3:A10)</f>
        <v>8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4.25" customHeight="1" x14ac:dyDescent="0.35">
      <c r="A23" s="150" t="s">
        <v>412</v>
      </c>
      <c r="B23" s="5"/>
      <c r="C23" s="21">
        <f>COUNTIF(C3:C10,"New Lease")</f>
        <v>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4.25" customHeight="1" x14ac:dyDescent="0.35">
      <c r="A24" s="26" t="s">
        <v>413</v>
      </c>
      <c r="B24" s="5"/>
      <c r="C24" s="181">
        <f>COUNTIF(C3:C10,"Renewal")</f>
        <v>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4.25" customHeight="1" x14ac:dyDescent="0.35">
      <c r="A25" s="150" t="s">
        <v>414</v>
      </c>
      <c r="B25" s="5"/>
      <c r="C25" s="182">
        <f>SUM(E3:E10)</f>
        <v>1492.3999999999999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4.25" customHeight="1" x14ac:dyDescent="0.35">
      <c r="A26" s="26" t="s">
        <v>415</v>
      </c>
      <c r="B26" s="5"/>
      <c r="C26" s="133">
        <f>AVERAGE(K3:K10)</f>
        <v>0.25062499999999999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4.25" customHeight="1" x14ac:dyDescent="0.35">
      <c r="A27" s="150" t="s">
        <v>416</v>
      </c>
      <c r="B27" s="5"/>
      <c r="C27" s="183">
        <f>SUM(L3:L10)</f>
        <v>337309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ht="14.25" customHeight="1" x14ac:dyDescent="0.35">
      <c r="A28" s="26" t="s">
        <v>417</v>
      </c>
      <c r="B28" s="5"/>
      <c r="C28" s="184">
        <f>SUM(M3:M10)</f>
        <v>1490035.73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ht="14.25" customHeight="1" x14ac:dyDescent="0.35">
      <c r="A29" s="150" t="s">
        <v>418</v>
      </c>
      <c r="B29" s="5"/>
      <c r="C29" s="183">
        <f>SUM(N3:N10)</f>
        <v>55088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ht="14.25" customHeight="1" x14ac:dyDescent="0.35">
      <c r="A30" s="26" t="s">
        <v>419</v>
      </c>
      <c r="B30" s="5"/>
      <c r="C30" s="184">
        <f>SUM(L3:L10)+SUM(M3:M10)+SUM(N3:N10)</f>
        <v>1882432.73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</sheetData>
  <mergeCells count="8">
    <mergeCell ref="A17:B17"/>
    <mergeCell ref="A18:B18"/>
    <mergeCell ref="A19:B19"/>
    <mergeCell ref="A1:N1"/>
    <mergeCell ref="A13:C13"/>
    <mergeCell ref="A14:B14"/>
    <mergeCell ref="A15:B15"/>
    <mergeCell ref="A16:B16"/>
  </mergeCells>
  <pageMargins left="0.75" right="0.75" top="1" bottom="1" header="0.51180555555555596" footer="0.51180555555555596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2"/>
  <sheetViews>
    <sheetView showGridLines="0" zoomScaleNormal="100" workbookViewId="0">
      <selection sqref="A1:L1"/>
    </sheetView>
  </sheetViews>
  <sheetFormatPr defaultColWidth="8.6328125" defaultRowHeight="14.5" x14ac:dyDescent="0.35"/>
  <cols>
    <col min="1" max="2" width="10" customWidth="1"/>
    <col min="3" max="3" width="28" customWidth="1"/>
    <col min="4" max="5" width="14" customWidth="1"/>
    <col min="6" max="6" width="12" customWidth="1"/>
    <col min="7" max="7" width="10" customWidth="1"/>
    <col min="8" max="8" width="12" customWidth="1"/>
    <col min="9" max="10" width="10" customWidth="1"/>
    <col min="11" max="11" width="12" customWidth="1"/>
    <col min="12" max="12" width="10" customWidth="1"/>
  </cols>
  <sheetData>
    <row r="1" spans="1:12" ht="27.75" customHeight="1" x14ac:dyDescent="0.35">
      <c r="A1" s="408" t="s">
        <v>420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</row>
    <row r="2" spans="1:12" ht="15.75" customHeight="1" x14ac:dyDescent="0.35">
      <c r="A2" s="332" t="s">
        <v>421</v>
      </c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</row>
    <row r="3" spans="1:12" ht="31.5" customHeight="1" x14ac:dyDescent="0.35">
      <c r="A3" s="23" t="s">
        <v>232</v>
      </c>
      <c r="B3" s="23" t="s">
        <v>422</v>
      </c>
      <c r="C3" s="23" t="s">
        <v>423</v>
      </c>
      <c r="D3" s="23" t="s">
        <v>273</v>
      </c>
      <c r="E3" s="23" t="s">
        <v>79</v>
      </c>
      <c r="F3" s="23" t="s">
        <v>237</v>
      </c>
      <c r="G3" s="23" t="s">
        <v>238</v>
      </c>
      <c r="H3" s="23" t="s">
        <v>424</v>
      </c>
      <c r="I3" s="23" t="s">
        <v>425</v>
      </c>
      <c r="J3" s="23" t="s">
        <v>426</v>
      </c>
      <c r="K3" s="23" t="s">
        <v>427</v>
      </c>
      <c r="L3" s="23" t="s">
        <v>426</v>
      </c>
    </row>
    <row r="4" spans="1:12" ht="15.75" customHeight="1" x14ac:dyDescent="0.35">
      <c r="A4" s="130" t="s">
        <v>91</v>
      </c>
      <c r="B4" s="27">
        <f>IFERROR(INDEX('Input Data'!F:F,MATCH(A4,'Input Data'!$C:$C,0)),"")</f>
        <v>151.19999999999999</v>
      </c>
      <c r="C4" s="14" t="str">
        <f ca="1">IFERROR(INDEX('Input Data'!D:D,MATCH(A4,'Input Data'!$C:$C,0)),"")</f>
        <v>OPULENT TWO ENTERPRISES</v>
      </c>
      <c r="D4" s="30">
        <f ca="1">IFERROR(INDEX('Input Data'!J:J,MATCH(A4,'Input Data'!$C:$C,0)),0)</f>
        <v>1002.01</v>
      </c>
      <c r="E4" s="30">
        <v>930</v>
      </c>
      <c r="F4" s="30">
        <f t="shared" ref="F4:F28" ca="1" si="0">IFERROR(D4-E4,"")</f>
        <v>72.009999999999991</v>
      </c>
      <c r="G4" s="31">
        <f t="shared" ref="G4:G28" ca="1" si="1">IFERROR((D4-E4)/E4,"")</f>
        <v>7.7430107526881717E-2</v>
      </c>
      <c r="H4" s="172">
        <v>0.23</v>
      </c>
      <c r="I4" s="172">
        <v>0.24</v>
      </c>
      <c r="J4" s="172">
        <v>0.25</v>
      </c>
      <c r="K4" s="172">
        <v>0.22</v>
      </c>
      <c r="L4" s="172">
        <v>0.25</v>
      </c>
    </row>
    <row r="5" spans="1:12" ht="15.75" customHeight="1" x14ac:dyDescent="0.35">
      <c r="A5" s="185" t="s">
        <v>97</v>
      </c>
      <c r="B5" s="157">
        <f>IFERROR(INDEX('Input Data'!F:F,MATCH(A5,'Input Data'!$C:$C,0)),"")</f>
        <v>298.3</v>
      </c>
      <c r="C5" s="22" t="str">
        <f ca="1">IFERROR(INDEX('Input Data'!D:D,MATCH(A5,'Input Data'!$C:$C,0)),"")</f>
        <v>RCVRI MARTIN PLACE PTY LTD</v>
      </c>
      <c r="D5" s="161">
        <f ca="1">IFERROR(INDEX('Input Data'!J:J,MATCH(A5,'Input Data'!$C:$C,0)),0)</f>
        <v>1150.52</v>
      </c>
      <c r="E5" s="161">
        <v>1100</v>
      </c>
      <c r="F5" s="161">
        <f t="shared" ca="1" si="0"/>
        <v>50.519999999999982</v>
      </c>
      <c r="G5" s="186">
        <f t="shared" ca="1" si="1"/>
        <v>4.5927272727272712E-2</v>
      </c>
      <c r="H5" s="176">
        <v>0.28000000000000003</v>
      </c>
      <c r="I5" s="176">
        <v>0.3</v>
      </c>
      <c r="J5" s="176">
        <v>0.31</v>
      </c>
      <c r="K5" s="176">
        <v>0.26</v>
      </c>
      <c r="L5" s="176">
        <v>0.28999999999999998</v>
      </c>
    </row>
    <row r="6" spans="1:12" ht="15.75" customHeight="1" x14ac:dyDescent="0.35">
      <c r="A6" s="130" t="s">
        <v>102</v>
      </c>
      <c r="B6" s="27">
        <f>IFERROR(INDEX('Input Data'!F:F,MATCH(A6,'Input Data'!$C:$C,0)),"")</f>
        <v>162.4</v>
      </c>
      <c r="C6" s="14" t="str">
        <f>IFERROR(INDEX('Input Data'!D:D,MATCH(A6,'Input Data'!$C:$C,0)),"")</f>
        <v>VACANT</v>
      </c>
      <c r="D6" s="30">
        <f>IFERROR(INDEX('Input Data'!J:J,MATCH(A6,'Input Data'!$C:$C,0)),0)</f>
        <v>0</v>
      </c>
      <c r="E6" s="30">
        <v>1115</v>
      </c>
      <c r="F6" s="30">
        <f t="shared" si="0"/>
        <v>-1115</v>
      </c>
      <c r="G6" s="31">
        <f t="shared" si="1"/>
        <v>-1</v>
      </c>
      <c r="H6" s="172">
        <v>0.26</v>
      </c>
      <c r="I6" s="172">
        <v>0.27</v>
      </c>
      <c r="J6" s="172">
        <v>0.28999999999999998</v>
      </c>
      <c r="K6" s="172">
        <v>0.24</v>
      </c>
      <c r="L6" s="172">
        <v>0.27</v>
      </c>
    </row>
    <row r="7" spans="1:12" ht="15.75" customHeight="1" x14ac:dyDescent="0.35">
      <c r="A7" s="185" t="s">
        <v>106</v>
      </c>
      <c r="B7" s="157">
        <f>IFERROR(INDEX('Input Data'!F:F,MATCH(A7,'Input Data'!$C:$C,0)),"")</f>
        <v>96.3</v>
      </c>
      <c r="C7" s="22" t="str">
        <f ca="1">IFERROR(INDEX('Input Data'!D:D,MATCH(A7,'Input Data'!$C:$C,0)),"")</f>
        <v>PU PRIME TRADING PTY LTD</v>
      </c>
      <c r="D7" s="161">
        <f>IFERROR(INDEX('Input Data'!J:J,MATCH(A7,'Input Data'!$C:$C,0)),0)</f>
        <v>1021.99</v>
      </c>
      <c r="E7" s="161">
        <v>960</v>
      </c>
      <c r="F7" s="161">
        <f t="shared" si="0"/>
        <v>61.990000000000009</v>
      </c>
      <c r="G7" s="186">
        <f t="shared" si="1"/>
        <v>6.4572916666666674E-2</v>
      </c>
      <c r="H7" s="176">
        <v>0.23</v>
      </c>
      <c r="I7" s="176">
        <v>0.24</v>
      </c>
      <c r="J7" s="176">
        <v>0.25</v>
      </c>
      <c r="K7" s="176">
        <v>0.22</v>
      </c>
      <c r="L7" s="176">
        <v>0.24</v>
      </c>
    </row>
    <row r="8" spans="1:12" ht="15.75" customHeight="1" x14ac:dyDescent="0.35">
      <c r="A8" s="130" t="s">
        <v>109</v>
      </c>
      <c r="B8" s="27">
        <f>IFERROR(INDEX('Input Data'!F:F,MATCH(A8,'Input Data'!$C:$C,0)),"")</f>
        <v>98.1</v>
      </c>
      <c r="C8" s="14" t="str">
        <f ca="1">IFERROR(INDEX('Input Data'!D:D,MATCH(A8,'Input Data'!$C:$C,0)),"")</f>
        <v>TJC#1 PTY LTD</v>
      </c>
      <c r="D8" s="30">
        <f ca="1">IFERROR(INDEX('Input Data'!J:J,MATCH(A8,'Input Data'!$C:$C,0)),0)</f>
        <v>973.44</v>
      </c>
      <c r="E8" s="30">
        <v>960</v>
      </c>
      <c r="F8" s="30">
        <f t="shared" ca="1" si="0"/>
        <v>13.440000000000055</v>
      </c>
      <c r="G8" s="31">
        <f t="shared" ca="1" si="1"/>
        <v>1.4000000000000058E-2</v>
      </c>
      <c r="H8" s="172">
        <v>0.23</v>
      </c>
      <c r="I8" s="172">
        <v>0.24</v>
      </c>
      <c r="J8" s="172">
        <v>0.25</v>
      </c>
      <c r="K8" s="172">
        <v>0.22</v>
      </c>
      <c r="L8" s="172">
        <v>0.24</v>
      </c>
    </row>
    <row r="9" spans="1:12" ht="15.75" customHeight="1" x14ac:dyDescent="0.35">
      <c r="A9" s="185" t="s">
        <v>113</v>
      </c>
      <c r="B9" s="157">
        <f>IFERROR(INDEX('Input Data'!F:F,MATCH(A9,'Input Data'!$C:$C,0)),"")</f>
        <v>393.2</v>
      </c>
      <c r="C9" s="22" t="str">
        <f ca="1">IFERROR(INDEX('Input Data'!D:D,MATCH(A9,'Input Data'!$C:$C,0)),"")</f>
        <v>PRINCETON FINANCIAL SERVICES</v>
      </c>
      <c r="D9" s="161">
        <f ca="1">IFERROR(INDEX('Input Data'!J:J,MATCH(A9,'Input Data'!$C:$C,0)),0)</f>
        <v>1081.5999999999999</v>
      </c>
      <c r="E9" s="161">
        <v>1095</v>
      </c>
      <c r="F9" s="161">
        <f t="shared" ca="1" si="0"/>
        <v>-13.400000000000091</v>
      </c>
      <c r="G9" s="186">
        <f t="shared" ca="1" si="1"/>
        <v>-1.2237442922374513E-2</v>
      </c>
      <c r="H9" s="176">
        <v>0.3</v>
      </c>
      <c r="I9" s="176">
        <v>0.33</v>
      </c>
      <c r="J9" s="176">
        <v>0.35</v>
      </c>
      <c r="K9" s="176">
        <v>0.3</v>
      </c>
      <c r="L9" s="176">
        <v>0.35</v>
      </c>
    </row>
    <row r="10" spans="1:12" ht="15.75" customHeight="1" x14ac:dyDescent="0.35">
      <c r="A10" s="130" t="s">
        <v>117</v>
      </c>
      <c r="B10" s="27">
        <f>IFERROR(INDEX('Input Data'!F:F,MATCH(A10,'Input Data'!$C:$C,0)),"")</f>
        <v>164.2</v>
      </c>
      <c r="C10" s="14" t="str">
        <f ca="1">IFERROR(INDEX('Input Data'!D:D,MATCH(A10,'Input Data'!$C:$C,0)),"")</f>
        <v>IPM RESIDENTIAL PTY LTD</v>
      </c>
      <c r="D10" s="30">
        <f>IFERROR(INDEX('Input Data'!J:J,MATCH(A10,'Input Data'!$C:$C,0)),0)</f>
        <v>1216.58</v>
      </c>
      <c r="E10" s="30">
        <v>1135</v>
      </c>
      <c r="F10" s="30">
        <f t="shared" si="0"/>
        <v>81.579999999999927</v>
      </c>
      <c r="G10" s="31">
        <f t="shared" si="1"/>
        <v>7.1876651982378789E-2</v>
      </c>
      <c r="H10" s="172">
        <v>0.26</v>
      </c>
      <c r="I10" s="172">
        <v>0.27</v>
      </c>
      <c r="J10" s="172">
        <v>0.28999999999999998</v>
      </c>
      <c r="K10" s="172">
        <v>0.24</v>
      </c>
      <c r="L10" s="172">
        <v>0.27</v>
      </c>
    </row>
    <row r="11" spans="1:12" ht="15.75" customHeight="1" x14ac:dyDescent="0.35">
      <c r="A11" s="185" t="s">
        <v>121</v>
      </c>
      <c r="B11" s="157">
        <f>IFERROR(INDEX('Input Data'!F:F,MATCH(A11,'Input Data'!$C:$C,0)),"")</f>
        <v>193.4</v>
      </c>
      <c r="C11" s="22" t="str">
        <f ca="1">IFERROR(INDEX('Input Data'!D:D,MATCH(A11,'Input Data'!$C:$C,0)),"")</f>
        <v>BROADRIDGE (AUSTRALIA) PTY LTD</v>
      </c>
      <c r="D11" s="161">
        <f ca="1">IFERROR(INDEX('Input Data'!J:J,MATCH(A11,'Input Data'!$C:$C,0)),0)</f>
        <v>933.75</v>
      </c>
      <c r="E11" s="161">
        <v>920</v>
      </c>
      <c r="F11" s="161">
        <f t="shared" ca="1" si="0"/>
        <v>13.75</v>
      </c>
      <c r="G11" s="186">
        <f t="shared" ca="1" si="1"/>
        <v>1.4945652173913044E-2</v>
      </c>
      <c r="H11" s="176">
        <v>0.28999999999999998</v>
      </c>
      <c r="I11" s="176">
        <v>0.31</v>
      </c>
      <c r="J11" s="176">
        <v>0.34</v>
      </c>
      <c r="K11" s="176">
        <v>0.28000000000000003</v>
      </c>
      <c r="L11" s="176">
        <v>0.33</v>
      </c>
    </row>
    <row r="12" spans="1:12" ht="15.75" customHeight="1" x14ac:dyDescent="0.35">
      <c r="A12" s="130" t="s">
        <v>126</v>
      </c>
      <c r="B12" s="27">
        <f>IFERROR(INDEX('Input Data'!F:F,MATCH(A12,'Input Data'!$C:$C,0)),"")</f>
        <v>214.1</v>
      </c>
      <c r="C12" s="14" t="str">
        <f ca="1">IFERROR(INDEX('Input Data'!D:D,MATCH(A12,'Input Data'!$C:$C,0)),"")</f>
        <v>B-W INTERNATIONAL AUSTRALIA PTY LTD</v>
      </c>
      <c r="D12" s="30">
        <f ca="1">IFERROR(INDEX('Input Data'!J:J,MATCH(A12,'Input Data'!$C:$C,0)),0)</f>
        <v>1135.6099999999999</v>
      </c>
      <c r="E12" s="30">
        <v>1145</v>
      </c>
      <c r="F12" s="30">
        <f t="shared" ca="1" si="0"/>
        <v>-9.3900000000001</v>
      </c>
      <c r="G12" s="31">
        <f t="shared" ca="1" si="1"/>
        <v>-8.2008733624455016E-3</v>
      </c>
      <c r="H12" s="172">
        <v>0.28000000000000003</v>
      </c>
      <c r="I12" s="172">
        <v>0.3</v>
      </c>
      <c r="J12" s="172">
        <v>0.31</v>
      </c>
      <c r="K12" s="172">
        <v>0.26</v>
      </c>
      <c r="L12" s="172">
        <v>0.28999999999999998</v>
      </c>
    </row>
    <row r="13" spans="1:12" ht="15.75" customHeight="1" x14ac:dyDescent="0.35">
      <c r="A13" s="185" t="s">
        <v>129</v>
      </c>
      <c r="B13" s="157">
        <f>IFERROR(INDEX('Input Data'!F:F,MATCH(A13,'Input Data'!$C:$C,0)),"")</f>
        <v>145.6</v>
      </c>
      <c r="C13" s="22" t="str">
        <f ca="1">IFERROR(INDEX('Input Data'!D:D,MATCH(A13,'Input Data'!$C:$C,0)),"")</f>
        <v>MP TRAVEL PTY LTD</v>
      </c>
      <c r="D13" s="161">
        <f ca="1">IFERROR(INDEX('Input Data'!J:J,MATCH(A13,'Input Data'!$C:$C,0)),0)</f>
        <v>1037.5</v>
      </c>
      <c r="E13" s="161">
        <v>1000</v>
      </c>
      <c r="F13" s="161">
        <f t="shared" ca="1" si="0"/>
        <v>37.5</v>
      </c>
      <c r="G13" s="186">
        <f t="shared" ca="1" si="1"/>
        <v>3.7499999999999999E-2</v>
      </c>
      <c r="H13" s="176">
        <v>0.26</v>
      </c>
      <c r="I13" s="176">
        <v>0.27</v>
      </c>
      <c r="J13" s="176">
        <v>0.28999999999999998</v>
      </c>
      <c r="K13" s="176">
        <v>0.24</v>
      </c>
      <c r="L13" s="176">
        <v>0.27</v>
      </c>
    </row>
    <row r="14" spans="1:12" ht="15.75" customHeight="1" x14ac:dyDescent="0.35">
      <c r="A14" s="130" t="s">
        <v>133</v>
      </c>
      <c r="B14" s="27">
        <f>IFERROR(INDEX('Input Data'!F:F,MATCH(A14,'Input Data'!$C:$C,0)),"")</f>
        <v>212.3</v>
      </c>
      <c r="C14" s="14" t="str">
        <f ca="1">IFERROR(INDEX('Input Data'!D:D,MATCH(A14,'Input Data'!$C:$C,0)),"")</f>
        <v>MONTGOMERY INVESTMENT</v>
      </c>
      <c r="D14" s="30">
        <f ca="1">IFERROR(INDEX('Input Data'!J:J,MATCH(A14,'Input Data'!$C:$C,0)),0)</f>
        <v>1341.24</v>
      </c>
      <c r="E14" s="30">
        <v>1155</v>
      </c>
      <c r="F14" s="30">
        <f t="shared" ca="1" si="0"/>
        <v>186.24</v>
      </c>
      <c r="G14" s="31">
        <f t="shared" ca="1" si="1"/>
        <v>0.16124675324675325</v>
      </c>
      <c r="H14" s="172">
        <v>0.28000000000000003</v>
      </c>
      <c r="I14" s="172">
        <v>0.3</v>
      </c>
      <c r="J14" s="172">
        <v>0.31</v>
      </c>
      <c r="K14" s="172">
        <v>0.26</v>
      </c>
      <c r="L14" s="172">
        <v>0.28999999999999998</v>
      </c>
    </row>
    <row r="15" spans="1:12" ht="15.75" customHeight="1" x14ac:dyDescent="0.35">
      <c r="A15" s="185" t="s">
        <v>136</v>
      </c>
      <c r="B15" s="157">
        <f>IFERROR(INDEX('Input Data'!F:F,MATCH(A15,'Input Data'!$C:$C,0)),"")</f>
        <v>163.80000000000001</v>
      </c>
      <c r="C15" s="22" t="str">
        <f ca="1">IFERROR(INDEX('Input Data'!D:D,MATCH(A15,'Input Data'!$C:$C,0)),"")</f>
        <v>THREAT DEFENCE</v>
      </c>
      <c r="D15" s="161">
        <f>IFERROR(INDEX('Input Data'!J:J,MATCH(A15,'Input Data'!$C:$C,0)),0)</f>
        <v>1054.8800000000001</v>
      </c>
      <c r="E15" s="161">
        <v>1020</v>
      </c>
      <c r="F15" s="161">
        <f t="shared" si="0"/>
        <v>34.880000000000109</v>
      </c>
      <c r="G15" s="186">
        <f t="shared" si="1"/>
        <v>3.4196078431372658E-2</v>
      </c>
      <c r="H15" s="176">
        <v>0.26</v>
      </c>
      <c r="I15" s="176">
        <v>0.27</v>
      </c>
      <c r="J15" s="176">
        <v>0.28999999999999998</v>
      </c>
      <c r="K15" s="176">
        <v>0.24</v>
      </c>
      <c r="L15" s="176">
        <v>0.27</v>
      </c>
    </row>
    <row r="16" spans="1:12" ht="15.75" customHeight="1" x14ac:dyDescent="0.35">
      <c r="A16" s="130" t="s">
        <v>140</v>
      </c>
      <c r="B16" s="27">
        <f>IFERROR(INDEX('Input Data'!F:F,MATCH(A16,'Input Data'!$C:$C,0)),"")</f>
        <v>226.1</v>
      </c>
      <c r="C16" s="14" t="str">
        <f ca="1">IFERROR(INDEX('Input Data'!D:D,MATCH(A16,'Input Data'!$C:$C,0)),"")</f>
        <v>FULLCRM PTY LTD</v>
      </c>
      <c r="D16" s="30">
        <f ca="1">IFERROR(INDEX('Input Data'!J:J,MATCH(A16,'Input Data'!$C:$C,0)),0)</f>
        <v>1251.3399999999999</v>
      </c>
      <c r="E16" s="30">
        <v>1165</v>
      </c>
      <c r="F16" s="30">
        <f t="shared" ca="1" si="0"/>
        <v>86.339999999999918</v>
      </c>
      <c r="G16" s="31">
        <f t="shared" ca="1" si="1"/>
        <v>7.4111587982832544E-2</v>
      </c>
      <c r="H16" s="172">
        <v>0.28000000000000003</v>
      </c>
      <c r="I16" s="172">
        <v>0.3</v>
      </c>
      <c r="J16" s="172">
        <v>0.31</v>
      </c>
      <c r="K16" s="172">
        <v>0.26</v>
      </c>
      <c r="L16" s="172">
        <v>0.28999999999999998</v>
      </c>
    </row>
    <row r="17" spans="1:12" ht="15.75" customHeight="1" x14ac:dyDescent="0.35">
      <c r="A17" s="185" t="s">
        <v>143</v>
      </c>
      <c r="B17" s="157">
        <f>IFERROR(INDEX('Input Data'!F:F,MATCH(A17,'Input Data'!$C:$C,0)),"")</f>
        <v>152.1</v>
      </c>
      <c r="C17" s="22" t="str">
        <f>IFERROR(INDEX('Input Data'!D:D,MATCH(A17,'Input Data'!$C:$C,0)),"")</f>
        <v>INNOVIS</v>
      </c>
      <c r="D17" s="161">
        <f>IFERROR(INDEX('Input Data'!J:J,MATCH(A17,'Input Data'!$C:$C,0)),0)</f>
        <v>1090</v>
      </c>
      <c r="E17" s="161">
        <v>1030</v>
      </c>
      <c r="F17" s="161">
        <f t="shared" si="0"/>
        <v>60</v>
      </c>
      <c r="G17" s="186">
        <f t="shared" si="1"/>
        <v>5.8252427184466021E-2</v>
      </c>
      <c r="H17" s="176">
        <v>0.26</v>
      </c>
      <c r="I17" s="176">
        <v>0.27</v>
      </c>
      <c r="J17" s="176">
        <v>0.28999999999999998</v>
      </c>
      <c r="K17" s="176">
        <v>0.24</v>
      </c>
      <c r="L17" s="176">
        <v>0.27</v>
      </c>
    </row>
    <row r="18" spans="1:12" ht="15.75" customHeight="1" x14ac:dyDescent="0.35">
      <c r="A18" s="130" t="s">
        <v>146</v>
      </c>
      <c r="B18" s="27">
        <f>IFERROR(INDEX('Input Data'!F:F,MATCH(A18,'Input Data'!$C:$C,0)),"")</f>
        <v>210.5</v>
      </c>
      <c r="C18" s="14" t="str">
        <f ca="1">IFERROR(INDEX('Input Data'!D:D,MATCH(A18,'Input Data'!$C:$C,0)),"")</f>
        <v>PINPOINT TALENT PTY LTD</v>
      </c>
      <c r="D18" s="30">
        <f ca="1">IFERROR(INDEX('Input Data'!J:J,MATCH(A18,'Input Data'!$C:$C,0)),0)</f>
        <v>1173.54</v>
      </c>
      <c r="E18" s="30">
        <v>1175</v>
      </c>
      <c r="F18" s="30">
        <f t="shared" ca="1" si="0"/>
        <v>-1.4600000000000364</v>
      </c>
      <c r="G18" s="31">
        <f t="shared" ca="1" si="1"/>
        <v>-1.2425531914893927E-3</v>
      </c>
      <c r="H18" s="172">
        <v>0.28000000000000003</v>
      </c>
      <c r="I18" s="172">
        <v>0.3</v>
      </c>
      <c r="J18" s="172">
        <v>0.31</v>
      </c>
      <c r="K18" s="172">
        <v>0.26</v>
      </c>
      <c r="L18" s="172">
        <v>0.28999999999999998</v>
      </c>
    </row>
    <row r="19" spans="1:12" ht="15.75" customHeight="1" x14ac:dyDescent="0.35">
      <c r="A19" s="185" t="s">
        <v>149</v>
      </c>
      <c r="B19" s="157">
        <f>IFERROR(INDEX('Input Data'!F:F,MATCH(A19,'Input Data'!$C:$C,0)),"")</f>
        <v>163.9</v>
      </c>
      <c r="C19" s="22" t="str">
        <f ca="1">IFERROR(INDEX('Input Data'!D:D,MATCH(A19,'Input Data'!$C:$C,0)),"")</f>
        <v>SATELLITE OFFICE PTY LTD</v>
      </c>
      <c r="D19" s="161">
        <f>IFERROR(INDEX('Input Data'!J:J,MATCH(A19,'Input Data'!$C:$C,0)),0)</f>
        <v>1054.8800000000001</v>
      </c>
      <c r="E19" s="161">
        <v>1040</v>
      </c>
      <c r="F19" s="161">
        <f t="shared" si="0"/>
        <v>14.880000000000109</v>
      </c>
      <c r="G19" s="186">
        <f t="shared" si="1"/>
        <v>1.4307692307692412E-2</v>
      </c>
      <c r="H19" s="176">
        <v>0.26</v>
      </c>
      <c r="I19" s="176">
        <v>0.27</v>
      </c>
      <c r="J19" s="176">
        <v>0.28999999999999998</v>
      </c>
      <c r="K19" s="176">
        <v>0.24</v>
      </c>
      <c r="L19" s="176">
        <v>0.28999999999999998</v>
      </c>
    </row>
    <row r="20" spans="1:12" ht="15.75" customHeight="1" x14ac:dyDescent="0.35">
      <c r="A20" s="130" t="s">
        <v>153</v>
      </c>
      <c r="B20" s="27">
        <f>IFERROR(INDEX('Input Data'!F:F,MATCH(A20,'Input Data'!$C:$C,0)),"")</f>
        <v>222</v>
      </c>
      <c r="C20" s="14" t="str">
        <f ca="1">IFERROR(INDEX('Input Data'!D:D,MATCH(A20,'Input Data'!$C:$C,0)),"")</f>
        <v>ARKANCE AUSTRALIA PTY LTD</v>
      </c>
      <c r="D20" s="30">
        <f ca="1">IFERROR(INDEX('Input Data'!J:J,MATCH(A20,'Input Data'!$C:$C,0)),0)</f>
        <v>1300</v>
      </c>
      <c r="E20" s="30">
        <v>1300</v>
      </c>
      <c r="F20" s="30">
        <f t="shared" ca="1" si="0"/>
        <v>0</v>
      </c>
      <c r="G20" s="31">
        <f t="shared" ca="1" si="1"/>
        <v>0</v>
      </c>
      <c r="H20" s="172">
        <v>0.28000000000000003</v>
      </c>
      <c r="I20" s="172">
        <v>0.3</v>
      </c>
      <c r="J20" s="172">
        <v>0.31</v>
      </c>
      <c r="K20" s="172">
        <v>0.26</v>
      </c>
      <c r="L20" s="172">
        <v>0.28999999999999998</v>
      </c>
    </row>
    <row r="21" spans="1:12" ht="15.75" customHeight="1" x14ac:dyDescent="0.35">
      <c r="A21" s="185" t="s">
        <v>156</v>
      </c>
      <c r="B21" s="157">
        <f>IFERROR(INDEX('Input Data'!F:F,MATCH(A21,'Input Data'!$C:$C,0)),"")</f>
        <v>138.5</v>
      </c>
      <c r="C21" s="22" t="str">
        <f ca="1">IFERROR(INDEX('Input Data'!D:D,MATCH(A21,'Input Data'!$C:$C,0)),"")</f>
        <v>HILLIARD &amp; BERRY</v>
      </c>
      <c r="D21" s="161">
        <f ca="1">IFERROR(INDEX('Input Data'!J:J,MATCH(A21,'Input Data'!$C:$C,0)),0)</f>
        <v>843.65</v>
      </c>
      <c r="E21" s="161">
        <v>1030</v>
      </c>
      <c r="F21" s="161">
        <f t="shared" ca="1" si="0"/>
        <v>-186.35000000000002</v>
      </c>
      <c r="G21" s="186">
        <f t="shared" ca="1" si="1"/>
        <v>-0.18092233009708741</v>
      </c>
      <c r="H21" s="176">
        <v>0.26</v>
      </c>
      <c r="I21" s="176">
        <v>0.27</v>
      </c>
      <c r="J21" s="176">
        <v>0.28999999999999998</v>
      </c>
      <c r="K21" s="176">
        <v>0.24</v>
      </c>
      <c r="L21" s="176">
        <v>0.26</v>
      </c>
    </row>
    <row r="22" spans="1:12" ht="15.75" customHeight="1" x14ac:dyDescent="0.35">
      <c r="A22" s="130" t="s">
        <v>160</v>
      </c>
      <c r="B22" s="27">
        <f>IFERROR(INDEX('Input Data'!F:F,MATCH(A22,'Input Data'!$C:$C,0)),"")</f>
        <v>52.8</v>
      </c>
      <c r="C22" s="14" t="str">
        <f ca="1">IFERROR(INDEX('Input Data'!D:D,MATCH(A22,'Input Data'!$C:$C,0)),"")</f>
        <v>AITKEN INVESTMENT MANAGEMENT PTY LTD</v>
      </c>
      <c r="D22" s="30">
        <f>IFERROR(INDEX('Input Data'!J:J,MATCH(A22,'Input Data'!$C:$C,0)),0)</f>
        <v>1338.88</v>
      </c>
      <c r="E22" s="30">
        <v>1350</v>
      </c>
      <c r="F22" s="30">
        <f t="shared" si="0"/>
        <v>-11.119999999999891</v>
      </c>
      <c r="G22" s="31">
        <f t="shared" si="1"/>
        <v>-8.237037037036956E-3</v>
      </c>
      <c r="H22" s="172">
        <v>0.23</v>
      </c>
      <c r="I22" s="172">
        <v>0.24</v>
      </c>
      <c r="J22" s="172">
        <v>0.25</v>
      </c>
      <c r="K22" s="172">
        <v>0.22</v>
      </c>
      <c r="L22" s="172">
        <v>0.24</v>
      </c>
    </row>
    <row r="23" spans="1:12" ht="15.75" customHeight="1" x14ac:dyDescent="0.35">
      <c r="A23" s="185" t="s">
        <v>163</v>
      </c>
      <c r="B23" s="157">
        <f>IFERROR(INDEX('Input Data'!F:F,MATCH(A23,'Input Data'!$C:$C,0)),"")</f>
        <v>303</v>
      </c>
      <c r="C23" s="22" t="str">
        <f ca="1">IFERROR(INDEX('Input Data'!D:D,MATCH(A23,'Input Data'!$C:$C,0)),"")</f>
        <v>CAPITAL E MARKETING AND EVENTS PTY LTD</v>
      </c>
      <c r="D23" s="161">
        <f ca="1">IFERROR(INDEX('Input Data'!J:J,MATCH(A23,'Input Data'!$C:$C,0)),0)</f>
        <v>1141.25</v>
      </c>
      <c r="E23" s="161">
        <v>1125</v>
      </c>
      <c r="F23" s="161">
        <f t="shared" ca="1" si="0"/>
        <v>16.25</v>
      </c>
      <c r="G23" s="186">
        <f t="shared" ca="1" si="1"/>
        <v>1.4444444444444444E-2</v>
      </c>
      <c r="H23" s="176">
        <v>0.3</v>
      </c>
      <c r="I23" s="176">
        <v>0.33</v>
      </c>
      <c r="J23" s="176">
        <v>0.35</v>
      </c>
      <c r="K23" s="176">
        <v>0.3</v>
      </c>
      <c r="L23" s="176">
        <v>0.35</v>
      </c>
    </row>
    <row r="24" spans="1:12" ht="15.75" customHeight="1" x14ac:dyDescent="0.35">
      <c r="A24" s="130" t="s">
        <v>167</v>
      </c>
      <c r="B24" s="27">
        <f>IFERROR(INDEX('Input Data'!F:F,MATCH(A24,'Input Data'!$C:$C,0)),"")</f>
        <v>363.2</v>
      </c>
      <c r="C24" s="14" t="str">
        <f ca="1">IFERROR(INDEX('Input Data'!D:D,MATCH(A24,'Input Data'!$C:$C,0)),"")</f>
        <v>CONNECTUS SERVICES PTY LTD</v>
      </c>
      <c r="D24" s="30">
        <f ca="1">IFERROR(INDEX('Input Data'!J:J,MATCH(A24,'Input Data'!$C:$C,0)),0)</f>
        <v>1189.67</v>
      </c>
      <c r="E24" s="30">
        <v>1200</v>
      </c>
      <c r="F24" s="30">
        <f t="shared" ca="1" si="0"/>
        <v>-10.329999999999927</v>
      </c>
      <c r="G24" s="31">
        <f t="shared" ca="1" si="1"/>
        <v>-8.6083333333332734E-3</v>
      </c>
      <c r="H24" s="172">
        <v>0.3</v>
      </c>
      <c r="I24" s="172">
        <v>0.33</v>
      </c>
      <c r="J24" s="172">
        <v>0.35</v>
      </c>
      <c r="K24" s="172">
        <v>0.3</v>
      </c>
      <c r="L24" s="172">
        <v>0.35</v>
      </c>
    </row>
    <row r="25" spans="1:12" ht="15.75" customHeight="1" x14ac:dyDescent="0.35">
      <c r="A25" s="185" t="s">
        <v>172</v>
      </c>
      <c r="B25" s="157">
        <f>IFERROR(INDEX('Input Data'!F:F,MATCH(A25,'Input Data'!$C:$C,0)),"")</f>
        <v>62.4</v>
      </c>
      <c r="C25" s="22" t="str">
        <f ca="1">IFERROR(INDEX('Input Data'!D:D,MATCH(A25,'Input Data'!$C:$C,0)),"")</f>
        <v>MICHAEL FLEGG PTY LTD</v>
      </c>
      <c r="D25" s="161">
        <f ca="1">IFERROR(INDEX('Input Data'!J:J,MATCH(A25,'Input Data'!$C:$C,0)),0)</f>
        <v>1368.73</v>
      </c>
      <c r="E25" s="161">
        <v>1405</v>
      </c>
      <c r="F25" s="161">
        <f t="shared" ca="1" si="0"/>
        <v>-36.269999999999982</v>
      </c>
      <c r="G25" s="186">
        <f t="shared" ca="1" si="1"/>
        <v>-2.5814946619217068E-2</v>
      </c>
      <c r="H25" s="176">
        <v>0.23</v>
      </c>
      <c r="I25" s="176">
        <v>0.24</v>
      </c>
      <c r="J25" s="176">
        <v>0.25</v>
      </c>
      <c r="K25" s="176">
        <v>0.22</v>
      </c>
      <c r="L25" s="176">
        <v>0.24</v>
      </c>
    </row>
    <row r="26" spans="1:12" ht="15.75" customHeight="1" x14ac:dyDescent="0.35">
      <c r="A26" s="130" t="s">
        <v>175</v>
      </c>
      <c r="B26" s="27">
        <f>IFERROR(INDEX('Input Data'!F:F,MATCH(A26,'Input Data'!$C:$C,0)),"")</f>
        <v>133.1</v>
      </c>
      <c r="C26" s="14" t="str">
        <f ca="1">IFERROR(INDEX('Input Data'!D:D,MATCH(A26,'Input Data'!$C:$C,0)),"")</f>
        <v>LEWIS WOOLCOTT</v>
      </c>
      <c r="D26" s="30">
        <f ca="1">IFERROR(INDEX('Input Data'!J:J,MATCH(A26,'Input Data'!$C:$C,0)),0)</f>
        <v>1271.0999999999999</v>
      </c>
      <c r="E26" s="30">
        <v>1250</v>
      </c>
      <c r="F26" s="30">
        <f t="shared" ca="1" si="0"/>
        <v>21.099999999999909</v>
      </c>
      <c r="G26" s="31">
        <f t="shared" ca="1" si="1"/>
        <v>1.6879999999999926E-2</v>
      </c>
      <c r="H26" s="172">
        <v>0.25</v>
      </c>
      <c r="I26" s="172">
        <v>0.27</v>
      </c>
      <c r="J26" s="172">
        <v>0.28000000000000003</v>
      </c>
      <c r="K26" s="172">
        <v>0.24</v>
      </c>
      <c r="L26" s="172">
        <v>0.26</v>
      </c>
    </row>
    <row r="27" spans="1:12" ht="15.75" customHeight="1" x14ac:dyDescent="0.35">
      <c r="A27" s="185" t="s">
        <v>184</v>
      </c>
      <c r="B27" s="157">
        <f>IFERROR(INDEX('Input Data'!F:F,MATCH(A27,'Input Data'!$C:$C,0)),"")</f>
        <v>160.30000000000001</v>
      </c>
      <c r="C27" s="22" t="str">
        <f ca="1">IFERROR(INDEX('Input Data'!D:D,MATCH(A27,'Input Data'!$C:$C,0)),"")</f>
        <v>INTERFI SYSTEMS PTY LTD</v>
      </c>
      <c r="D27" s="161">
        <f ca="1">IFERROR(INDEX('Input Data'!J:J,MATCH(A27,'Input Data'!$C:$C,0)),0)</f>
        <v>1150</v>
      </c>
      <c r="E27" s="161">
        <v>1060</v>
      </c>
      <c r="F27" s="161">
        <f t="shared" ca="1" si="0"/>
        <v>90</v>
      </c>
      <c r="G27" s="186">
        <f t="shared" ca="1" si="1"/>
        <v>8.4905660377358486E-2</v>
      </c>
      <c r="H27" s="176">
        <v>0.26</v>
      </c>
      <c r="I27" s="176">
        <v>0.27</v>
      </c>
      <c r="J27" s="176">
        <v>0.28999999999999998</v>
      </c>
      <c r="K27" s="176">
        <v>0.24</v>
      </c>
      <c r="L27" s="176">
        <v>0.26</v>
      </c>
    </row>
    <row r="28" spans="1:12" ht="15.75" customHeight="1" x14ac:dyDescent="0.35">
      <c r="A28" s="130" t="s">
        <v>179</v>
      </c>
      <c r="B28" s="27">
        <f>IFERROR(INDEX('Input Data'!F:F,MATCH(A28,'Input Data'!$C:$C,0)),"")</f>
        <v>223.7</v>
      </c>
      <c r="C28" s="14" t="str">
        <f ca="1">IFERROR(INDEX('Input Data'!D:D,MATCH(A28,'Input Data'!$C:$C,0)),"")</f>
        <v>DAKOTA CORPORATION</v>
      </c>
      <c r="D28" s="30">
        <f>IFERROR(INDEX('Input Data'!J:J,MATCH(A28,'Input Data'!$C:$C,0)),0)</f>
        <v>0</v>
      </c>
      <c r="E28" s="30">
        <v>384</v>
      </c>
      <c r="F28" s="30">
        <f t="shared" si="0"/>
        <v>-384</v>
      </c>
      <c r="G28" s="31">
        <f t="shared" si="1"/>
        <v>-1</v>
      </c>
      <c r="H28" s="172">
        <v>0</v>
      </c>
      <c r="I28" s="172">
        <v>0</v>
      </c>
      <c r="J28" s="172">
        <v>0</v>
      </c>
      <c r="K28" s="172">
        <v>0</v>
      </c>
      <c r="L28" s="172">
        <v>0</v>
      </c>
    </row>
    <row r="29" spans="1:12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19.5" customHeight="1" x14ac:dyDescent="0.35">
      <c r="A30" s="348" t="s">
        <v>428</v>
      </c>
      <c r="B30" s="348"/>
      <c r="C30" s="348"/>
      <c r="D30" s="187">
        <f ca="1">IFERROR(SUMIF('Input Data'!K3:K27,"&gt;0",'Input Data'!J3:J27)/SUMIF('Input Data'!K3:K27,"&gt;0",'Input Data'!F3:F27),0)</f>
        <v>6.0490366802519446</v>
      </c>
      <c r="E30" s="188">
        <v>1118.5882608695699</v>
      </c>
      <c r="F30" s="188">
        <v>-14.725652173913</v>
      </c>
      <c r="G30" s="189">
        <v>-1.3164497330291699E-2</v>
      </c>
      <c r="H30" s="83"/>
      <c r="I30" s="83"/>
      <c r="J30" s="83"/>
      <c r="K30" s="83"/>
      <c r="L30" s="83"/>
    </row>
    <row r="31" spans="1:12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15" customHeight="1" x14ac:dyDescent="0.35">
      <c r="A32" s="78" t="s">
        <v>188</v>
      </c>
      <c r="B32" s="79"/>
      <c r="C32" s="190" t="s">
        <v>429</v>
      </c>
      <c r="D32" s="82"/>
      <c r="E32" s="191" t="s">
        <v>430</v>
      </c>
      <c r="F32" s="83"/>
      <c r="G32" s="80" t="s">
        <v>431</v>
      </c>
      <c r="H32" s="5"/>
      <c r="I32" s="5"/>
      <c r="J32" s="5"/>
      <c r="K32" s="5"/>
      <c r="L32" s="5"/>
    </row>
  </sheetData>
  <mergeCells count="3">
    <mergeCell ref="A1:L1"/>
    <mergeCell ref="A2:L2"/>
    <mergeCell ref="A30:C30"/>
  </mergeCells>
  <pageMargins left="0.75" right="0.75" top="1" bottom="1" header="0.51180555555555596" footer="0.51180555555555596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62"/>
  <sheetViews>
    <sheetView showGridLines="0" zoomScaleNormal="100" workbookViewId="0">
      <selection sqref="A1:M1"/>
    </sheetView>
  </sheetViews>
  <sheetFormatPr defaultColWidth="8.6328125" defaultRowHeight="14.5" x14ac:dyDescent="0.35"/>
  <cols>
    <col min="1" max="1" width="1.54296875" customWidth="1"/>
    <col min="2" max="2" width="8" customWidth="1"/>
    <col min="3" max="3" width="10" customWidth="1"/>
    <col min="4" max="4" width="34" customWidth="1"/>
    <col min="5" max="5" width="10" customWidth="1"/>
    <col min="6" max="7" width="12" customWidth="1"/>
    <col min="8" max="9" width="11" customWidth="1"/>
    <col min="10" max="10" width="15" customWidth="1"/>
    <col min="11" max="11" width="10" customWidth="1"/>
    <col min="12" max="12" width="9" customWidth="1"/>
    <col min="13" max="13" width="22" customWidth="1"/>
  </cols>
  <sheetData>
    <row r="1" spans="1:13" ht="30" customHeight="1" x14ac:dyDescent="0.35">
      <c r="A1" s="321" t="s">
        <v>432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</row>
    <row r="2" spans="1:13" ht="15.75" customHeight="1" x14ac:dyDescent="0.35">
      <c r="A2" s="322" t="s">
        <v>433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</row>
    <row r="3" spans="1:13" ht="31.5" customHeight="1" x14ac:dyDescent="0.35">
      <c r="A3" s="5"/>
      <c r="B3" s="24" t="s">
        <v>62</v>
      </c>
      <c r="C3" s="24" t="s">
        <v>232</v>
      </c>
      <c r="D3" s="24" t="s">
        <v>348</v>
      </c>
      <c r="E3" s="24" t="s">
        <v>349</v>
      </c>
      <c r="F3" s="24" t="s">
        <v>350</v>
      </c>
      <c r="G3" s="24" t="s">
        <v>351</v>
      </c>
      <c r="H3" s="24" t="s">
        <v>434</v>
      </c>
      <c r="I3" s="24" t="s">
        <v>354</v>
      </c>
      <c r="J3" s="24" t="s">
        <v>355</v>
      </c>
      <c r="K3" s="24" t="s">
        <v>356</v>
      </c>
      <c r="L3" s="24" t="s">
        <v>357</v>
      </c>
      <c r="M3" s="24" t="s">
        <v>84</v>
      </c>
    </row>
    <row r="4" spans="1:13" ht="18" customHeight="1" x14ac:dyDescent="0.35">
      <c r="A4" s="5"/>
      <c r="B4" s="323" t="s">
        <v>435</v>
      </c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</row>
    <row r="5" spans="1:13" ht="18" customHeight="1" x14ac:dyDescent="0.35">
      <c r="A5" s="5"/>
      <c r="B5" s="11" t="str">
        <f>'Input Data'!B26</f>
        <v>L12</v>
      </c>
      <c r="C5" s="11" t="str">
        <f>'Input Data'!C26</f>
        <v>L12</v>
      </c>
      <c r="D5" s="26" t="str">
        <f ca="1">'Input Data'!D26</f>
        <v>DAKOTA CORPORATION</v>
      </c>
      <c r="E5" s="27">
        <f>'Input Data'!F26</f>
        <v>223.7</v>
      </c>
      <c r="F5" s="28">
        <f ca="1">IFERROR('Input Data'!G26,"")</f>
        <v>42736</v>
      </c>
      <c r="G5" s="28">
        <f ca="1">IFERROR('Input Data'!H26,"")</f>
        <v>47118</v>
      </c>
      <c r="H5" s="32">
        <f ca="1">'Input Data'!V26</f>
        <v>2.2094455852156059</v>
      </c>
      <c r="I5" s="30">
        <f>'Input Data'!J26</f>
        <v>0</v>
      </c>
      <c r="J5" s="30">
        <f ca="1">'Input Data'!N26</f>
        <v>0</v>
      </c>
      <c r="K5" s="11" t="str">
        <f ca="1">IF('Input Data'!H26="","VACANT",IF(OR('Input Data'!H26&lt;TODAY(),YEAR('Input Data'!H26)&lt;=2026),"2026",IF(YEAR('Input Data'!H26)=2027,"2027",IF(YEAR('Input Data'!H26)=2028,"2028",IF(YEAR('Input Data'!H26)=2029,"2029",IF(YEAR('Input Data'!H26)=2030,"2030","2031+"))))))</f>
        <v>2028</v>
      </c>
      <c r="L5" s="11">
        <f>'Input Data'!O26</f>
        <v>2</v>
      </c>
      <c r="M5" s="14" t="str">
        <f>IF(AND('Input Data'!J26&gt;0,'Input Data'!S26&gt;0),IF(('Input Data'!J26-'Input Data'!S26)/'Input Data'!S26&gt;0.05,"▲ Above Mkt",IF(('Input Data'!J26-'Input Data'!S26)/'Input Data'!S26&lt;-0.05,"▼ Below Mkt","≈ At Market")),"—")</f>
        <v>—</v>
      </c>
    </row>
    <row r="6" spans="1:13" ht="3.75" customHeight="1" x14ac:dyDescent="0.35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8" customHeight="1" x14ac:dyDescent="0.35">
      <c r="A7" s="5"/>
      <c r="B7" s="323" t="s">
        <v>436</v>
      </c>
      <c r="C7" s="323"/>
      <c r="D7" s="323"/>
      <c r="E7" s="323"/>
      <c r="F7" s="323"/>
      <c r="G7" s="323"/>
      <c r="H7" s="323"/>
      <c r="I7" s="323"/>
      <c r="J7" s="323"/>
      <c r="K7" s="323"/>
      <c r="L7" s="323"/>
      <c r="M7" s="323"/>
    </row>
    <row r="8" spans="1:13" ht="18" customHeight="1" x14ac:dyDescent="0.35">
      <c r="A8" s="5"/>
      <c r="B8" s="46" t="str">
        <f>'Input Data'!B24</f>
        <v>L11</v>
      </c>
      <c r="C8" s="46" t="str">
        <f>'Input Data'!C24</f>
        <v>1101</v>
      </c>
      <c r="D8" s="47" t="str">
        <f ca="1">'Input Data'!D24</f>
        <v>MICHAEL FLEGG PTY LTD</v>
      </c>
      <c r="E8" s="48">
        <f>'Input Data'!F24</f>
        <v>62.4</v>
      </c>
      <c r="F8" s="9">
        <f ca="1">IFERROR('Input Data'!G24,"")</f>
        <v>44531</v>
      </c>
      <c r="G8" s="9">
        <f ca="1">IFERROR('Input Data'!H24,"")</f>
        <v>46356</v>
      </c>
      <c r="H8" s="52">
        <f ca="1">'Input Data'!V24</f>
        <v>0.12320328542094455</v>
      </c>
      <c r="I8" s="50">
        <f ca="1">'Input Data'!J24</f>
        <v>1368.73</v>
      </c>
      <c r="J8" s="50">
        <f ca="1">'Input Data'!N24</f>
        <v>85408.751999999993</v>
      </c>
      <c r="K8" s="46" t="str">
        <f ca="1">IF('Input Data'!H24="","VACANT",IF(OR('Input Data'!H24&lt;TODAY(),YEAR('Input Data'!H24)&lt;=2026),"2026",IF(YEAR('Input Data'!H24)=2027,"2027",IF(YEAR('Input Data'!H24)=2028,"2028",IF(YEAR('Input Data'!H24)=2029,"2029",IF(YEAR('Input Data'!H24)=2030,"2030","2031+"))))))</f>
        <v>2026</v>
      </c>
      <c r="L8" s="46">
        <f>'Input Data'!O24</f>
        <v>0</v>
      </c>
      <c r="M8" s="20" t="str">
        <f ca="1">IF(AND('Input Data'!J24&gt;0,'Input Data'!S24&gt;0),IF(('Input Data'!J24-'Input Data'!S24)/'Input Data'!S24&gt;0.05,"▲ Above Mkt",IF(('Input Data'!J24-'Input Data'!S24)/'Input Data'!S24&lt;-0.05,"▼ Below Mkt","≈ At Market")),"—")</f>
        <v>≈ At Market</v>
      </c>
    </row>
    <row r="9" spans="1:13" ht="18" customHeight="1" x14ac:dyDescent="0.35">
      <c r="A9" s="5"/>
      <c r="B9" s="46" t="str">
        <f>'Input Data'!B25</f>
        <v>L11</v>
      </c>
      <c r="C9" s="46" t="str">
        <f>'Input Data'!C25</f>
        <v>1102</v>
      </c>
      <c r="D9" s="47" t="str">
        <f ca="1">'Input Data'!D25</f>
        <v>LEWIS WOOLCOTT</v>
      </c>
      <c r="E9" s="48">
        <f>'Input Data'!F25</f>
        <v>133.1</v>
      </c>
      <c r="F9" s="9">
        <f ca="1">IFERROR('Input Data'!G25,"")</f>
        <v>46249</v>
      </c>
      <c r="G9" s="9">
        <f ca="1">IFERROR('Input Data'!H25,"")</f>
        <v>46979</v>
      </c>
      <c r="H9" s="52">
        <f ca="1">'Input Data'!V25</f>
        <v>1.8288843258042438</v>
      </c>
      <c r="I9" s="50">
        <f ca="1">'Input Data'!J25</f>
        <v>1271.0999999999999</v>
      </c>
      <c r="J9" s="50">
        <f ca="1">'Input Data'!N25</f>
        <v>138730.39999999997</v>
      </c>
      <c r="K9" s="46" t="str">
        <f ca="1">IF('Input Data'!H25="","VACANT",IF(OR('Input Data'!H25&lt;TODAY(),YEAR('Input Data'!H25)&lt;=2026),"2026",IF(YEAR('Input Data'!H25)=2027,"2027",IF(YEAR('Input Data'!H25)=2028,"2028",IF(YEAR('Input Data'!H25)=2029,"2029",IF(YEAR('Input Data'!H25)=2030,"2030","2031+"))))))</f>
        <v>2028</v>
      </c>
      <c r="L9" s="46">
        <f>'Input Data'!O25</f>
        <v>0</v>
      </c>
      <c r="M9" s="20" t="str">
        <f ca="1">IF(AND('Input Data'!J25&gt;0,'Input Data'!S25&gt;0),IF(('Input Data'!J25-'Input Data'!S25)/'Input Data'!S25&gt;0.05,"▲ Above Mkt",IF(('Input Data'!J25-'Input Data'!S25)/'Input Data'!S25&lt;-0.05,"▼ Below Mkt","≈ At Market")),"—")</f>
        <v>≈ At Market</v>
      </c>
    </row>
    <row r="10" spans="1:13" ht="18" customHeight="1" x14ac:dyDescent="0.35">
      <c r="A10" s="5"/>
      <c r="B10" s="60" t="str">
        <f>'Input Data'!B27</f>
        <v>L11</v>
      </c>
      <c r="C10" s="60" t="str">
        <f>'Input Data'!C27</f>
        <v>1103</v>
      </c>
      <c r="D10" s="54" t="str">
        <f ca="1">'Input Data'!D27</f>
        <v>INTERFI SYSTEMS PTY LTD</v>
      </c>
      <c r="E10" s="62">
        <f>'Input Data'!F27</f>
        <v>160.30000000000001</v>
      </c>
      <c r="F10" s="63">
        <f ca="1">IFERROR('Input Data'!G27,"")</f>
        <v>46218</v>
      </c>
      <c r="G10" s="63">
        <f ca="1">IFERROR('Input Data'!H27,"")</f>
        <v>47313</v>
      </c>
      <c r="H10" s="67">
        <f ca="1">'Input Data'!V27</f>
        <v>2.7433264887063653</v>
      </c>
      <c r="I10" s="65">
        <f ca="1">'Input Data'!J27</f>
        <v>1150</v>
      </c>
      <c r="J10" s="65">
        <f ca="1">'Input Data'!N27</f>
        <v>129041.5</v>
      </c>
      <c r="K10" s="60" t="str">
        <f ca="1">IF('Input Data'!H27="","VACANT",IF(OR('Input Data'!H27&lt;TODAY(),YEAR('Input Data'!H27)&lt;=2026),"2026",IF(YEAR('Input Data'!H27)=2027,"2027",IF(YEAR('Input Data'!H27)=2028,"2028",IF(YEAR('Input Data'!H27)=2029,"2029",IF(YEAR('Input Data'!H27)=2030,"2030","2031+"))))))</f>
        <v>2029</v>
      </c>
      <c r="L10" s="60">
        <f>'Input Data'!O27</f>
        <v>0</v>
      </c>
      <c r="M10" s="61" t="str">
        <f ca="1">IF(AND('Input Data'!J27&gt;0,'Input Data'!S27&gt;0),IF(('Input Data'!J27-'Input Data'!S27)/'Input Data'!S27&gt;0.05,"▲ Above Mkt",IF(('Input Data'!J27-'Input Data'!S27)/'Input Data'!S27&lt;-0.05,"▼ Below Mkt","≈ At Market")),"—")</f>
        <v>▲ Above Mkt</v>
      </c>
    </row>
    <row r="11" spans="1:13" ht="3.75" customHeight="1" x14ac:dyDescent="0.35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8" customHeight="1" x14ac:dyDescent="0.35">
      <c r="A12" s="5"/>
      <c r="B12" s="323" t="s">
        <v>437</v>
      </c>
      <c r="C12" s="323"/>
      <c r="D12" s="323"/>
      <c r="E12" s="323"/>
      <c r="F12" s="323"/>
      <c r="G12" s="323"/>
      <c r="H12" s="323"/>
      <c r="I12" s="323"/>
      <c r="J12" s="323"/>
      <c r="K12" s="323"/>
      <c r="L12" s="323"/>
      <c r="M12" s="323"/>
    </row>
    <row r="13" spans="1:13" ht="18" customHeight="1" x14ac:dyDescent="0.35">
      <c r="A13" s="5"/>
      <c r="B13" s="156" t="str">
        <f>'Input Data'!B23</f>
        <v>L10</v>
      </c>
      <c r="C13" s="156" t="str">
        <f>'Input Data'!C23</f>
        <v>1001&amp;2</v>
      </c>
      <c r="D13" s="150" t="str">
        <f ca="1">'Input Data'!D23</f>
        <v>CONNECTUS SERVICES PTY LTD</v>
      </c>
      <c r="E13" s="157">
        <f>'Input Data'!F23</f>
        <v>363.2</v>
      </c>
      <c r="F13" s="158">
        <f ca="1">IFERROR('Input Data'!G23,"")</f>
        <v>45261</v>
      </c>
      <c r="G13" s="158">
        <f ca="1">IFERROR('Input Data'!H23,"")</f>
        <v>47452</v>
      </c>
      <c r="H13" s="160">
        <f ca="1">'Input Data'!V23</f>
        <v>3.1238877481177276</v>
      </c>
      <c r="I13" s="161">
        <f ca="1">'Input Data'!J23</f>
        <v>1189.67</v>
      </c>
      <c r="J13" s="161">
        <f ca="1">'Input Data'!N23</f>
        <v>317550.18400000001</v>
      </c>
      <c r="K13" s="156" t="str">
        <f ca="1">IF('Input Data'!H23="","VACANT",IF(OR('Input Data'!H23&lt;TODAY(),YEAR('Input Data'!H23)&lt;=2026),"2026",IF(YEAR('Input Data'!H23)=2027,"2027",IF(YEAR('Input Data'!H23)=2028,"2028",IF(YEAR('Input Data'!H23)=2029,"2029",IF(YEAR('Input Data'!H23)=2030,"2030","2031+"))))))</f>
        <v>2029</v>
      </c>
      <c r="L13" s="156">
        <f>'Input Data'!O23</f>
        <v>0</v>
      </c>
      <c r="M13" s="22" t="str">
        <f ca="1">IF(AND('Input Data'!J23&gt;0,'Input Data'!S23&gt;0),IF(('Input Data'!J23-'Input Data'!S23)/'Input Data'!S23&gt;0.05,"▲ Above Mkt",IF(('Input Data'!J23-'Input Data'!S23)/'Input Data'!S23&lt;-0.05,"▼ Below Mkt","≈ At Market")),"—")</f>
        <v>≈ At Market</v>
      </c>
    </row>
    <row r="14" spans="1:13" ht="3.75" customHeight="1" x14ac:dyDescent="0.35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8" customHeight="1" x14ac:dyDescent="0.35">
      <c r="A15" s="5"/>
      <c r="B15" s="323" t="s">
        <v>438</v>
      </c>
      <c r="C15" s="323"/>
      <c r="D15" s="323"/>
      <c r="E15" s="323"/>
      <c r="F15" s="323"/>
      <c r="G15" s="323"/>
      <c r="H15" s="323"/>
      <c r="I15" s="323"/>
      <c r="J15" s="323"/>
      <c r="K15" s="323"/>
      <c r="L15" s="323"/>
      <c r="M15" s="323"/>
    </row>
    <row r="16" spans="1:13" ht="18" customHeight="1" x14ac:dyDescent="0.35">
      <c r="A16" s="5"/>
      <c r="B16" s="46" t="str">
        <f>'Input Data'!B21</f>
        <v>L09</v>
      </c>
      <c r="C16" s="46" t="str">
        <f>'Input Data'!C21</f>
        <v>901</v>
      </c>
      <c r="D16" s="47" t="str">
        <f ca="1">'Input Data'!D21</f>
        <v>AITKEN INVESTMENT MANAGEMENT PTY LTD</v>
      </c>
      <c r="E16" s="48">
        <f>'Input Data'!F21</f>
        <v>52.8</v>
      </c>
      <c r="F16" s="9">
        <f ca="1">IFERROR('Input Data'!G21,"")</f>
        <v>45823</v>
      </c>
      <c r="G16" s="9">
        <f ca="1">IFERROR('Input Data'!H21,"")</f>
        <v>46918</v>
      </c>
      <c r="H16" s="52">
        <f ca="1">'Input Data'!V21</f>
        <v>1.6618754277891854</v>
      </c>
      <c r="I16" s="50">
        <f>'Input Data'!J21</f>
        <v>1338.88</v>
      </c>
      <c r="J16" s="50">
        <f ca="1">'Input Data'!N21</f>
        <v>54298.464</v>
      </c>
      <c r="K16" s="46" t="str">
        <f ca="1">IF('Input Data'!H21="","VACANT",IF(OR('Input Data'!H21&lt;TODAY(),YEAR('Input Data'!H21)&lt;=2026),"2026",IF(YEAR('Input Data'!H21)=2027,"2027",IF(YEAR('Input Data'!H21)=2028,"2028",IF(YEAR('Input Data'!H21)=2029,"2029",IF(YEAR('Input Data'!H21)=2030,"2030","2031+"))))))</f>
        <v>2028</v>
      </c>
      <c r="L16" s="46">
        <f>'Input Data'!O21</f>
        <v>0</v>
      </c>
      <c r="M16" s="20" t="str">
        <f>IF(AND('Input Data'!J21&gt;0,'Input Data'!S21&gt;0),IF(('Input Data'!J21-'Input Data'!S21)/'Input Data'!S21&gt;0.05,"▲ Above Mkt",IF(('Input Data'!J21-'Input Data'!S21)/'Input Data'!S21&lt;-0.05,"▼ Below Mkt","≈ At Market")),"—")</f>
        <v>≈ At Market</v>
      </c>
    </row>
    <row r="17" spans="1:13" ht="18" customHeight="1" x14ac:dyDescent="0.35">
      <c r="A17" s="5"/>
      <c r="B17" s="101" t="str">
        <f>'Input Data'!B22</f>
        <v>L09</v>
      </c>
      <c r="C17" s="101" t="str">
        <f>'Input Data'!C22</f>
        <v>902&amp;3</v>
      </c>
      <c r="D17" s="163" t="str">
        <f ca="1">'Input Data'!D22</f>
        <v>CAPITAL E MARKETING AND EVENTS PTY LTD</v>
      </c>
      <c r="E17" s="103">
        <f>'Input Data'!F22</f>
        <v>303</v>
      </c>
      <c r="F17" s="59">
        <f ca="1">IFERROR('Input Data'!G22,"")</f>
        <v>44562</v>
      </c>
      <c r="G17" s="59">
        <f ca="1">IFERROR('Input Data'!H22,"")</f>
        <v>47573</v>
      </c>
      <c r="H17" s="165">
        <f ca="1">'Input Data'!V22</f>
        <v>3.4551676933607118</v>
      </c>
      <c r="I17" s="104">
        <f ca="1">'Input Data'!J22</f>
        <v>1141.25</v>
      </c>
      <c r="J17" s="104">
        <f ca="1">'Input Data'!N22</f>
        <v>255323.07</v>
      </c>
      <c r="K17" s="101" t="str">
        <f ca="1">IF('Input Data'!H22="","VACANT",IF(OR('Input Data'!H22&lt;TODAY(),YEAR('Input Data'!H22)&lt;=2026),"2026",IF(YEAR('Input Data'!H22)=2027,"2027",IF(YEAR('Input Data'!H22)=2028,"2028",IF(YEAR('Input Data'!H22)=2029,"2029",IF(YEAR('Input Data'!H22)=2030,"2030","2031+"))))))</f>
        <v>2030</v>
      </c>
      <c r="L17" s="101">
        <f>'Input Data'!O22</f>
        <v>0</v>
      </c>
      <c r="M17" s="102" t="str">
        <f ca="1">IF(AND('Input Data'!J22&gt;0,'Input Data'!S22&gt;0),IF(('Input Data'!J22-'Input Data'!S22)/'Input Data'!S22&gt;0.05,"▲ Above Mkt",IF(('Input Data'!J22-'Input Data'!S22)/'Input Data'!S22&lt;-0.05,"▼ Below Mkt","≈ At Market")),"—")</f>
        <v>≈ At Market</v>
      </c>
    </row>
    <row r="18" spans="1:13" ht="3.75" customHeight="1" x14ac:dyDescent="0.35">
      <c r="A18" s="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8" customHeight="1" x14ac:dyDescent="0.35">
      <c r="A19" s="5"/>
      <c r="B19" s="323" t="s">
        <v>439</v>
      </c>
      <c r="C19" s="323"/>
      <c r="D19" s="323"/>
      <c r="E19" s="323"/>
      <c r="F19" s="323"/>
      <c r="G19" s="323"/>
      <c r="H19" s="323"/>
      <c r="I19" s="323"/>
      <c r="J19" s="323"/>
      <c r="K19" s="323"/>
      <c r="L19" s="323"/>
      <c r="M19" s="323"/>
    </row>
    <row r="20" spans="1:13" ht="18" customHeight="1" x14ac:dyDescent="0.35">
      <c r="A20" s="5"/>
      <c r="B20" s="101" t="str">
        <f>'Input Data'!B19</f>
        <v>L08</v>
      </c>
      <c r="C20" s="101" t="str">
        <f>'Input Data'!C19</f>
        <v>801</v>
      </c>
      <c r="D20" s="163" t="str">
        <f ca="1">'Input Data'!D19</f>
        <v>ARKANCE AUSTRALIA PTY LTD</v>
      </c>
      <c r="E20" s="103">
        <f>'Input Data'!F19</f>
        <v>222</v>
      </c>
      <c r="F20" s="59">
        <f ca="1">IFERROR('Input Data'!G19,"")</f>
        <v>45931</v>
      </c>
      <c r="G20" s="59">
        <f ca="1">IFERROR('Input Data'!H19,"")</f>
        <v>47756</v>
      </c>
      <c r="H20" s="165">
        <f ca="1">'Input Data'!V19</f>
        <v>3.9561943874058865</v>
      </c>
      <c r="I20" s="104">
        <f ca="1">'Input Data'!J19</f>
        <v>1300</v>
      </c>
      <c r="J20" s="104">
        <f ca="1">'Input Data'!N19</f>
        <v>242424</v>
      </c>
      <c r="K20" s="101" t="str">
        <f ca="1">IF('Input Data'!H19="","VACANT",IF(OR('Input Data'!H19&lt;TODAY(),YEAR('Input Data'!H19)&lt;=2026),"2026",IF(YEAR('Input Data'!H19)=2027,"2027",IF(YEAR('Input Data'!H19)=2028,"2028",IF(YEAR('Input Data'!H19)=2029,"2029",IF(YEAR('Input Data'!H19)=2030,"2030","2031+"))))))</f>
        <v>2030</v>
      </c>
      <c r="L20" s="101">
        <f>'Input Data'!O19</f>
        <v>0</v>
      </c>
      <c r="M20" s="102" t="str">
        <f ca="1">IF(AND('Input Data'!J19&gt;0,'Input Data'!S19&gt;0),IF(('Input Data'!J19-'Input Data'!S19)/'Input Data'!S19&gt;0.05,"▲ Above Mkt",IF(('Input Data'!J19-'Input Data'!S19)/'Input Data'!S19&lt;-0.05,"▼ Below Mkt","≈ At Market")),"—")</f>
        <v>≈ At Market</v>
      </c>
    </row>
    <row r="21" spans="1:13" ht="18" customHeight="1" x14ac:dyDescent="0.35">
      <c r="A21" s="5"/>
      <c r="B21" s="11" t="str">
        <f>'Input Data'!B20</f>
        <v>L08</v>
      </c>
      <c r="C21" s="11" t="str">
        <f>'Input Data'!C20</f>
        <v>802</v>
      </c>
      <c r="D21" s="26" t="str">
        <f ca="1">'Input Data'!D20</f>
        <v>HILLIARD &amp; BERRY</v>
      </c>
      <c r="E21" s="27">
        <f>'Input Data'!F20</f>
        <v>138.5</v>
      </c>
      <c r="F21" s="28">
        <f ca="1">IFERROR('Input Data'!G20,"")</f>
        <v>41654</v>
      </c>
      <c r="G21" s="28">
        <f ca="1">IFERROR('Input Data'!H20,"")</f>
        <v>46965</v>
      </c>
      <c r="H21" s="32">
        <f ca="1">'Input Data'!V20</f>
        <v>1.7905544147843941</v>
      </c>
      <c r="I21" s="30">
        <f ca="1">'Input Data'!J20</f>
        <v>843.65</v>
      </c>
      <c r="J21" s="30">
        <f ca="1">'Input Data'!N20</f>
        <v>116845.52499999999</v>
      </c>
      <c r="K21" s="11" t="str">
        <f ca="1">IF('Input Data'!H20="","VACANT",IF(OR('Input Data'!H20&lt;TODAY(),YEAR('Input Data'!H20)&lt;=2026),"2026",IF(YEAR('Input Data'!H20)=2027,"2027",IF(YEAR('Input Data'!H20)=2028,"2028",IF(YEAR('Input Data'!H20)=2029,"2029",IF(YEAR('Input Data'!H20)=2030,"2030","2031+"))))))</f>
        <v>2028</v>
      </c>
      <c r="L21" s="11">
        <f>'Input Data'!O20</f>
        <v>0</v>
      </c>
      <c r="M21" s="14" t="str">
        <f ca="1">IF(AND('Input Data'!J20&gt;0,'Input Data'!S20&gt;0),IF(('Input Data'!J20-'Input Data'!S20)/'Input Data'!S20&gt;0.05,"▲ Above Mkt",IF(('Input Data'!J20-'Input Data'!S20)/'Input Data'!S20&lt;-0.05,"▼ Below Mkt","≈ At Market")),"—")</f>
        <v>▼ Below Mkt</v>
      </c>
    </row>
    <row r="22" spans="1:13" ht="3.75" customHeight="1" x14ac:dyDescent="0.35">
      <c r="A22" s="5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8" customHeight="1" x14ac:dyDescent="0.35">
      <c r="A23" s="5"/>
      <c r="B23" s="323" t="s">
        <v>440</v>
      </c>
      <c r="C23" s="323"/>
      <c r="D23" s="323"/>
      <c r="E23" s="323"/>
      <c r="F23" s="323"/>
      <c r="G23" s="323"/>
      <c r="H23" s="323"/>
      <c r="I23" s="323"/>
      <c r="J23" s="323"/>
      <c r="K23" s="323"/>
      <c r="L23" s="323"/>
      <c r="M23" s="323"/>
    </row>
    <row r="24" spans="1:13" ht="18" customHeight="1" x14ac:dyDescent="0.35">
      <c r="A24" s="5"/>
      <c r="B24" s="11" t="str">
        <f>'Input Data'!B17</f>
        <v>L07</v>
      </c>
      <c r="C24" s="11" t="str">
        <f>'Input Data'!C17</f>
        <v>701</v>
      </c>
      <c r="D24" s="26" t="str">
        <f ca="1">'Input Data'!D17</f>
        <v>PINPOINT TALENT PTY LTD</v>
      </c>
      <c r="E24" s="27">
        <f>'Input Data'!F17</f>
        <v>210.5</v>
      </c>
      <c r="F24" s="28">
        <f ca="1">IFERROR('Input Data'!G17,"")</f>
        <v>45145</v>
      </c>
      <c r="G24" s="28">
        <f ca="1">IFERROR('Input Data'!H17,"")</f>
        <v>46605</v>
      </c>
      <c r="H24" s="32">
        <f ca="1">'Input Data'!V17</f>
        <v>0.80492813141683783</v>
      </c>
      <c r="I24" s="30">
        <f ca="1">'Input Data'!J17</f>
        <v>1173.54</v>
      </c>
      <c r="J24" s="30">
        <f ca="1">'Input Data'!N17</f>
        <v>178512.44999999998</v>
      </c>
      <c r="K24" s="11" t="str">
        <f ca="1">IF('Input Data'!H17="","VACANT",IF(OR('Input Data'!H17&lt;TODAY(),YEAR('Input Data'!H17)&lt;=2026),"2026",IF(YEAR('Input Data'!H17)=2027,"2027",IF(YEAR('Input Data'!H17)=2028,"2028",IF(YEAR('Input Data'!H17)=2029,"2029",IF(YEAR('Input Data'!H17)=2030,"2030","2031+"))))))</f>
        <v>2027</v>
      </c>
      <c r="L24" s="11">
        <f>'Input Data'!O17</f>
        <v>0</v>
      </c>
      <c r="M24" s="14" t="str">
        <f ca="1">IF(AND('Input Data'!J17&gt;0,'Input Data'!S17&gt;0),IF(('Input Data'!J17-'Input Data'!S17)/'Input Data'!S17&gt;0.05,"▲ Above Mkt",IF(('Input Data'!J17-'Input Data'!S17)/'Input Data'!S17&lt;-0.05,"▼ Below Mkt","≈ At Market")),"—")</f>
        <v>≈ At Market</v>
      </c>
    </row>
    <row r="25" spans="1:13" ht="18" customHeight="1" x14ac:dyDescent="0.35">
      <c r="A25" s="5"/>
      <c r="B25" s="11" t="str">
        <f>'Input Data'!B18</f>
        <v>L07</v>
      </c>
      <c r="C25" s="11" t="str">
        <f>'Input Data'!C18</f>
        <v>702</v>
      </c>
      <c r="D25" s="26" t="str">
        <f ca="1">'Input Data'!D18</f>
        <v>SATELLITE OFFICE PTY LTD</v>
      </c>
      <c r="E25" s="27">
        <f>'Input Data'!F18</f>
        <v>163.9</v>
      </c>
      <c r="F25" s="28">
        <f ca="1">IFERROR('Input Data'!G18,"")</f>
        <v>45444</v>
      </c>
      <c r="G25" s="28">
        <f ca="1">IFERROR('Input Data'!H18,"")</f>
        <v>46904</v>
      </c>
      <c r="H25" s="32">
        <f ca="1">'Input Data'!V18</f>
        <v>1.623545516769336</v>
      </c>
      <c r="I25" s="30">
        <f>'Input Data'!J18</f>
        <v>1054.8800000000001</v>
      </c>
      <c r="J25" s="30">
        <f ca="1">'Input Data'!N18</f>
        <v>132633.27200000003</v>
      </c>
      <c r="K25" s="11" t="str">
        <f ca="1">IF('Input Data'!H18="","VACANT",IF(OR('Input Data'!H18&lt;TODAY(),YEAR('Input Data'!H18)&lt;=2026),"2026",IF(YEAR('Input Data'!H18)=2027,"2027",IF(YEAR('Input Data'!H18)=2028,"2028",IF(YEAR('Input Data'!H18)=2029,"2029",IF(YEAR('Input Data'!H18)=2030,"2030","2031+"))))))</f>
        <v>2028</v>
      </c>
      <c r="L25" s="11">
        <f>'Input Data'!O18</f>
        <v>0</v>
      </c>
      <c r="M25" s="14" t="str">
        <f>IF(AND('Input Data'!J18&gt;0,'Input Data'!S18&gt;0),IF(('Input Data'!J18-'Input Data'!S18)/'Input Data'!S18&gt;0.05,"▲ Above Mkt",IF(('Input Data'!J18-'Input Data'!S18)/'Input Data'!S18&lt;-0.05,"▼ Below Mkt","≈ At Market")),"—")</f>
        <v>≈ At Market</v>
      </c>
    </row>
    <row r="26" spans="1:13" ht="3.75" customHeight="1" x14ac:dyDescent="0.35">
      <c r="A26" s="5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8" customHeight="1" x14ac:dyDescent="0.35">
      <c r="A27" s="5"/>
      <c r="B27" s="323" t="s">
        <v>441</v>
      </c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</row>
    <row r="28" spans="1:13" ht="18" customHeight="1" x14ac:dyDescent="0.35">
      <c r="A28" s="5"/>
      <c r="B28" s="11" t="str">
        <f>'Input Data'!B15</f>
        <v>L06</v>
      </c>
      <c r="C28" s="11" t="str">
        <f>'Input Data'!C15</f>
        <v>601</v>
      </c>
      <c r="D28" s="26" t="str">
        <f ca="1">'Input Data'!D15</f>
        <v>FULLCRM PTY LTD</v>
      </c>
      <c r="E28" s="27">
        <f>'Input Data'!F15</f>
        <v>226.1</v>
      </c>
      <c r="F28" s="28">
        <f ca="1">IFERROR('Input Data'!G15,"")</f>
        <v>44531</v>
      </c>
      <c r="G28" s="28">
        <f ca="1">IFERROR('Input Data'!H15,"")</f>
        <v>46418</v>
      </c>
      <c r="H28" s="32">
        <f ca="1">'Input Data'!V15</f>
        <v>0.29295003422313481</v>
      </c>
      <c r="I28" s="30">
        <f ca="1">'Input Data'!J15</f>
        <v>1251.3399999999999</v>
      </c>
      <c r="J28" s="30">
        <f ca="1">'Input Data'!N15</f>
        <v>251183.53399999999</v>
      </c>
      <c r="K28" s="11" t="str">
        <f ca="1">IF('Input Data'!H15="","VACANT",IF(OR('Input Data'!H15&lt;TODAY(),YEAR('Input Data'!H15)&lt;=2026),"2026",IF(YEAR('Input Data'!H15)=2027,"2027",IF(YEAR('Input Data'!H15)=2028,"2028",IF(YEAR('Input Data'!H15)=2029,"2029",IF(YEAR('Input Data'!H15)=2030,"2030","2031+"))))))</f>
        <v>2027</v>
      </c>
      <c r="L28" s="11">
        <f>'Input Data'!O15</f>
        <v>0</v>
      </c>
      <c r="M28" s="14" t="str">
        <f ca="1">IF(AND('Input Data'!J15&gt;0,'Input Data'!S15&gt;0),IF(('Input Data'!J15-'Input Data'!S15)/'Input Data'!S15&gt;0.05,"▲ Above Mkt",IF(('Input Data'!J15-'Input Data'!S15)/'Input Data'!S15&lt;-0.05,"▼ Below Mkt","≈ At Market")),"—")</f>
        <v>▲ Above Mkt</v>
      </c>
    </row>
    <row r="29" spans="1:13" ht="18" customHeight="1" x14ac:dyDescent="0.35">
      <c r="A29" s="5"/>
      <c r="B29" s="46" t="str">
        <f>'Input Data'!B16</f>
        <v>L06</v>
      </c>
      <c r="C29" s="46" t="str">
        <f>'Input Data'!C16</f>
        <v>602</v>
      </c>
      <c r="D29" s="47" t="str">
        <f>'Input Data'!D16</f>
        <v>INNOVIS</v>
      </c>
      <c r="E29" s="48">
        <f>'Input Data'!F16</f>
        <v>152.1</v>
      </c>
      <c r="F29" s="9">
        <f>IFERROR('Input Data'!G16,"")</f>
        <v>46327</v>
      </c>
      <c r="G29" s="9">
        <f ca="1">IFERROR('Input Data'!H16,"")</f>
        <v>47421</v>
      </c>
      <c r="H29" s="52">
        <f ca="1">'Input Data'!V16</f>
        <v>3.0390143737166326</v>
      </c>
      <c r="I29" s="50">
        <f>'Input Data'!J16</f>
        <v>1090</v>
      </c>
      <c r="J29" s="50">
        <f ca="1">'Input Data'!N16</f>
        <v>135946.98000000001</v>
      </c>
      <c r="K29" s="46" t="str">
        <f ca="1">IF('Input Data'!H16="","VACANT",IF(OR('Input Data'!H16&lt;TODAY(),YEAR('Input Data'!H16)&lt;=2026),"2026",IF(YEAR('Input Data'!H16)=2027,"2027",IF(YEAR('Input Data'!H16)=2028,"2028",IF(YEAR('Input Data'!H16)=2029,"2029",IF(YEAR('Input Data'!H16)=2030,"2030","2031+"))))))</f>
        <v>2029</v>
      </c>
      <c r="L29" s="46">
        <f>'Input Data'!O16</f>
        <v>0</v>
      </c>
      <c r="M29" s="20" t="str">
        <f>IF(AND('Input Data'!J16&gt;0,'Input Data'!S16&gt;0),IF(('Input Data'!J16-'Input Data'!S16)/'Input Data'!S16&gt;0.05,"▲ Above Mkt",IF(('Input Data'!J16-'Input Data'!S16)/'Input Data'!S16&lt;-0.05,"▼ Below Mkt","≈ At Market")),"—")</f>
        <v>▲ Above Mkt</v>
      </c>
    </row>
    <row r="30" spans="1:13" ht="3.75" customHeight="1" x14ac:dyDescent="0.35">
      <c r="A30" s="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8" customHeight="1" x14ac:dyDescent="0.35">
      <c r="A31" s="5"/>
      <c r="B31" s="323" t="s">
        <v>442</v>
      </c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</row>
    <row r="32" spans="1:13" ht="18" customHeight="1" x14ac:dyDescent="0.35">
      <c r="A32" s="5"/>
      <c r="B32" s="11" t="str">
        <f>'Input Data'!B13</f>
        <v>L05</v>
      </c>
      <c r="C32" s="11" t="str">
        <f>'Input Data'!C13</f>
        <v>501</v>
      </c>
      <c r="D32" s="26" t="str">
        <f ca="1">'Input Data'!D13</f>
        <v>MONTGOMERY INVESTMENT</v>
      </c>
      <c r="E32" s="27">
        <f>'Input Data'!F13</f>
        <v>212.3</v>
      </c>
      <c r="F32" s="28">
        <f ca="1">IFERROR('Input Data'!G13,"")</f>
        <v>43770</v>
      </c>
      <c r="G32" s="28">
        <f ca="1">IFERROR('Input Data'!H13,"")</f>
        <v>46691</v>
      </c>
      <c r="H32" s="32">
        <f ca="1">'Input Data'!V13</f>
        <v>1.0403832991101984</v>
      </c>
      <c r="I32" s="30">
        <f ca="1">'Input Data'!J13</f>
        <v>1341.24</v>
      </c>
      <c r="J32" s="30">
        <f ca="1">'Input Data'!N13</f>
        <v>235383.49200000003</v>
      </c>
      <c r="K32" s="11" t="str">
        <f ca="1">IF('Input Data'!H13="","VACANT",IF(OR('Input Data'!H13&lt;TODAY(),YEAR('Input Data'!H13)&lt;=2026),"2026",IF(YEAR('Input Data'!H13)=2027,"2027",IF(YEAR('Input Data'!H13)=2028,"2028",IF(YEAR('Input Data'!H13)=2029,"2029",IF(YEAR('Input Data'!H13)=2030,"2030","2031+"))))))</f>
        <v>2027</v>
      </c>
      <c r="L32" s="11">
        <f>'Input Data'!O13</f>
        <v>0</v>
      </c>
      <c r="M32" s="14" t="str">
        <f ca="1">IF(AND('Input Data'!J13&gt;0,'Input Data'!S13&gt;0),IF(('Input Data'!J13-'Input Data'!S13)/'Input Data'!S13&gt;0.05,"▲ Above Mkt",IF(('Input Data'!J13-'Input Data'!S13)/'Input Data'!S13&lt;-0.05,"▼ Below Mkt","≈ At Market")),"—")</f>
        <v>▲ Above Mkt</v>
      </c>
    </row>
    <row r="33" spans="1:13" ht="18" customHeight="1" x14ac:dyDescent="0.35">
      <c r="A33" s="5"/>
      <c r="B33" s="11" t="str">
        <f>'Input Data'!B14</f>
        <v>L05</v>
      </c>
      <c r="C33" s="11" t="str">
        <f>'Input Data'!C14</f>
        <v>502</v>
      </c>
      <c r="D33" s="26" t="str">
        <f ca="1">'Input Data'!D14</f>
        <v>THREAT DEFENCE</v>
      </c>
      <c r="E33" s="27">
        <f>'Input Data'!F14</f>
        <v>163.80000000000001</v>
      </c>
      <c r="F33" s="28">
        <f ca="1">IFERROR('Input Data'!G14,"")</f>
        <v>45474</v>
      </c>
      <c r="G33" s="28">
        <f ca="1">IFERROR('Input Data'!H14,"")</f>
        <v>46568</v>
      </c>
      <c r="H33" s="32">
        <f ca="1">'Input Data'!V14</f>
        <v>0.70362765229294999</v>
      </c>
      <c r="I33" s="30">
        <f>'Input Data'!J14</f>
        <v>1054.8800000000001</v>
      </c>
      <c r="J33" s="30">
        <f ca="1">'Input Data'!N14</f>
        <v>131053.10400000005</v>
      </c>
      <c r="K33" s="11" t="str">
        <f ca="1">IF('Input Data'!H14="","VACANT",IF(OR('Input Data'!H14&lt;TODAY(),YEAR('Input Data'!H14)&lt;=2026),"2026",IF(YEAR('Input Data'!H14)=2027,"2027",IF(YEAR('Input Data'!H14)=2028,"2028",IF(YEAR('Input Data'!H14)=2029,"2029",IF(YEAR('Input Data'!H14)=2030,"2030","2031+"))))))</f>
        <v>2027</v>
      </c>
      <c r="L33" s="11">
        <f>'Input Data'!O14</f>
        <v>0</v>
      </c>
      <c r="M33" s="14" t="str">
        <f>IF(AND('Input Data'!J14&gt;0,'Input Data'!S14&gt;0),IF(('Input Data'!J14-'Input Data'!S14)/'Input Data'!S14&gt;0.05,"▲ Above Mkt",IF(('Input Data'!J14-'Input Data'!S14)/'Input Data'!S14&lt;-0.05,"▼ Below Mkt","≈ At Market")),"—")</f>
        <v>≈ At Market</v>
      </c>
    </row>
    <row r="34" spans="1:13" ht="3.75" customHeight="1" x14ac:dyDescent="0.35">
      <c r="A34" s="5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8" customHeight="1" x14ac:dyDescent="0.35">
      <c r="A35" s="5"/>
      <c r="B35" s="323" t="s">
        <v>443</v>
      </c>
      <c r="C35" s="323"/>
      <c r="D35" s="323"/>
      <c r="E35" s="323"/>
      <c r="F35" s="323"/>
      <c r="G35" s="323"/>
      <c r="H35" s="323"/>
      <c r="I35" s="323"/>
      <c r="J35" s="323"/>
      <c r="K35" s="323"/>
      <c r="L35" s="323"/>
      <c r="M35" s="323"/>
    </row>
    <row r="36" spans="1:13" ht="18" customHeight="1" x14ac:dyDescent="0.35">
      <c r="A36" s="5"/>
      <c r="B36" s="36" t="str">
        <f>'Input Data'!B11</f>
        <v>L04</v>
      </c>
      <c r="C36" s="36" t="str">
        <f>'Input Data'!C11</f>
        <v>401</v>
      </c>
      <c r="D36" s="37" t="str">
        <f ca="1">'Input Data'!D11</f>
        <v>B-W INTERNATIONAL AUSTRALIA PTY LTD</v>
      </c>
      <c r="E36" s="39">
        <f>'Input Data'!F11</f>
        <v>214.1</v>
      </c>
      <c r="F36" s="40">
        <f ca="1">IFERROR('Input Data'!G11,"")</f>
        <v>45352</v>
      </c>
      <c r="G36" s="40">
        <f ca="1">IFERROR('Input Data'!H11,"")</f>
        <v>47177</v>
      </c>
      <c r="H36" s="44">
        <f ca="1">'Input Data'!V11</f>
        <v>2.3709787816563996</v>
      </c>
      <c r="I36" s="42">
        <f ca="1">'Input Data'!J11</f>
        <v>1135.6099999999999</v>
      </c>
      <c r="J36" s="42">
        <f ca="1">'Input Data'!N11</f>
        <v>188930.34099999996</v>
      </c>
      <c r="K36" s="36" t="str">
        <f ca="1">IF('Input Data'!H11="","VACANT",IF(OR('Input Data'!H11&lt;TODAY(),YEAR('Input Data'!H11)&lt;=2026),"2026",IF(YEAR('Input Data'!H11)=2027,"2027",IF(YEAR('Input Data'!H11)=2028,"2028",IF(YEAR('Input Data'!H11)=2029,"2029",IF(YEAR('Input Data'!H11)=2030,"2030","2031+"))))))</f>
        <v>2029</v>
      </c>
      <c r="L36" s="36">
        <f>'Input Data'!O11</f>
        <v>0</v>
      </c>
      <c r="M36" s="38" t="str">
        <f ca="1">IF(AND('Input Data'!J11&gt;0,'Input Data'!S11&gt;0),IF(('Input Data'!J11-'Input Data'!S11)/'Input Data'!S11&gt;0.05,"▲ Above Mkt",IF(('Input Data'!J11-'Input Data'!S11)/'Input Data'!S11&lt;-0.05,"▼ Below Mkt","≈ At Market")),"—")</f>
        <v>≈ At Market</v>
      </c>
    </row>
    <row r="37" spans="1:13" ht="18" customHeight="1" x14ac:dyDescent="0.35">
      <c r="A37" s="5"/>
      <c r="B37" s="156" t="str">
        <f>'Input Data'!B12</f>
        <v>L04</v>
      </c>
      <c r="C37" s="156" t="str">
        <f>'Input Data'!C12</f>
        <v>402</v>
      </c>
      <c r="D37" s="150" t="str">
        <f ca="1">'Input Data'!D12</f>
        <v>MP TRAVEL PTY LTD</v>
      </c>
      <c r="E37" s="157">
        <f>'Input Data'!F12</f>
        <v>145.6</v>
      </c>
      <c r="F37" s="158">
        <f ca="1">IFERROR('Input Data'!G12,"")</f>
        <v>45658</v>
      </c>
      <c r="G37" s="158">
        <f ca="1">IFERROR('Input Data'!H12,"")</f>
        <v>47483</v>
      </c>
      <c r="H37" s="160">
        <f ca="1">'Input Data'!V12</f>
        <v>3.2087611225188226</v>
      </c>
      <c r="I37" s="161">
        <f ca="1">'Input Data'!J12</f>
        <v>1037.5</v>
      </c>
      <c r="J37" s="161">
        <f ca="1">'Input Data'!N12</f>
        <v>133384.12</v>
      </c>
      <c r="K37" s="156" t="str">
        <f ca="1">IF('Input Data'!H12="","VACANT",IF(OR('Input Data'!H12&lt;TODAY(),YEAR('Input Data'!H12)&lt;=2026),"2026",IF(YEAR('Input Data'!H12)=2027,"2027",IF(YEAR('Input Data'!H12)=2028,"2028",IF(YEAR('Input Data'!H12)=2029,"2029",IF(YEAR('Input Data'!H12)=2030,"2030","2031+"))))))</f>
        <v>2029</v>
      </c>
      <c r="L37" s="156">
        <f>'Input Data'!O12</f>
        <v>0</v>
      </c>
      <c r="M37" s="22" t="str">
        <f ca="1">IF(AND('Input Data'!J12&gt;0,'Input Data'!S12&gt;0),IF(('Input Data'!J12-'Input Data'!S12)/'Input Data'!S12&gt;0.05,"▲ Above Mkt",IF(('Input Data'!J12-'Input Data'!S12)/'Input Data'!S12&lt;-0.05,"▼ Below Mkt","≈ At Market")),"—")</f>
        <v>≈ At Market</v>
      </c>
    </row>
    <row r="38" spans="1:13" ht="3.75" customHeight="1" x14ac:dyDescent="0.35">
      <c r="A38" s="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8" customHeight="1" x14ac:dyDescent="0.35">
      <c r="A39" s="5"/>
      <c r="B39" s="323" t="s">
        <v>444</v>
      </c>
      <c r="C39" s="323"/>
      <c r="D39" s="323"/>
      <c r="E39" s="323"/>
      <c r="F39" s="323"/>
      <c r="G39" s="323"/>
      <c r="H39" s="323"/>
      <c r="I39" s="323"/>
      <c r="J39" s="323"/>
      <c r="K39" s="323"/>
      <c r="L39" s="323"/>
      <c r="M39" s="323"/>
    </row>
    <row r="40" spans="1:13" ht="18" customHeight="1" x14ac:dyDescent="0.35">
      <c r="A40" s="5"/>
      <c r="B40" s="11" t="str">
        <f>'Input Data'!B9</f>
        <v>L03</v>
      </c>
      <c r="C40" s="11" t="str">
        <f>'Input Data'!C9</f>
        <v>301&amp;2</v>
      </c>
      <c r="D40" s="26" t="str">
        <f ca="1">'Input Data'!D9</f>
        <v>IPM RESIDENTIAL PTY LTD</v>
      </c>
      <c r="E40" s="27">
        <f>'Input Data'!F9</f>
        <v>164.2</v>
      </c>
      <c r="F40" s="28">
        <f ca="1">IFERROR('Input Data'!G9,"")</f>
        <v>44713</v>
      </c>
      <c r="G40" s="28">
        <f ca="1">IFERROR('Input Data'!H9,"")</f>
        <v>46538</v>
      </c>
      <c r="H40" s="32">
        <f ca="1">'Input Data'!V9</f>
        <v>0.62149212867898695</v>
      </c>
      <c r="I40" s="30">
        <f>'Input Data'!J9</f>
        <v>1216.58</v>
      </c>
      <c r="J40" s="30">
        <f ca="1">'Input Data'!N9</f>
        <v>184245.476</v>
      </c>
      <c r="K40" s="11" t="str">
        <f ca="1">IF('Input Data'!H9="","VACANT",IF(OR('Input Data'!H9&lt;TODAY(),YEAR('Input Data'!H9)&lt;=2026),"2026",IF(YEAR('Input Data'!H9)=2027,"2027",IF(YEAR('Input Data'!H9)=2028,"2028",IF(YEAR('Input Data'!H9)=2029,"2029",IF(YEAR('Input Data'!H9)=2030,"2030","2031+"))))))</f>
        <v>2027</v>
      </c>
      <c r="L40" s="11">
        <f>'Input Data'!O9</f>
        <v>2</v>
      </c>
      <c r="M40" s="14" t="str">
        <f>IF(AND('Input Data'!J9&gt;0,'Input Data'!S9&gt;0),IF(('Input Data'!J9-'Input Data'!S9)/'Input Data'!S9&gt;0.05,"▲ Above Mkt",IF(('Input Data'!J9-'Input Data'!S9)/'Input Data'!S9&lt;-0.05,"▼ Below Mkt","≈ At Market")),"—")</f>
        <v>▲ Above Mkt</v>
      </c>
    </row>
    <row r="41" spans="1:13" ht="18" customHeight="1" x14ac:dyDescent="0.35">
      <c r="A41" s="5"/>
      <c r="B41" s="11" t="str">
        <f>'Input Data'!B10</f>
        <v>L03</v>
      </c>
      <c r="C41" s="11" t="str">
        <f>'Input Data'!C10</f>
        <v>303&amp;4</v>
      </c>
      <c r="D41" s="26" t="str">
        <f ca="1">'Input Data'!D10</f>
        <v>BROADRIDGE (AUSTRALIA) PTY LTD</v>
      </c>
      <c r="E41" s="27">
        <f>'Input Data'!F10</f>
        <v>193.4</v>
      </c>
      <c r="F41" s="28">
        <f ca="1">IFERROR('Input Data'!G10,"")</f>
        <v>45566</v>
      </c>
      <c r="G41" s="28">
        <f ca="1">IFERROR('Input Data'!H10,"")</f>
        <v>47026</v>
      </c>
      <c r="H41" s="32">
        <f ca="1">'Input Data'!V10</f>
        <v>1.9575633127994525</v>
      </c>
      <c r="I41" s="30">
        <f ca="1">'Input Data'!J10</f>
        <v>933.75</v>
      </c>
      <c r="J41" s="30">
        <f ca="1">'Input Data'!N10</f>
        <v>159625.04999999999</v>
      </c>
      <c r="K41" s="11" t="str">
        <f ca="1">IF('Input Data'!H10="","VACANT",IF(OR('Input Data'!H10&lt;TODAY(),YEAR('Input Data'!H10)&lt;=2026),"2026",IF(YEAR('Input Data'!H10)=2027,"2027",IF(YEAR('Input Data'!H10)=2028,"2028",IF(YEAR('Input Data'!H10)=2029,"2029",IF(YEAR('Input Data'!H10)=2030,"2030","2031+"))))))</f>
        <v>2028</v>
      </c>
      <c r="L41" s="11">
        <f>'Input Data'!O10</f>
        <v>0</v>
      </c>
      <c r="M41" s="14" t="str">
        <f ca="1">IF(AND('Input Data'!J10&gt;0,'Input Data'!S10&gt;0),IF(('Input Data'!J10-'Input Data'!S10)/'Input Data'!S10&gt;0.05,"▲ Above Mkt",IF(('Input Data'!J10-'Input Data'!S10)/'Input Data'!S10&lt;-0.05,"▼ Below Mkt","≈ At Market")),"—")</f>
        <v>≈ At Market</v>
      </c>
    </row>
    <row r="42" spans="1:13" ht="3.75" customHeight="1" x14ac:dyDescent="0.35">
      <c r="A42" s="5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8" customHeight="1" x14ac:dyDescent="0.35">
      <c r="A43" s="5"/>
      <c r="B43" s="323" t="s">
        <v>445</v>
      </c>
      <c r="C43" s="323"/>
      <c r="D43" s="323"/>
      <c r="E43" s="323"/>
      <c r="F43" s="323"/>
      <c r="G43" s="323"/>
      <c r="H43" s="323"/>
      <c r="I43" s="323"/>
      <c r="J43" s="323"/>
      <c r="K43" s="323"/>
      <c r="L43" s="323"/>
      <c r="M43" s="323"/>
    </row>
    <row r="44" spans="1:13" ht="18" customHeight="1" x14ac:dyDescent="0.35">
      <c r="A44" s="5"/>
      <c r="B44" s="11" t="str">
        <f>'Input Data'!B8</f>
        <v>L02</v>
      </c>
      <c r="C44" s="11" t="str">
        <f>'Input Data'!C8</f>
        <v>WHOLE</v>
      </c>
      <c r="D44" s="26" t="str">
        <f ca="1">'Input Data'!D8</f>
        <v>PRINCETON FINANCIAL SERVICES</v>
      </c>
      <c r="E44" s="27">
        <f>'Input Data'!F8</f>
        <v>393.2</v>
      </c>
      <c r="F44" s="28">
        <f ca="1">IFERROR('Input Data'!G8,"")</f>
        <v>45292</v>
      </c>
      <c r="G44" s="28">
        <f ca="1">IFERROR('Input Data'!H8,"")</f>
        <v>47118</v>
      </c>
      <c r="H44" s="32">
        <f ca="1">'Input Data'!V8</f>
        <v>2.2094455852156059</v>
      </c>
      <c r="I44" s="30">
        <f ca="1">'Input Data'!J8</f>
        <v>1081.5999999999999</v>
      </c>
      <c r="J44" s="30">
        <f ca="1">'Input Data'!N8</f>
        <v>401703.31999999995</v>
      </c>
      <c r="K44" s="11" t="str">
        <f ca="1">IF('Input Data'!H8="","VACANT",IF(OR('Input Data'!H8&lt;TODAY(),YEAR('Input Data'!H8)&lt;=2026),"2026",IF(YEAR('Input Data'!H8)=2027,"2027",IF(YEAR('Input Data'!H8)=2028,"2028",IF(YEAR('Input Data'!H8)=2029,"2029",IF(YEAR('Input Data'!H8)=2030,"2030","2031+"))))))</f>
        <v>2028</v>
      </c>
      <c r="L44" s="11">
        <f>'Input Data'!O8</f>
        <v>0</v>
      </c>
      <c r="M44" s="14" t="str">
        <f ca="1">IF(AND('Input Data'!J8&gt;0,'Input Data'!S8&gt;0),IF(('Input Data'!J8-'Input Data'!S8)/'Input Data'!S8&gt;0.05,"▲ Above Mkt",IF(('Input Data'!J8-'Input Data'!S8)/'Input Data'!S8&lt;-0.05,"▼ Below Mkt","≈ At Market")),"—")</f>
        <v>≈ At Market</v>
      </c>
    </row>
    <row r="45" spans="1:13" ht="3.75" customHeight="1" x14ac:dyDescent="0.35">
      <c r="A45" s="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8" customHeight="1" x14ac:dyDescent="0.35">
      <c r="A46" s="5"/>
      <c r="B46" s="323" t="s">
        <v>446</v>
      </c>
      <c r="C46" s="323"/>
      <c r="D46" s="323"/>
      <c r="E46" s="323"/>
      <c r="F46" s="323"/>
      <c r="G46" s="323"/>
      <c r="H46" s="323"/>
      <c r="I46" s="323"/>
      <c r="J46" s="323"/>
      <c r="K46" s="323"/>
      <c r="L46" s="323"/>
      <c r="M46" s="323"/>
    </row>
    <row r="47" spans="1:13" ht="18" customHeight="1" x14ac:dyDescent="0.35">
      <c r="A47" s="5"/>
      <c r="B47" s="46" t="str">
        <f>'Input Data'!B5</f>
        <v>L01</v>
      </c>
      <c r="C47" s="46" t="str">
        <f>'Input Data'!C5</f>
        <v>101&amp;2</v>
      </c>
      <c r="D47" s="47" t="str">
        <f>'Input Data'!D5</f>
        <v>VACANT</v>
      </c>
      <c r="E47" s="48">
        <f>'Input Data'!F5</f>
        <v>162.4</v>
      </c>
      <c r="F47" s="9">
        <f>IFERROR('Input Data'!G5,"")</f>
        <v>0</v>
      </c>
      <c r="G47" s="9" t="str">
        <f ca="1">IFERROR('Input Data'!H5,"")</f>
        <v/>
      </c>
      <c r="H47" s="52">
        <f ca="1">'Input Data'!V5</f>
        <v>0</v>
      </c>
      <c r="I47" s="50">
        <f>'Input Data'!J5</f>
        <v>0</v>
      </c>
      <c r="J47" s="50">
        <f ca="1">'Input Data'!N5</f>
        <v>0</v>
      </c>
      <c r="K47" s="46" t="str">
        <f ca="1">IF('Input Data'!H5="","VACANT",IF(OR('Input Data'!H5&lt;TODAY(),YEAR('Input Data'!H5)&lt;=2026),"2026",IF(YEAR('Input Data'!H5)=2027,"2027",IF(YEAR('Input Data'!H5)=2028,"2028",IF(YEAR('Input Data'!H5)=2029,"2029",IF(YEAR('Input Data'!H5)=2030,"2030","2031+"))))))</f>
        <v>VACANT</v>
      </c>
      <c r="L47" s="46">
        <f>'Input Data'!O5</f>
        <v>0</v>
      </c>
      <c r="M47" s="20" t="str">
        <f>IF(AND('Input Data'!J5&gt;0,'Input Data'!S5&gt;0),IF(('Input Data'!J5-'Input Data'!S5)/'Input Data'!S5&gt;0.05,"▲ Above Mkt",IF(('Input Data'!J5-'Input Data'!S5)/'Input Data'!S5&lt;-0.05,"▼ Below Mkt","≈ At Market")),"—")</f>
        <v>—</v>
      </c>
    </row>
    <row r="48" spans="1:13" ht="18" customHeight="1" x14ac:dyDescent="0.35">
      <c r="A48" s="5"/>
      <c r="B48" s="11" t="str">
        <f>'Input Data'!B6</f>
        <v>L01</v>
      </c>
      <c r="C48" s="11" t="str">
        <f>'Input Data'!C6</f>
        <v>103</v>
      </c>
      <c r="D48" s="26" t="str">
        <f ca="1">'Input Data'!D6</f>
        <v>PU PRIME TRADING PTY LTD</v>
      </c>
      <c r="E48" s="27">
        <f>'Input Data'!F6</f>
        <v>96.3</v>
      </c>
      <c r="F48" s="28">
        <f ca="1">IFERROR('Input Data'!G6,"")</f>
        <v>44378</v>
      </c>
      <c r="G48" s="28">
        <f ca="1">IFERROR('Input Data'!H6,"")</f>
        <v>46918</v>
      </c>
      <c r="H48" s="32">
        <f ca="1">'Input Data'!V6</f>
        <v>1.6618754277891854</v>
      </c>
      <c r="I48" s="30">
        <f>'Input Data'!J6</f>
        <v>1021.99</v>
      </c>
      <c r="J48" s="30">
        <f ca="1">'Input Data'!N6</f>
        <v>89396.036999999997</v>
      </c>
      <c r="K48" s="11" t="str">
        <f ca="1">IF('Input Data'!H6="","VACANT",IF(OR('Input Data'!H6&lt;TODAY(),YEAR('Input Data'!H6)&lt;=2026),"2026",IF(YEAR('Input Data'!H6)=2027,"2027",IF(YEAR('Input Data'!H6)=2028,"2028",IF(YEAR('Input Data'!H6)=2029,"2029",IF(YEAR('Input Data'!H6)=2030,"2030","2031+"))))))</f>
        <v>2028</v>
      </c>
      <c r="L48" s="11">
        <f>'Input Data'!O6</f>
        <v>0</v>
      </c>
      <c r="M48" s="14" t="str">
        <f>IF(AND('Input Data'!J6&gt;0,'Input Data'!S6&gt;0),IF(('Input Data'!J6-'Input Data'!S6)/'Input Data'!S6&gt;0.05,"▲ Above Mkt",IF(('Input Data'!J6-'Input Data'!S6)/'Input Data'!S6&lt;-0.05,"▼ Below Mkt","≈ At Market")),"—")</f>
        <v>▲ Above Mkt</v>
      </c>
    </row>
    <row r="49" spans="1:13" ht="18" customHeight="1" x14ac:dyDescent="0.35">
      <c r="A49" s="5"/>
      <c r="B49" s="46" t="str">
        <f>'Input Data'!B7</f>
        <v>L01</v>
      </c>
      <c r="C49" s="46" t="str">
        <f>'Input Data'!C7</f>
        <v>104</v>
      </c>
      <c r="D49" s="47" t="str">
        <f ca="1">'Input Data'!D7</f>
        <v>TJC#1 PTY LTD</v>
      </c>
      <c r="E49" s="48">
        <f>'Input Data'!F7</f>
        <v>98.1</v>
      </c>
      <c r="F49" s="9">
        <f ca="1">IFERROR('Input Data'!G7,"")</f>
        <v>45139</v>
      </c>
      <c r="G49" s="9">
        <f ca="1">IFERROR('Input Data'!H7,"")</f>
        <v>47330</v>
      </c>
      <c r="H49" s="52">
        <f ca="1">'Input Data'!V7</f>
        <v>2.7898699520876113</v>
      </c>
      <c r="I49" s="50">
        <f ca="1">'Input Data'!J7</f>
        <v>973.44</v>
      </c>
      <c r="J49" s="50">
        <f ca="1">'Input Data'!N7</f>
        <v>76070.66399999999</v>
      </c>
      <c r="K49" s="46" t="str">
        <f ca="1">IF('Input Data'!H7="","VACANT",IF(OR('Input Data'!H7&lt;TODAY(),YEAR('Input Data'!H7)&lt;=2026),"2026",IF(YEAR('Input Data'!H7)=2027,"2027",IF(YEAR('Input Data'!H7)=2028,"2028",IF(YEAR('Input Data'!H7)=2029,"2029",IF(YEAR('Input Data'!H7)=2030,"2030","2031+"))))))</f>
        <v>2029</v>
      </c>
      <c r="L49" s="46">
        <f>'Input Data'!O7</f>
        <v>0</v>
      </c>
      <c r="M49" s="20" t="str">
        <f ca="1">IF(AND('Input Data'!J7&gt;0,'Input Data'!S7&gt;0),IF(('Input Data'!J7-'Input Data'!S7)/'Input Data'!S7&gt;0.05,"▲ Above Mkt",IF(('Input Data'!J7-'Input Data'!S7)/'Input Data'!S7&lt;-0.05,"▼ Below Mkt","≈ At Market")),"—")</f>
        <v>≈ At Market</v>
      </c>
    </row>
    <row r="50" spans="1:13" ht="3.75" customHeight="1" x14ac:dyDescent="0.35">
      <c r="A50" s="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8" customHeight="1" x14ac:dyDescent="0.35">
      <c r="A51" s="5"/>
      <c r="B51" s="323" t="s">
        <v>447</v>
      </c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</row>
    <row r="52" spans="1:13" ht="18" customHeight="1" x14ac:dyDescent="0.35">
      <c r="A52" s="5"/>
      <c r="B52" s="11" t="str">
        <f>'Input Data'!B4</f>
        <v>GF</v>
      </c>
      <c r="C52" s="11" t="str">
        <f>'Input Data'!C4</f>
        <v>GROUND</v>
      </c>
      <c r="D52" s="26" t="str">
        <f ca="1">'Input Data'!D4</f>
        <v>RCVRI MARTIN PLACE PTY LTD</v>
      </c>
      <c r="E52" s="27">
        <f>'Input Data'!F4</f>
        <v>298.3</v>
      </c>
      <c r="F52" s="28">
        <f ca="1">IFERROR('Input Data'!G4,"")</f>
        <v>45678</v>
      </c>
      <c r="G52" s="28">
        <f ca="1">IFERROR('Input Data'!H4,"")</f>
        <v>48233</v>
      </c>
      <c r="H52" s="32">
        <f ca="1">'Input Data'!V4</f>
        <v>5.2621492128678984</v>
      </c>
      <c r="I52" s="30">
        <f ca="1">'Input Data'!J4</f>
        <v>1150.52</v>
      </c>
      <c r="J52" s="30">
        <f ca="1">'Input Data'!N4</f>
        <v>272485.79599999997</v>
      </c>
      <c r="K52" s="11" t="str">
        <f ca="1">IF('Input Data'!H4="","VACANT",IF(OR('Input Data'!H4&lt;TODAY(),YEAR('Input Data'!H4)&lt;=2026),"2026",IF(YEAR('Input Data'!H4)=2027,"2027",IF(YEAR('Input Data'!H4)=2028,"2028",IF(YEAR('Input Data'!H4)=2029,"2029",IF(YEAR('Input Data'!H4)=2030,"2030","2031+"))))))</f>
        <v>2031+</v>
      </c>
      <c r="L52" s="11">
        <f>'Input Data'!O4</f>
        <v>0</v>
      </c>
      <c r="M52" s="14" t="str">
        <f ca="1">IF(AND('Input Data'!J4&gt;0,'Input Data'!S4&gt;0),IF(('Input Data'!J4-'Input Data'!S4)/'Input Data'!S4&gt;0.05,"▲ Above Mkt",IF(('Input Data'!J4-'Input Data'!S4)/'Input Data'!S4&lt;-0.05,"▼ Below Mkt","≈ At Market")),"—")</f>
        <v>≈ At Market</v>
      </c>
    </row>
    <row r="53" spans="1:13" ht="3.75" customHeight="1" x14ac:dyDescent="0.35">
      <c r="A53" s="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8" customHeight="1" x14ac:dyDescent="0.35">
      <c r="A54" s="5"/>
      <c r="B54" s="323" t="s">
        <v>448</v>
      </c>
      <c r="C54" s="323"/>
      <c r="D54" s="323"/>
      <c r="E54" s="323"/>
      <c r="F54" s="323"/>
      <c r="G54" s="323"/>
      <c r="H54" s="323"/>
      <c r="I54" s="323"/>
      <c r="J54" s="323"/>
      <c r="K54" s="323"/>
      <c r="L54" s="323"/>
      <c r="M54" s="323"/>
    </row>
    <row r="55" spans="1:13" ht="18" customHeight="1" x14ac:dyDescent="0.35">
      <c r="A55" s="5"/>
      <c r="B55" s="156" t="str">
        <f>'Input Data'!B3</f>
        <v>BSMT</v>
      </c>
      <c r="C55" s="156" t="str">
        <f>'Input Data'!C3</f>
        <v>LWR GROUND</v>
      </c>
      <c r="D55" s="150" t="str">
        <f ca="1">'Input Data'!D3</f>
        <v>OPULENT TWO ENTERPRISES</v>
      </c>
      <c r="E55" s="157">
        <f>'Input Data'!F3</f>
        <v>151.19999999999999</v>
      </c>
      <c r="F55" s="158">
        <f ca="1">IFERROR('Input Data'!G3,"")</f>
        <v>42401</v>
      </c>
      <c r="G55" s="158">
        <f ca="1">IFERROR('Input Data'!H3,"")</f>
        <v>47149</v>
      </c>
      <c r="H55" s="160">
        <f ca="1">'Input Data'!V3</f>
        <v>2.2943189596167008</v>
      </c>
      <c r="I55" s="161">
        <f ca="1">'Input Data'!J3</f>
        <v>1002.01</v>
      </c>
      <c r="J55" s="161">
        <f ca="1">'Input Data'!N3</f>
        <v>123489.07199999999</v>
      </c>
      <c r="K55" s="156" t="str">
        <f ca="1">IF('Input Data'!H3="","VACANT",IF(OR('Input Data'!H3&lt;TODAY(),YEAR('Input Data'!H3)&lt;=2026),"2026",IF(YEAR('Input Data'!H3)=2027,"2027",IF(YEAR('Input Data'!H3)=2028,"2028",IF(YEAR('Input Data'!H3)=2029,"2029",IF(YEAR('Input Data'!H3)=2030,"2030","2031+"))))))</f>
        <v>2029</v>
      </c>
      <c r="L55" s="156">
        <f>'Input Data'!O3</f>
        <v>0</v>
      </c>
      <c r="M55" s="22" t="str">
        <f ca="1">IF(AND('Input Data'!J3&gt;0,'Input Data'!S3&gt;0),IF(('Input Data'!J3-'Input Data'!S3)/'Input Data'!S3&gt;0.05,"▲ Above Mkt",IF(('Input Data'!J3-'Input Data'!S3)/'Input Data'!S3&lt;-0.05,"▼ Below Mkt","≈ At Market")),"—")</f>
        <v>▲ Above Mkt</v>
      </c>
    </row>
    <row r="56" spans="1:13" ht="3.75" customHeight="1" x14ac:dyDescent="0.35">
      <c r="A56" s="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7.5" customHeight="1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pans="1:13" ht="18" customHeight="1" x14ac:dyDescent="0.35">
      <c r="A58" s="5"/>
      <c r="B58" s="323" t="s">
        <v>449</v>
      </c>
      <c r="C58" s="323"/>
      <c r="D58" s="323"/>
      <c r="E58" s="323"/>
      <c r="F58" s="323"/>
      <c r="G58" s="323"/>
      <c r="H58" s="323"/>
      <c r="I58" s="323"/>
      <c r="J58" s="323"/>
      <c r="K58" s="323"/>
      <c r="L58" s="323"/>
      <c r="M58" s="323"/>
    </row>
    <row r="59" spans="1:13" ht="13.5" customHeight="1" x14ac:dyDescent="0.35">
      <c r="A59" s="5"/>
      <c r="B59" s="81"/>
      <c r="C59" s="1"/>
      <c r="D59" s="83"/>
      <c r="E59" s="1"/>
      <c r="F59" s="82"/>
      <c r="G59" s="192"/>
      <c r="H59" s="79"/>
      <c r="I59" s="1"/>
      <c r="J59" s="5"/>
      <c r="K59" s="5"/>
      <c r="L59" s="5"/>
      <c r="M59" s="5"/>
    </row>
    <row r="60" spans="1:13" ht="24" customHeight="1" x14ac:dyDescent="0.35">
      <c r="A60" s="5"/>
      <c r="B60" s="193" t="s">
        <v>450</v>
      </c>
      <c r="C60" s="194" t="s">
        <v>451</v>
      </c>
      <c r="D60" s="195" t="s">
        <v>452</v>
      </c>
      <c r="E60" s="194" t="s">
        <v>453</v>
      </c>
      <c r="F60" s="196" t="s">
        <v>454</v>
      </c>
      <c r="G60" s="195" t="s">
        <v>455</v>
      </c>
      <c r="H60" s="197" t="s">
        <v>456</v>
      </c>
      <c r="I60" s="194" t="s">
        <v>457</v>
      </c>
      <c r="J60" s="5"/>
      <c r="K60" s="5"/>
      <c r="L60" s="5"/>
      <c r="M60" s="5"/>
    </row>
    <row r="61" spans="1:1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3" ht="18" customHeight="1" x14ac:dyDescent="0.35">
      <c r="A62" s="5"/>
      <c r="B62" s="406" t="s">
        <v>458</v>
      </c>
      <c r="C62" s="406"/>
      <c r="D62" s="406"/>
      <c r="E62" s="406"/>
      <c r="F62" s="406"/>
      <c r="G62" s="406"/>
      <c r="H62" s="406"/>
      <c r="I62" s="406"/>
      <c r="J62" s="406"/>
      <c r="K62" s="406"/>
      <c r="L62" s="406"/>
      <c r="M62" s="406"/>
    </row>
  </sheetData>
  <mergeCells count="18">
    <mergeCell ref="B54:M54"/>
    <mergeCell ref="B58:M58"/>
    <mergeCell ref="B62:M62"/>
    <mergeCell ref="B35:M35"/>
    <mergeCell ref="B39:M39"/>
    <mergeCell ref="B43:M43"/>
    <mergeCell ref="B46:M46"/>
    <mergeCell ref="B51:M51"/>
    <mergeCell ref="B15:M15"/>
    <mergeCell ref="B19:M19"/>
    <mergeCell ref="B23:M23"/>
    <mergeCell ref="B27:M27"/>
    <mergeCell ref="B31:M31"/>
    <mergeCell ref="A1:M1"/>
    <mergeCell ref="A2:M2"/>
    <mergeCell ref="B4:M4"/>
    <mergeCell ref="B7:M7"/>
    <mergeCell ref="B12:M12"/>
  </mergeCells>
  <pageMargins left="0.75" right="0.75" top="1" bottom="1" header="0.51180555555555596" footer="0.51180555555555596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7"/>
  <sheetViews>
    <sheetView showGridLines="0" topLeftCell="A14" zoomScaleNormal="100" workbookViewId="0">
      <selection activeCell="P27" sqref="P27"/>
    </sheetView>
  </sheetViews>
  <sheetFormatPr defaultColWidth="8.6328125" defaultRowHeight="14.5" x14ac:dyDescent="0.35"/>
  <cols>
    <col min="1" max="1" width="1.54296875" customWidth="1"/>
    <col min="2" max="2" width="8" customWidth="1"/>
    <col min="3" max="3" width="14.6328125" customWidth="1"/>
    <col min="4" max="4" width="28" customWidth="1"/>
    <col min="5" max="6" width="12" customWidth="1"/>
    <col min="7" max="8" width="14" customWidth="1"/>
    <col min="9" max="9" width="12" customWidth="1"/>
    <col min="10" max="13" width="14" customWidth="1"/>
    <col min="14" max="14" width="42.36328125" customWidth="1"/>
    <col min="15" max="15" width="1.54296875" customWidth="1"/>
    <col min="16" max="16" width="50.26953125" customWidth="1"/>
  </cols>
  <sheetData>
    <row r="1" spans="1:16" ht="30" customHeight="1" x14ac:dyDescent="0.35">
      <c r="A1" s="321" t="s">
        <v>459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5"/>
      <c r="P1" s="5"/>
    </row>
    <row r="2" spans="1:16" ht="15.75" customHeight="1" x14ac:dyDescent="0.35">
      <c r="A2" s="322" t="s">
        <v>460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5"/>
      <c r="P2" s="5"/>
    </row>
    <row r="3" spans="1:16" ht="7.5" customHeight="1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9.5" customHeight="1" x14ac:dyDescent="0.35">
      <c r="A4" s="5"/>
      <c r="B4" s="323" t="s">
        <v>461</v>
      </c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5"/>
      <c r="O4" s="5"/>
      <c r="P4" s="5"/>
    </row>
    <row r="5" spans="1:16" ht="21.75" customHeight="1" x14ac:dyDescent="0.35">
      <c r="A5" s="5"/>
      <c r="B5" s="324" t="s">
        <v>462</v>
      </c>
      <c r="C5" s="324"/>
      <c r="D5" s="5"/>
      <c r="E5" s="324" t="s">
        <v>463</v>
      </c>
      <c r="F5" s="324"/>
      <c r="G5" s="5"/>
      <c r="H5" s="324" t="s">
        <v>464</v>
      </c>
      <c r="I5" s="324"/>
      <c r="J5" s="5"/>
      <c r="K5" s="324" t="s">
        <v>465</v>
      </c>
      <c r="L5" s="324"/>
      <c r="M5" s="5"/>
      <c r="N5" s="5"/>
      <c r="O5" s="5"/>
      <c r="P5" s="5"/>
    </row>
    <row r="6" spans="1:16" ht="21.75" customHeight="1" x14ac:dyDescent="0.35">
      <c r="A6" s="5"/>
      <c r="B6" s="325" t="s">
        <v>466</v>
      </c>
      <c r="C6" s="325"/>
      <c r="D6" s="5"/>
      <c r="E6" s="325" t="s">
        <v>466</v>
      </c>
      <c r="F6" s="325"/>
      <c r="G6" s="5"/>
      <c r="H6" s="325" t="s">
        <v>466</v>
      </c>
      <c r="I6" s="325"/>
      <c r="J6" s="5"/>
      <c r="K6" s="325" t="s">
        <v>467</v>
      </c>
      <c r="L6" s="325"/>
      <c r="M6" s="5"/>
      <c r="N6" s="5"/>
      <c r="O6" s="5"/>
      <c r="P6" s="5"/>
    </row>
    <row r="7" spans="1:16" ht="7.5" customHeight="1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ht="19.5" customHeight="1" x14ac:dyDescent="0.35">
      <c r="A8" s="5"/>
      <c r="B8" s="411" t="s">
        <v>468</v>
      </c>
      <c r="C8" s="411"/>
      <c r="D8" s="411"/>
      <c r="E8" s="411"/>
      <c r="F8" s="411"/>
      <c r="G8" s="411"/>
      <c r="H8" s="411"/>
      <c r="I8" s="411"/>
      <c r="J8" s="411"/>
      <c r="K8" s="411"/>
      <c r="L8" s="411"/>
      <c r="M8" s="411"/>
      <c r="N8" s="411"/>
      <c r="O8" s="411"/>
      <c r="P8" s="411"/>
    </row>
    <row r="9" spans="1:16" ht="36" customHeight="1" x14ac:dyDescent="0.35">
      <c r="A9" s="5"/>
      <c r="B9" s="24" t="s">
        <v>62</v>
      </c>
      <c r="C9" s="24" t="s">
        <v>232</v>
      </c>
      <c r="D9" s="24" t="s">
        <v>64</v>
      </c>
      <c r="E9" s="24" t="s">
        <v>351</v>
      </c>
      <c r="F9" s="24" t="s">
        <v>469</v>
      </c>
      <c r="G9" s="24" t="s">
        <v>470</v>
      </c>
      <c r="H9" s="24" t="s">
        <v>471</v>
      </c>
      <c r="I9" s="24" t="s">
        <v>472</v>
      </c>
      <c r="J9" s="24" t="s">
        <v>473</v>
      </c>
      <c r="K9" s="24" t="s">
        <v>474</v>
      </c>
      <c r="L9" s="24" t="s">
        <v>475</v>
      </c>
      <c r="M9" s="24" t="s">
        <v>476</v>
      </c>
      <c r="N9" s="24" t="s">
        <v>477</v>
      </c>
      <c r="O9" s="24"/>
      <c r="P9" s="24" t="s">
        <v>478</v>
      </c>
    </row>
    <row r="10" spans="1:16" ht="26.25" customHeight="1" x14ac:dyDescent="0.35">
      <c r="A10" s="5"/>
      <c r="B10" s="11" t="s">
        <v>275</v>
      </c>
      <c r="C10" s="11" t="s">
        <v>275</v>
      </c>
      <c r="D10" s="14" t="str">
        <f ca="1">IFERROR(INDEX('Input Data'!D:D,MATCH("LWR GROUND",'Input Data'!$C:$C,0)),"")</f>
        <v>OPULENT TWO ENTERPRISES</v>
      </c>
      <c r="E10" s="28">
        <f ca="1">IFERROR(INDEX('Input Data'!H:H,MATCH("LWR GROUND",'Input Data'!$C:$C,0)),"")</f>
        <v>47149</v>
      </c>
      <c r="F10" s="11" t="s">
        <v>479</v>
      </c>
      <c r="G10" s="11" t="s">
        <v>480</v>
      </c>
      <c r="H10" s="53"/>
      <c r="I10" s="50">
        <f>IFERROR(H10/INDEX('Input Data'!F:F,MATCH("LWR GROUND",'Input Data'!$C:$C,0)),"")</f>
        <v>0</v>
      </c>
      <c r="J10" s="53"/>
      <c r="K10" s="11" t="s">
        <v>481</v>
      </c>
      <c r="L10" s="11" t="str">
        <f t="shared" ref="L10:L34" ca="1" si="0">IF(OR(E10="—",E10="N/A",E10=""),"N/A",IF(NOT(ISNUMBER(E10)),"N/A",IF(E10&lt;TODAY(),"Overdue",IF(E10&lt;TODAY()+183,"Due &lt; 6 Mths",IF(E10&lt;TODAY()+365,"Due &lt; 12 Mths","Not Due")))))</f>
        <v>Not Due</v>
      </c>
      <c r="M10" s="11" t="s">
        <v>482</v>
      </c>
      <c r="N10" s="93" t="s">
        <v>483</v>
      </c>
      <c r="O10" s="5"/>
      <c r="P10" s="5"/>
    </row>
    <row r="11" spans="1:16" ht="19.5" customHeight="1" x14ac:dyDescent="0.35">
      <c r="A11" s="5"/>
      <c r="B11" s="156" t="s">
        <v>96</v>
      </c>
      <c r="C11" s="156" t="s">
        <v>96</v>
      </c>
      <c r="D11" s="22" t="str">
        <f ca="1">IFERROR(INDEX('Input Data'!D:D,MATCH("GROUND",'Input Data'!$C:$C,0)),"")</f>
        <v>RCVRI MARTIN PLACE PTY LTD</v>
      </c>
      <c r="E11" s="158">
        <f ca="1">IFERROR(INDEX('Input Data'!H:H,MATCH("GROUND",'Input Data'!$C:$C,0)),"")</f>
        <v>48233</v>
      </c>
      <c r="F11" s="156" t="s">
        <v>484</v>
      </c>
      <c r="G11" s="156" t="s">
        <v>480</v>
      </c>
      <c r="H11" s="53"/>
      <c r="I11" s="50">
        <f>IFERROR(H11/INDEX('Input Data'!F:F,MATCH("GROUND",'Input Data'!$C:$C,0)),"")</f>
        <v>0</v>
      </c>
      <c r="J11" s="53"/>
      <c r="K11" s="156" t="s">
        <v>481</v>
      </c>
      <c r="L11" s="156" t="str">
        <f t="shared" ca="1" si="0"/>
        <v>Not Due</v>
      </c>
      <c r="M11" s="156" t="s">
        <v>482</v>
      </c>
      <c r="N11" s="198" t="s">
        <v>485</v>
      </c>
      <c r="O11" s="5"/>
      <c r="P11" s="156" t="s">
        <v>486</v>
      </c>
    </row>
    <row r="12" spans="1:16" ht="19.5" customHeight="1" x14ac:dyDescent="0.35">
      <c r="A12" s="5"/>
      <c r="B12" s="46" t="s">
        <v>101</v>
      </c>
      <c r="C12" s="46" t="s">
        <v>102</v>
      </c>
      <c r="D12" s="20" t="str">
        <f>IFERROR(INDEX('Input Data'!D:D,MATCH("101&amp;2",'Input Data'!$C:$C,0)),"")</f>
        <v>VACANT</v>
      </c>
      <c r="E12" s="9" t="str">
        <f ca="1">IFERROR(INDEX('Input Data'!H:H,MATCH("101&amp;2",'Input Data'!$C:$C,0)),"")</f>
        <v/>
      </c>
      <c r="F12" s="46" t="s">
        <v>487</v>
      </c>
      <c r="G12" s="46" t="s">
        <v>480</v>
      </c>
      <c r="H12" s="53"/>
      <c r="I12" s="50">
        <f>IFERROR(H12/INDEX('Input Data'!F:F,MATCH("101&amp;2",'Input Data'!$C:$C,0)),"")</f>
        <v>0</v>
      </c>
      <c r="J12" s="53"/>
      <c r="K12" s="46" t="s">
        <v>481</v>
      </c>
      <c r="L12" s="46" t="str">
        <f t="shared" ca="1" si="0"/>
        <v>N/A</v>
      </c>
      <c r="M12" s="46" t="s">
        <v>482</v>
      </c>
      <c r="N12" s="199" t="s">
        <v>488</v>
      </c>
      <c r="O12" s="5"/>
      <c r="P12" s="5"/>
    </row>
    <row r="13" spans="1:16" ht="19.5" customHeight="1" x14ac:dyDescent="0.35">
      <c r="A13" s="5"/>
      <c r="B13" s="156" t="s">
        <v>101</v>
      </c>
      <c r="C13" s="156" t="s">
        <v>106</v>
      </c>
      <c r="D13" s="22" t="str">
        <f ca="1">IFERROR(INDEX('Input Data'!D:D,MATCH("103",'Input Data'!$C:$C,0)),"")</f>
        <v>PU PRIME TRADING PTY LTD</v>
      </c>
      <c r="E13" s="158">
        <f ca="1">IFERROR(INDEX('Input Data'!H:H,MATCH("103",'Input Data'!$C:$C,0)),"")</f>
        <v>46918</v>
      </c>
      <c r="F13" s="156" t="s">
        <v>479</v>
      </c>
      <c r="G13" s="156" t="s">
        <v>480</v>
      </c>
      <c r="H13" s="53"/>
      <c r="I13" s="50">
        <f>IFERROR(H13/INDEX('Input Data'!F:F,MATCH("103",'Input Data'!$C:$C,0)),"")</f>
        <v>0</v>
      </c>
      <c r="J13" s="53"/>
      <c r="K13" s="156" t="s">
        <v>481</v>
      </c>
      <c r="L13" s="156" t="str">
        <f t="shared" ca="1" si="0"/>
        <v>Not Due</v>
      </c>
      <c r="M13" s="156" t="s">
        <v>482</v>
      </c>
      <c r="N13" s="198" t="s">
        <v>489</v>
      </c>
      <c r="O13" s="5"/>
      <c r="P13" s="156" t="s">
        <v>490</v>
      </c>
    </row>
    <row r="14" spans="1:16" ht="115.5" customHeight="1" x14ac:dyDescent="0.35">
      <c r="A14" s="5"/>
      <c r="B14" s="46" t="s">
        <v>101</v>
      </c>
      <c r="C14" s="46" t="s">
        <v>109</v>
      </c>
      <c r="D14" s="20" t="str">
        <f ca="1">IFERROR(INDEX('Input Data'!D:D,MATCH("104",'Input Data'!$C:$C,0)),"")</f>
        <v>TJC#1 PTY LTD</v>
      </c>
      <c r="E14" s="9">
        <f ca="1">IFERROR(INDEX('Input Data'!H:H,MATCH("104",'Input Data'!$C:$C,0)),"")</f>
        <v>47330</v>
      </c>
      <c r="F14" s="46" t="s">
        <v>479</v>
      </c>
      <c r="G14" s="46" t="s">
        <v>480</v>
      </c>
      <c r="H14" s="53"/>
      <c r="I14" s="50">
        <f>IFERROR(H14/INDEX('Input Data'!F:F,MATCH("104",'Input Data'!$C:$C,0)),"")</f>
        <v>0</v>
      </c>
      <c r="J14" s="53"/>
      <c r="K14" s="46" t="s">
        <v>481</v>
      </c>
      <c r="L14" s="46" t="str">
        <f t="shared" ca="1" si="0"/>
        <v>Not Due</v>
      </c>
      <c r="M14" s="46" t="s">
        <v>482</v>
      </c>
      <c r="N14" s="199" t="s">
        <v>491</v>
      </c>
      <c r="O14" s="5"/>
      <c r="P14" s="200" t="s">
        <v>492</v>
      </c>
    </row>
    <row r="15" spans="1:16" ht="22.5" customHeight="1" x14ac:dyDescent="0.35">
      <c r="A15" s="5"/>
      <c r="B15" s="156" t="s">
        <v>112</v>
      </c>
      <c r="C15" s="156" t="s">
        <v>113</v>
      </c>
      <c r="D15" s="22" t="str">
        <f ca="1">IFERROR(INDEX('Input Data'!D:D,MATCH("WHOLE",'Input Data'!$C:$C,0)),"")</f>
        <v>PRINCETON FINANCIAL SERVICES</v>
      </c>
      <c r="E15" s="158">
        <f ca="1">IFERROR(INDEX('Input Data'!H:H,MATCH("WHOLE",'Input Data'!$C:$C,0)),"")</f>
        <v>47118</v>
      </c>
      <c r="F15" s="156" t="s">
        <v>493</v>
      </c>
      <c r="G15" s="156" t="s">
        <v>480</v>
      </c>
      <c r="H15" s="53"/>
      <c r="I15" s="50">
        <f>IFERROR(H15/INDEX('Input Data'!F:F,MATCH("WHOLE",'Input Data'!$C:$C,0)),"")</f>
        <v>0</v>
      </c>
      <c r="J15" s="53"/>
      <c r="K15" s="156" t="s">
        <v>481</v>
      </c>
      <c r="L15" s="156" t="str">
        <f t="shared" ca="1" si="0"/>
        <v>Not Due</v>
      </c>
      <c r="M15" s="156" t="s">
        <v>482</v>
      </c>
      <c r="N15" s="198" t="s">
        <v>494</v>
      </c>
      <c r="O15" s="5"/>
      <c r="P15" s="201" t="s">
        <v>495</v>
      </c>
    </row>
    <row r="16" spans="1:16" ht="19.5" customHeight="1" x14ac:dyDescent="0.35">
      <c r="A16" s="5"/>
      <c r="B16" s="11" t="s">
        <v>116</v>
      </c>
      <c r="C16" s="11" t="s">
        <v>117</v>
      </c>
      <c r="D16" s="14" t="str">
        <f ca="1">IFERROR(INDEX('Input Data'!D:D,MATCH("301&amp;2",'Input Data'!$C:$C,0)),"")</f>
        <v>IPM RESIDENTIAL PTY LTD</v>
      </c>
      <c r="E16" s="28">
        <f ca="1">IFERROR(INDEX('Input Data'!H:H,MATCH("301&amp;2",'Input Data'!$C:$C,0)),"")</f>
        <v>46538</v>
      </c>
      <c r="F16" s="11" t="s">
        <v>479</v>
      </c>
      <c r="G16" s="11" t="s">
        <v>480</v>
      </c>
      <c r="H16" s="53"/>
      <c r="I16" s="50">
        <f>IFERROR(H16/INDEX('Input Data'!F:F,MATCH("301&amp;2",'Input Data'!$C:$C,0)),"")</f>
        <v>0</v>
      </c>
      <c r="J16" s="53"/>
      <c r="K16" s="11" t="s">
        <v>481</v>
      </c>
      <c r="L16" s="11" t="str">
        <f t="shared" ca="1" si="0"/>
        <v>Due &lt; 12 Mths</v>
      </c>
      <c r="M16" s="11" t="s">
        <v>482</v>
      </c>
      <c r="N16" s="93" t="s">
        <v>496</v>
      </c>
      <c r="O16" s="5"/>
      <c r="P16" s="11" t="s">
        <v>497</v>
      </c>
    </row>
    <row r="17" spans="1:16" ht="19.5" customHeight="1" x14ac:dyDescent="0.35">
      <c r="A17" s="5"/>
      <c r="B17" s="156" t="s">
        <v>116</v>
      </c>
      <c r="C17" s="156" t="s">
        <v>121</v>
      </c>
      <c r="D17" s="22" t="str">
        <f ca="1">IFERROR(INDEX('Input Data'!D:D,MATCH("303&amp;4",'Input Data'!$C:$C,0)),"")</f>
        <v>BROADRIDGE (AUSTRALIA) PTY LTD</v>
      </c>
      <c r="E17" s="158">
        <f ca="1">IFERROR(INDEX('Input Data'!H:H,MATCH("303&amp;4",'Input Data'!$C:$C,0)),"")</f>
        <v>47026</v>
      </c>
      <c r="F17" s="156" t="s">
        <v>479</v>
      </c>
      <c r="G17" s="156" t="s">
        <v>480</v>
      </c>
      <c r="H17" s="53"/>
      <c r="I17" s="50">
        <f>IFERROR(H17/INDEX('Input Data'!F:F,MATCH("303&amp;4",'Input Data'!$C:$C,0)),"")</f>
        <v>0</v>
      </c>
      <c r="J17" s="53"/>
      <c r="K17" s="156" t="s">
        <v>481</v>
      </c>
      <c r="L17" s="156" t="str">
        <f t="shared" ca="1" si="0"/>
        <v>Not Due</v>
      </c>
      <c r="M17" s="156" t="s">
        <v>482</v>
      </c>
      <c r="N17" s="198" t="s">
        <v>498</v>
      </c>
      <c r="O17" s="5"/>
      <c r="P17" s="156" t="s">
        <v>499</v>
      </c>
    </row>
    <row r="18" spans="1:16" ht="19.5" customHeight="1" x14ac:dyDescent="0.35">
      <c r="A18" s="5"/>
      <c r="B18" s="11" t="s">
        <v>125</v>
      </c>
      <c r="C18" s="11" t="s">
        <v>126</v>
      </c>
      <c r="D18" s="14" t="str">
        <f ca="1">IFERROR(INDEX('Input Data'!D:D,MATCH("401",'Input Data'!$C:$C,0)),"")</f>
        <v>B-W INTERNATIONAL AUSTRALIA PTY LTD</v>
      </c>
      <c r="E18" s="28">
        <f ca="1">IFERROR(INDEX('Input Data'!H:H,MATCH("401",'Input Data'!$C:$C,0)),"")</f>
        <v>47177</v>
      </c>
      <c r="F18" s="11" t="s">
        <v>479</v>
      </c>
      <c r="G18" s="11" t="s">
        <v>480</v>
      </c>
      <c r="H18" s="53"/>
      <c r="I18" s="50">
        <f>IFERROR(H18/INDEX('Input Data'!F:F,MATCH("401",'Input Data'!$C:$C,0)),"")</f>
        <v>0</v>
      </c>
      <c r="J18" s="53"/>
      <c r="K18" s="11" t="s">
        <v>481</v>
      </c>
      <c r="L18" s="11" t="str">
        <f t="shared" ca="1" si="0"/>
        <v>Not Due</v>
      </c>
      <c r="M18" s="11" t="s">
        <v>482</v>
      </c>
      <c r="N18" s="93" t="s">
        <v>500</v>
      </c>
      <c r="O18" s="5"/>
      <c r="P18" s="5"/>
    </row>
    <row r="19" spans="1:16" ht="19.5" customHeight="1" x14ac:dyDescent="0.35">
      <c r="A19" s="5"/>
      <c r="B19" s="156" t="s">
        <v>125</v>
      </c>
      <c r="C19" s="156" t="s">
        <v>129</v>
      </c>
      <c r="D19" s="22" t="str">
        <f ca="1">IFERROR(INDEX('Input Data'!D:D,MATCH("402",'Input Data'!$C:$C,0)),"")</f>
        <v>MP TRAVEL PTY LTD</v>
      </c>
      <c r="E19" s="158">
        <f ca="1">IFERROR(INDEX('Input Data'!H:H,MATCH("402",'Input Data'!$C:$C,0)),"")</f>
        <v>47483</v>
      </c>
      <c r="F19" s="156" t="s">
        <v>479</v>
      </c>
      <c r="G19" s="156" t="s">
        <v>480</v>
      </c>
      <c r="H19" s="53"/>
      <c r="I19" s="50">
        <f>IFERROR(H19/INDEX('Input Data'!F:F,MATCH("402",'Input Data'!$C:$C,0)),"")</f>
        <v>0</v>
      </c>
      <c r="J19" s="53"/>
      <c r="K19" s="156" t="s">
        <v>481</v>
      </c>
      <c r="L19" s="156" t="str">
        <f t="shared" ca="1" si="0"/>
        <v>Not Due</v>
      </c>
      <c r="M19" s="156" t="s">
        <v>482</v>
      </c>
      <c r="N19" s="198" t="s">
        <v>501</v>
      </c>
      <c r="O19" s="5"/>
      <c r="P19" s="156" t="s">
        <v>502</v>
      </c>
    </row>
    <row r="20" spans="1:16" ht="19.5" customHeight="1" x14ac:dyDescent="0.35">
      <c r="A20" s="5"/>
      <c r="B20" s="11" t="s">
        <v>132</v>
      </c>
      <c r="C20" s="11" t="s">
        <v>133</v>
      </c>
      <c r="D20" s="14" t="str">
        <f ca="1">IFERROR(INDEX('Input Data'!D:D,MATCH("501",'Input Data'!$C:$C,0)),"")</f>
        <v>MONTGOMERY INVESTMENT</v>
      </c>
      <c r="E20" s="28">
        <f ca="1">IFERROR(INDEX('Input Data'!H:H,MATCH("501",'Input Data'!$C:$C,0)),"")</f>
        <v>46691</v>
      </c>
      <c r="F20" s="11" t="s">
        <v>479</v>
      </c>
      <c r="G20" s="11" t="s">
        <v>480</v>
      </c>
      <c r="H20" s="53"/>
      <c r="I20" s="50">
        <f>IFERROR(H20/INDEX('Input Data'!F:F,MATCH("501",'Input Data'!$C:$C,0)),"")</f>
        <v>0</v>
      </c>
      <c r="J20" s="53"/>
      <c r="K20" s="11" t="s">
        <v>481</v>
      </c>
      <c r="L20" s="11" t="str">
        <f t="shared" ca="1" si="0"/>
        <v>Not Due</v>
      </c>
      <c r="M20" s="11" t="s">
        <v>482</v>
      </c>
      <c r="N20" s="93" t="s">
        <v>503</v>
      </c>
      <c r="O20" s="5"/>
      <c r="P20" s="11" t="s">
        <v>504</v>
      </c>
    </row>
    <row r="21" spans="1:16" ht="19.5" customHeight="1" x14ac:dyDescent="0.35">
      <c r="A21" s="5"/>
      <c r="B21" s="156" t="s">
        <v>132</v>
      </c>
      <c r="C21" s="156" t="s">
        <v>136</v>
      </c>
      <c r="D21" s="22" t="str">
        <f ca="1">IFERROR(INDEX('Input Data'!D:D,MATCH("502",'Input Data'!$C:$C,0)),"")</f>
        <v>THREAT DEFENCE</v>
      </c>
      <c r="E21" s="158">
        <f ca="1">IFERROR(INDEX('Input Data'!H:H,MATCH("502",'Input Data'!$C:$C,0)),"")</f>
        <v>46568</v>
      </c>
      <c r="F21" s="156" t="s">
        <v>493</v>
      </c>
      <c r="G21" s="156" t="s">
        <v>480</v>
      </c>
      <c r="H21" s="53"/>
      <c r="I21" s="50">
        <f>IFERROR(H21/INDEX('Input Data'!F:F,MATCH("502",'Input Data'!$C:$C,0)),"")</f>
        <v>0</v>
      </c>
      <c r="J21" s="53"/>
      <c r="K21" s="156" t="s">
        <v>481</v>
      </c>
      <c r="L21" s="156" t="str">
        <f t="shared" ca="1" si="0"/>
        <v>Due &lt; 12 Mths</v>
      </c>
      <c r="M21" s="156" t="s">
        <v>482</v>
      </c>
      <c r="N21" s="198" t="s">
        <v>505</v>
      </c>
      <c r="O21" s="5"/>
      <c r="P21" s="11" t="s">
        <v>506</v>
      </c>
    </row>
    <row r="22" spans="1:16" ht="19.5" customHeight="1" x14ac:dyDescent="0.35">
      <c r="A22" s="5"/>
      <c r="B22" s="46" t="s">
        <v>139</v>
      </c>
      <c r="C22" s="46" t="s">
        <v>140</v>
      </c>
      <c r="D22" s="20" t="str">
        <f ca="1">IFERROR(INDEX('Input Data'!D:D,MATCH("601",'Input Data'!$C:$C,0)),"")</f>
        <v>FULLCRM PTY LTD</v>
      </c>
      <c r="E22" s="9">
        <f ca="1">IFERROR(INDEX('Input Data'!H:H,MATCH("601",'Input Data'!$C:$C,0)),"")</f>
        <v>46418</v>
      </c>
      <c r="F22" s="46" t="s">
        <v>479</v>
      </c>
      <c r="G22" s="46" t="s">
        <v>480</v>
      </c>
      <c r="H22" s="53"/>
      <c r="I22" s="50">
        <f>IFERROR(H22/INDEX('Input Data'!F:F,MATCH("601",'Input Data'!$C:$C,0)),"")</f>
        <v>0</v>
      </c>
      <c r="J22" s="53"/>
      <c r="K22" s="46" t="s">
        <v>481</v>
      </c>
      <c r="L22" s="46" t="str">
        <f t="shared" ca="1" si="0"/>
        <v>Due &lt; 6 Mths</v>
      </c>
      <c r="M22" s="46" t="s">
        <v>482</v>
      </c>
      <c r="N22" s="199" t="s">
        <v>507</v>
      </c>
      <c r="O22" s="5"/>
      <c r="P22" s="5"/>
    </row>
    <row r="23" spans="1:16" ht="19.5" customHeight="1" x14ac:dyDescent="0.35">
      <c r="A23" s="5"/>
      <c r="B23" s="46" t="s">
        <v>139</v>
      </c>
      <c r="C23" s="46" t="s">
        <v>143</v>
      </c>
      <c r="D23" s="20" t="str">
        <f>IFERROR(INDEX('Input Data'!D:D,MATCH("602",'Input Data'!$C:$C,0)),"")</f>
        <v>INNOVIS</v>
      </c>
      <c r="E23" s="9">
        <f ca="1">IFERROR(INDEX('Input Data'!H:H,MATCH("602",'Input Data'!$C:$C,0)),"")</f>
        <v>47421</v>
      </c>
      <c r="F23" s="46" t="s">
        <v>479</v>
      </c>
      <c r="G23" s="46" t="s">
        <v>480</v>
      </c>
      <c r="H23" s="202">
        <v>14000</v>
      </c>
      <c r="I23" s="50">
        <f>IFERROR(H23/INDEX('Input Data'!F:F,MATCH("602",'Input Data'!$C:$C,0)),"")</f>
        <v>92.044707429322813</v>
      </c>
      <c r="J23" s="9">
        <v>46146</v>
      </c>
      <c r="K23" s="46" t="s">
        <v>481</v>
      </c>
      <c r="L23" s="46" t="str">
        <f t="shared" ca="1" si="0"/>
        <v>Not Due</v>
      </c>
      <c r="M23" s="46" t="s">
        <v>482</v>
      </c>
      <c r="N23" s="199" t="s">
        <v>508</v>
      </c>
      <c r="O23" s="5"/>
      <c r="P23" s="5"/>
    </row>
    <row r="24" spans="1:16" ht="31.5" customHeight="1" x14ac:dyDescent="0.35">
      <c r="A24" s="5"/>
      <c r="B24" s="11" t="s">
        <v>145</v>
      </c>
      <c r="C24" s="11" t="s">
        <v>146</v>
      </c>
      <c r="D24" s="14" t="str">
        <f ca="1">IFERROR(INDEX('Input Data'!D:D,MATCH("701",'Input Data'!$C:$C,0)),"")</f>
        <v>PINPOINT TALENT PTY LTD</v>
      </c>
      <c r="E24" s="28">
        <f ca="1">IFERROR(INDEX('Input Data'!H:H,MATCH("701",'Input Data'!$C:$C,0)),"")</f>
        <v>46605</v>
      </c>
      <c r="F24" s="11" t="s">
        <v>479</v>
      </c>
      <c r="G24" s="11" t="s">
        <v>480</v>
      </c>
      <c r="H24" s="53"/>
      <c r="I24" s="50">
        <f>IFERROR(H24/INDEX('Input Data'!F:F,MATCH("701",'Input Data'!$C:$C,0)),"")</f>
        <v>0</v>
      </c>
      <c r="J24" s="53"/>
      <c r="K24" s="11" t="s">
        <v>481</v>
      </c>
      <c r="L24" s="11" t="str">
        <f t="shared" ca="1" si="0"/>
        <v>Due &lt; 12 Mths</v>
      </c>
      <c r="M24" s="11" t="s">
        <v>482</v>
      </c>
      <c r="N24" s="93" t="s">
        <v>509</v>
      </c>
      <c r="O24" s="5"/>
      <c r="P24" s="203" t="s">
        <v>510</v>
      </c>
    </row>
    <row r="25" spans="1:16" ht="19.5" customHeight="1" x14ac:dyDescent="0.35">
      <c r="A25" s="5"/>
      <c r="B25" s="156" t="s">
        <v>145</v>
      </c>
      <c r="C25" s="156" t="s">
        <v>149</v>
      </c>
      <c r="D25" s="22" t="str">
        <f ca="1">IFERROR(INDEX('Input Data'!D:D,MATCH("702",'Input Data'!$C:$C,0)),"")</f>
        <v>SATELLITE OFFICE PTY LTD</v>
      </c>
      <c r="E25" s="158">
        <f ca="1">IFERROR(INDEX('Input Data'!H:H,MATCH("702",'Input Data'!$C:$C,0)),"")</f>
        <v>46904</v>
      </c>
      <c r="F25" s="156" t="s">
        <v>479</v>
      </c>
      <c r="G25" s="156" t="s">
        <v>480</v>
      </c>
      <c r="H25" s="53"/>
      <c r="I25" s="50">
        <f>IFERROR(H25/INDEX('Input Data'!F:F,MATCH("702",'Input Data'!$C:$C,0)),"")</f>
        <v>0</v>
      </c>
      <c r="J25" s="53"/>
      <c r="K25" s="156" t="s">
        <v>481</v>
      </c>
      <c r="L25" s="156" t="str">
        <f t="shared" ca="1" si="0"/>
        <v>Not Due</v>
      </c>
      <c r="M25" s="156" t="s">
        <v>482</v>
      </c>
      <c r="N25" s="198" t="s">
        <v>501</v>
      </c>
      <c r="O25" s="5"/>
      <c r="P25" s="5"/>
    </row>
    <row r="26" spans="1:16" ht="19.5" customHeight="1" x14ac:dyDescent="0.35">
      <c r="A26" s="5"/>
      <c r="B26" s="11" t="s">
        <v>152</v>
      </c>
      <c r="C26" s="11" t="s">
        <v>153</v>
      </c>
      <c r="D26" s="14" t="str">
        <f ca="1">IFERROR(INDEX('Input Data'!D:D,MATCH("801",'Input Data'!$C:$C,0)),"")</f>
        <v>ARKANCE AUSTRALIA PTY LTD</v>
      </c>
      <c r="E26" s="28">
        <f ca="1">IFERROR(INDEX('Input Data'!H:H,MATCH("801",'Input Data'!$C:$C,0)),"")</f>
        <v>47756</v>
      </c>
      <c r="F26" s="11" t="s">
        <v>484</v>
      </c>
      <c r="G26" s="11" t="s">
        <v>480</v>
      </c>
      <c r="H26" s="53"/>
      <c r="I26" s="50">
        <f>IFERROR(H26/INDEX('Input Data'!F:F,MATCH("801",'Input Data'!$C:$C,0)),"")</f>
        <v>0</v>
      </c>
      <c r="J26" s="53"/>
      <c r="K26" s="11" t="s">
        <v>481</v>
      </c>
      <c r="L26" s="11" t="str">
        <f t="shared" ca="1" si="0"/>
        <v>Not Due</v>
      </c>
      <c r="M26" s="11" t="s">
        <v>482</v>
      </c>
      <c r="N26" s="93" t="s">
        <v>511</v>
      </c>
      <c r="O26" s="5"/>
      <c r="P26" s="5"/>
    </row>
    <row r="27" spans="1:16" ht="19.5" customHeight="1" x14ac:dyDescent="0.35">
      <c r="A27" s="5"/>
      <c r="B27" s="156" t="s">
        <v>152</v>
      </c>
      <c r="C27" s="156" t="s">
        <v>156</v>
      </c>
      <c r="D27" s="22" t="str">
        <f ca="1">IFERROR(INDEX('Input Data'!D:D,MATCH("802",'Input Data'!$C:$C,0)),"")</f>
        <v>HILLIARD &amp; BERRY</v>
      </c>
      <c r="E27" s="158">
        <f ca="1">IFERROR(INDEX('Input Data'!H:H,MATCH("802",'Input Data'!$C:$C,0)),"")</f>
        <v>46965</v>
      </c>
      <c r="F27" s="156" t="s">
        <v>479</v>
      </c>
      <c r="G27" s="156" t="s">
        <v>480</v>
      </c>
      <c r="H27" s="53"/>
      <c r="I27" s="50">
        <f>IFERROR(H27/INDEX('Input Data'!F:F,MATCH("802",'Input Data'!$C:$C,0)),"")</f>
        <v>0</v>
      </c>
      <c r="J27" s="53"/>
      <c r="K27" s="156" t="s">
        <v>481</v>
      </c>
      <c r="L27" s="156" t="str">
        <f t="shared" ca="1" si="0"/>
        <v>Not Due</v>
      </c>
      <c r="M27" s="156" t="s">
        <v>482</v>
      </c>
      <c r="N27" s="198" t="s">
        <v>512</v>
      </c>
      <c r="O27" s="5"/>
      <c r="P27" s="5"/>
    </row>
    <row r="28" spans="1:16" ht="19.5" customHeight="1" x14ac:dyDescent="0.35">
      <c r="A28" s="5"/>
      <c r="B28" s="60" t="s">
        <v>159</v>
      </c>
      <c r="C28" s="60" t="s">
        <v>160</v>
      </c>
      <c r="D28" s="61" t="str">
        <f ca="1">IFERROR(INDEX('Input Data'!D:D,MATCH("901",'Input Data'!$C:$C,0)),"")</f>
        <v>AITKEN INVESTMENT MANAGEMENT PTY LTD</v>
      </c>
      <c r="E28" s="63">
        <f ca="1">IFERROR(INDEX('Input Data'!H:H,MATCH("901",'Input Data'!$C:$C,0)),"")</f>
        <v>46918</v>
      </c>
      <c r="F28" s="60" t="s">
        <v>479</v>
      </c>
      <c r="G28" s="60" t="s">
        <v>480</v>
      </c>
      <c r="H28" s="53"/>
      <c r="I28" s="50">
        <f>IFERROR(H28/INDEX('Input Data'!F:F,MATCH("901",'Input Data'!$C:$C,0)),"")</f>
        <v>0</v>
      </c>
      <c r="J28" s="53"/>
      <c r="K28" s="60" t="s">
        <v>481</v>
      </c>
      <c r="L28" s="60" t="str">
        <f t="shared" ca="1" si="0"/>
        <v>Not Due</v>
      </c>
      <c r="M28" s="60" t="s">
        <v>482</v>
      </c>
      <c r="N28" s="204" t="s">
        <v>513</v>
      </c>
      <c r="O28" s="5"/>
      <c r="P28" s="5"/>
    </row>
    <row r="29" spans="1:16" ht="19.5" customHeight="1" x14ac:dyDescent="0.35">
      <c r="A29" s="5"/>
      <c r="B29" s="156" t="s">
        <v>159</v>
      </c>
      <c r="C29" s="156" t="s">
        <v>163</v>
      </c>
      <c r="D29" s="22" t="str">
        <f ca="1">IFERROR(INDEX('Input Data'!D:D,MATCH("902&amp;3",'Input Data'!$C:$C,0)),"")</f>
        <v>CAPITAL E MARKETING AND EVENTS PTY LTD</v>
      </c>
      <c r="E29" s="158">
        <f ca="1">IFERROR(INDEX('Input Data'!H:H,MATCH("902&amp;3",'Input Data'!$C:$C,0)),"")</f>
        <v>47573</v>
      </c>
      <c r="F29" s="156" t="s">
        <v>484</v>
      </c>
      <c r="G29" s="156" t="s">
        <v>480</v>
      </c>
      <c r="H29" s="53"/>
      <c r="I29" s="50">
        <f>IFERROR(H29/INDEX('Input Data'!F:F,MATCH("902&amp;3",'Input Data'!$C:$C,0)),"")</f>
        <v>0</v>
      </c>
      <c r="J29" s="53"/>
      <c r="K29" s="156" t="s">
        <v>481</v>
      </c>
      <c r="L29" s="156" t="str">
        <f t="shared" ca="1" si="0"/>
        <v>Not Due</v>
      </c>
      <c r="M29" s="156" t="s">
        <v>482</v>
      </c>
      <c r="N29" s="198" t="s">
        <v>514</v>
      </c>
      <c r="O29" s="5"/>
      <c r="P29" s="5"/>
    </row>
    <row r="30" spans="1:16" ht="19.5" customHeight="1" x14ac:dyDescent="0.35">
      <c r="A30" s="5"/>
      <c r="B30" s="11" t="s">
        <v>166</v>
      </c>
      <c r="C30" s="11" t="s">
        <v>167</v>
      </c>
      <c r="D30" s="14" t="str">
        <f ca="1">IFERROR(INDEX('Input Data'!D:D,MATCH("1001&amp;2",'Input Data'!$C:$C,0)),"")</f>
        <v>CONNECTUS SERVICES PTY LTD</v>
      </c>
      <c r="E30" s="28">
        <f ca="1">IFERROR(INDEX('Input Data'!H:H,MATCH("1001&amp;2",'Input Data'!$C:$C,0)),"")</f>
        <v>47452</v>
      </c>
      <c r="F30" s="11" t="s">
        <v>484</v>
      </c>
      <c r="G30" s="11" t="s">
        <v>480</v>
      </c>
      <c r="H30" s="53"/>
      <c r="I30" s="50">
        <f>IFERROR(H30/INDEX('Input Data'!F:F,MATCH("1001&amp;2",'Input Data'!$C:$C,0)),"")</f>
        <v>0</v>
      </c>
      <c r="J30" s="53"/>
      <c r="K30" s="11" t="s">
        <v>481</v>
      </c>
      <c r="L30" s="11" t="str">
        <f t="shared" ca="1" si="0"/>
        <v>Not Due</v>
      </c>
      <c r="M30" s="11" t="s">
        <v>482</v>
      </c>
      <c r="N30" s="93" t="s">
        <v>515</v>
      </c>
      <c r="O30" s="5"/>
      <c r="P30" s="205" t="s">
        <v>516</v>
      </c>
    </row>
    <row r="31" spans="1:16" ht="19.5" customHeight="1" x14ac:dyDescent="0.35">
      <c r="A31" s="5"/>
      <c r="B31" s="46" t="s">
        <v>171</v>
      </c>
      <c r="C31" s="46" t="s">
        <v>172</v>
      </c>
      <c r="D31" s="20" t="str">
        <f ca="1">IFERROR(INDEX('Input Data'!D:D,MATCH("1101",'Input Data'!$C:$C,0)),"")</f>
        <v>MICHAEL FLEGG PTY LTD</v>
      </c>
      <c r="E31" s="9">
        <f ca="1">IFERROR(INDEX('Input Data'!H:H,MATCH("1101",'Input Data'!$C:$C,0)),"")</f>
        <v>46356</v>
      </c>
      <c r="F31" s="46" t="s">
        <v>479</v>
      </c>
      <c r="G31" s="46" t="s">
        <v>480</v>
      </c>
      <c r="H31" s="53"/>
      <c r="I31" s="50">
        <f>IFERROR(H31/INDEX('Input Data'!F:F,MATCH("1101",'Input Data'!$C:$C,0)),"")</f>
        <v>0</v>
      </c>
      <c r="J31" s="53"/>
      <c r="K31" s="46" t="s">
        <v>481</v>
      </c>
      <c r="L31" s="46" t="str">
        <f t="shared" ca="1" si="0"/>
        <v>Due &lt; 6 Mths</v>
      </c>
      <c r="M31" s="46" t="s">
        <v>482</v>
      </c>
      <c r="N31" s="199" t="s">
        <v>517</v>
      </c>
      <c r="O31" s="5"/>
      <c r="P31" s="11" t="s">
        <v>518</v>
      </c>
    </row>
    <row r="32" spans="1:16" ht="19.5" customHeight="1" x14ac:dyDescent="0.35">
      <c r="A32" s="5"/>
      <c r="B32" s="46" t="s">
        <v>171</v>
      </c>
      <c r="C32" s="46" t="s">
        <v>175</v>
      </c>
      <c r="D32" s="20" t="str">
        <f ca="1">IFERROR(INDEX('Input Data'!D:D,MATCH("1102",'Input Data'!$C:$C,0)),"")</f>
        <v>LEWIS WOOLCOTT</v>
      </c>
      <c r="E32" s="9">
        <f ca="1">IFERROR(INDEX('Input Data'!H:H,MATCH("1102",'Input Data'!$C:$C,0)),"")</f>
        <v>46979</v>
      </c>
      <c r="F32" s="46" t="s">
        <v>479</v>
      </c>
      <c r="G32" s="46" t="s">
        <v>480</v>
      </c>
      <c r="H32" s="53"/>
      <c r="I32" s="50">
        <f>IFERROR(H32/INDEX('Input Data'!F:F,MATCH("1102",'Input Data'!$C:$C,0)),"")</f>
        <v>0</v>
      </c>
      <c r="J32" s="53"/>
      <c r="K32" s="46" t="s">
        <v>481</v>
      </c>
      <c r="L32" s="46" t="str">
        <f t="shared" ca="1" si="0"/>
        <v>Not Due</v>
      </c>
      <c r="M32" s="46" t="s">
        <v>482</v>
      </c>
      <c r="N32" s="199" t="s">
        <v>519</v>
      </c>
      <c r="O32" s="5"/>
      <c r="P32" s="5"/>
    </row>
    <row r="33" spans="1:16" ht="19.5" customHeight="1" x14ac:dyDescent="0.35">
      <c r="A33" s="5"/>
      <c r="B33" s="11" t="s">
        <v>171</v>
      </c>
      <c r="C33" s="11" t="s">
        <v>184</v>
      </c>
      <c r="D33" s="14" t="str">
        <f ca="1">IFERROR(INDEX('Input Data'!D:D,MATCH("1103",'Input Data'!$C:$C,0)),"")</f>
        <v>INTERFI SYSTEMS PTY LTD</v>
      </c>
      <c r="E33" s="11" t="s">
        <v>4</v>
      </c>
      <c r="F33" s="11" t="s">
        <v>4</v>
      </c>
      <c r="G33" s="11" t="s">
        <v>4</v>
      </c>
      <c r="H33" s="53"/>
      <c r="I33" s="50">
        <f>IFERROR(H33/INDEX('Input Data'!F:F,MATCH("1103",'Input Data'!$C:$C,0)),"")</f>
        <v>0</v>
      </c>
      <c r="J33" s="53"/>
      <c r="K33" s="11" t="s">
        <v>481</v>
      </c>
      <c r="L33" s="11" t="str">
        <f t="shared" ca="1" si="0"/>
        <v>N/A</v>
      </c>
      <c r="M33" s="11" t="s">
        <v>482</v>
      </c>
      <c r="N33" s="93" t="s">
        <v>520</v>
      </c>
      <c r="O33" s="5"/>
      <c r="P33" s="5"/>
    </row>
    <row r="34" spans="1:16" ht="19.5" customHeight="1" x14ac:dyDescent="0.35">
      <c r="A34" s="5"/>
      <c r="B34" s="11" t="s">
        <v>179</v>
      </c>
      <c r="C34" s="11" t="s">
        <v>179</v>
      </c>
      <c r="D34" s="14" t="str">
        <f ca="1">IFERROR(INDEX('Input Data'!D:D,MATCH("L12",'Input Data'!$C:$C,0)),"")</f>
        <v>DAKOTA CORPORATION</v>
      </c>
      <c r="E34" s="28">
        <v>45291</v>
      </c>
      <c r="F34" s="11" t="s">
        <v>181</v>
      </c>
      <c r="G34" s="11" t="s">
        <v>181</v>
      </c>
      <c r="H34" s="53"/>
      <c r="I34" s="50">
        <f>IFERROR(H34/INDEX('Input Data'!F:F,MATCH("L12",'Input Data'!$C:$C,0)),"")</f>
        <v>0</v>
      </c>
      <c r="J34" s="53"/>
      <c r="K34" s="11" t="s">
        <v>481</v>
      </c>
      <c r="L34" s="11" t="str">
        <f t="shared" ca="1" si="0"/>
        <v>Overdue</v>
      </c>
      <c r="M34" s="11" t="s">
        <v>482</v>
      </c>
      <c r="N34" s="93" t="s">
        <v>521</v>
      </c>
      <c r="O34" s="5"/>
      <c r="P34" s="5"/>
    </row>
    <row r="35" spans="1:16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t="19.5" customHeight="1" x14ac:dyDescent="0.35">
      <c r="A36" s="5"/>
      <c r="B36" s="323" t="s">
        <v>522</v>
      </c>
      <c r="C36" s="323"/>
      <c r="D36" s="323"/>
      <c r="E36" s="323"/>
      <c r="F36" s="323"/>
      <c r="G36" s="323"/>
      <c r="H36" s="323"/>
      <c r="I36" s="323"/>
      <c r="J36" s="323"/>
      <c r="K36" s="323"/>
      <c r="L36" s="323"/>
      <c r="M36" s="323"/>
      <c r="N36" s="323"/>
      <c r="O36" s="5"/>
      <c r="P36" s="5"/>
    </row>
    <row r="37" spans="1:16" ht="18" customHeight="1" x14ac:dyDescent="0.35">
      <c r="A37" s="5"/>
      <c r="B37" s="79"/>
      <c r="C37" s="412" t="s">
        <v>523</v>
      </c>
      <c r="D37" s="412"/>
      <c r="E37" s="81"/>
      <c r="F37" s="412" t="s">
        <v>524</v>
      </c>
      <c r="G37" s="412"/>
      <c r="H37" s="81"/>
      <c r="I37" s="412" t="s">
        <v>525</v>
      </c>
      <c r="J37" s="412"/>
      <c r="K37" s="1"/>
      <c r="L37" s="412" t="s">
        <v>526</v>
      </c>
      <c r="M37" s="412"/>
      <c r="N37" s="5"/>
      <c r="O37" s="5"/>
      <c r="P37" s="5"/>
    </row>
  </sheetData>
  <mergeCells count="17">
    <mergeCell ref="B36:N36"/>
    <mergeCell ref="C37:D37"/>
    <mergeCell ref="F37:G37"/>
    <mergeCell ref="I37:J37"/>
    <mergeCell ref="L37:M37"/>
    <mergeCell ref="B6:C6"/>
    <mergeCell ref="E6:F6"/>
    <mergeCell ref="H6:I6"/>
    <mergeCell ref="K6:L6"/>
    <mergeCell ref="B8:P8"/>
    <mergeCell ref="A1:N1"/>
    <mergeCell ref="A2:N2"/>
    <mergeCell ref="B4:M4"/>
    <mergeCell ref="B5:C5"/>
    <mergeCell ref="E5:F5"/>
    <mergeCell ref="H5:I5"/>
    <mergeCell ref="K5:L5"/>
  </mergeCells>
  <pageMargins left="0.75" right="0.75" top="1" bottom="1" header="0.51180555555555596" footer="0.51180555555555596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5"/>
  <sheetViews>
    <sheetView showGridLines="0" zoomScaleNormal="100" workbookViewId="0">
      <selection activeCell="B22" sqref="B22"/>
    </sheetView>
  </sheetViews>
  <sheetFormatPr defaultColWidth="8.6328125" defaultRowHeight="14.5" x14ac:dyDescent="0.35"/>
  <cols>
    <col min="1" max="1" width="1.54296875" customWidth="1"/>
    <col min="2" max="2" width="27.08984375" customWidth="1"/>
    <col min="3" max="3" width="10" customWidth="1"/>
    <col min="4" max="4" width="28" customWidth="1"/>
    <col min="5" max="5" width="10" customWidth="1"/>
    <col min="6" max="6" width="12" customWidth="1"/>
    <col min="7" max="8" width="14" customWidth="1"/>
    <col min="9" max="9" width="12" customWidth="1"/>
    <col min="10" max="10" width="14" customWidth="1"/>
    <col min="11" max="11" width="12" customWidth="1"/>
    <col min="12" max="12" width="16" customWidth="1"/>
    <col min="13" max="15" width="14" customWidth="1"/>
    <col min="16" max="16" width="28" customWidth="1"/>
  </cols>
  <sheetData>
    <row r="1" spans="1:16" ht="30" customHeight="1" x14ac:dyDescent="0.35">
      <c r="A1" s="321" t="s">
        <v>527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5"/>
    </row>
    <row r="2" spans="1:16" ht="15.75" customHeight="1" x14ac:dyDescent="0.35">
      <c r="A2" s="322" t="s">
        <v>528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5"/>
    </row>
    <row r="3" spans="1:16" ht="7.5" customHeight="1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9.5" customHeight="1" x14ac:dyDescent="0.35">
      <c r="A4" s="5"/>
      <c r="B4" s="323" t="s">
        <v>529</v>
      </c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5"/>
      <c r="P4" s="5"/>
    </row>
    <row r="5" spans="1:16" ht="21.75" customHeight="1" x14ac:dyDescent="0.35">
      <c r="A5" s="5"/>
      <c r="B5" s="324" t="s">
        <v>530</v>
      </c>
      <c r="C5" s="324"/>
      <c r="D5" s="324" t="s">
        <v>531</v>
      </c>
      <c r="E5" s="324"/>
      <c r="F5" s="324" t="s">
        <v>532</v>
      </c>
      <c r="G5" s="324"/>
      <c r="H5" s="324" t="s">
        <v>533</v>
      </c>
      <c r="I5" s="324"/>
      <c r="J5" s="324" t="s">
        <v>534</v>
      </c>
      <c r="K5" s="324"/>
      <c r="L5" s="324" t="s">
        <v>535</v>
      </c>
      <c r="M5" s="324"/>
      <c r="N5" s="5"/>
      <c r="O5" s="5"/>
      <c r="P5" s="5"/>
    </row>
    <row r="6" spans="1:16" ht="21.75" customHeight="1" x14ac:dyDescent="0.35">
      <c r="A6" s="5"/>
      <c r="B6" s="325" t="s">
        <v>4</v>
      </c>
      <c r="C6" s="325"/>
      <c r="D6" s="325" t="s">
        <v>4</v>
      </c>
      <c r="E6" s="325"/>
      <c r="F6" s="325" t="s">
        <v>4</v>
      </c>
      <c r="G6" s="325"/>
      <c r="H6" s="325" t="s">
        <v>4</v>
      </c>
      <c r="I6" s="325"/>
      <c r="J6" s="325" t="s">
        <v>4</v>
      </c>
      <c r="K6" s="325"/>
      <c r="L6" s="325" t="s">
        <v>4</v>
      </c>
      <c r="M6" s="325"/>
      <c r="N6" s="5"/>
      <c r="O6" s="5"/>
      <c r="P6" s="5"/>
    </row>
    <row r="7" spans="1:16" ht="7.5" customHeight="1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ht="19.5" customHeight="1" x14ac:dyDescent="0.35">
      <c r="A8" s="5"/>
      <c r="B8" s="323" t="s">
        <v>536</v>
      </c>
      <c r="C8" s="323"/>
      <c r="D8" s="323"/>
      <c r="E8" s="323"/>
      <c r="F8" s="323"/>
      <c r="G8" s="323"/>
      <c r="H8" s="323"/>
      <c r="I8" s="323"/>
      <c r="J8" s="323"/>
      <c r="K8" s="323"/>
      <c r="L8" s="323"/>
      <c r="M8" s="323"/>
      <c r="N8" s="323"/>
      <c r="O8" s="323"/>
      <c r="P8" s="5"/>
    </row>
    <row r="9" spans="1:16" ht="36" customHeight="1" x14ac:dyDescent="0.35">
      <c r="A9" s="5"/>
      <c r="B9" s="24" t="s">
        <v>62</v>
      </c>
      <c r="C9" s="24" t="s">
        <v>232</v>
      </c>
      <c r="D9" s="24" t="s">
        <v>537</v>
      </c>
      <c r="E9" s="24" t="s">
        <v>349</v>
      </c>
      <c r="F9" s="24" t="s">
        <v>538</v>
      </c>
      <c r="G9" s="24" t="s">
        <v>85</v>
      </c>
      <c r="H9" s="24" t="s">
        <v>539</v>
      </c>
      <c r="I9" s="24" t="s">
        <v>472</v>
      </c>
      <c r="J9" s="24" t="s">
        <v>540</v>
      </c>
      <c r="K9" s="24" t="s">
        <v>541</v>
      </c>
      <c r="L9" s="24" t="s">
        <v>542</v>
      </c>
      <c r="M9" s="24" t="s">
        <v>543</v>
      </c>
      <c r="N9" s="24" t="s">
        <v>544</v>
      </c>
      <c r="O9" s="24" t="s">
        <v>545</v>
      </c>
      <c r="P9" s="24" t="s">
        <v>546</v>
      </c>
    </row>
    <row r="10" spans="1:16" ht="19.5" customHeight="1" x14ac:dyDescent="0.35">
      <c r="A10" s="5"/>
      <c r="B10" s="11" t="s">
        <v>171</v>
      </c>
      <c r="C10" s="130" t="s">
        <v>184</v>
      </c>
      <c r="D10" s="14" t="str">
        <f ca="1">IFERROR(INDEX('Input Data'!D:D,MATCH("1103",'Input Data'!$C:$C,0))&amp;IF(INDEX('Input Data'!H:H,MATCH("1103",'Input Data'!$C:$C,0))=""," (Vacant)"," (Exp: "&amp;TEXT(INDEX('Input Data'!H:H,MATCH("1103",'Input Data'!$C:$C,0)),"DD/MM/YY")&amp;")"),"")</f>
        <v>INTERFI SYSTEMS PTY LTD (Exp: 14/07/29)</v>
      </c>
      <c r="E10" s="27">
        <f>IFERROR(INDEX('Input Data'!F:F,MATCH("1103",'Input Data'!$C:$C,0)),"")</f>
        <v>160.30000000000001</v>
      </c>
      <c r="F10" s="53"/>
      <c r="G10" s="46" t="s">
        <v>547</v>
      </c>
      <c r="H10" s="53"/>
      <c r="I10" s="50">
        <f t="shared" ref="I10:I16" si="0">IFERROR(H10/E10,"")</f>
        <v>0</v>
      </c>
      <c r="J10" s="53"/>
      <c r="K10" s="50">
        <f t="shared" ref="K10:K15" si="1">IFERROR(H10-J10,"")</f>
        <v>0</v>
      </c>
      <c r="L10" s="55"/>
      <c r="M10" s="53"/>
      <c r="N10" s="50">
        <f>IFERROR(INDEX('Input Data'!S:S,MATCH("1103",'Input Data'!$C:$C,0)),"")</f>
        <v>1060</v>
      </c>
      <c r="O10" s="53"/>
      <c r="P10" s="55"/>
    </row>
    <row r="11" spans="1:16" ht="19.5" customHeight="1" x14ac:dyDescent="0.35">
      <c r="A11" s="5"/>
      <c r="B11" s="156" t="s">
        <v>139</v>
      </c>
      <c r="C11" s="185" t="s">
        <v>143</v>
      </c>
      <c r="D11" s="22" t="str">
        <f ca="1">IFERROR(INDEX('Input Data'!D:D,MATCH("602",'Input Data'!$C:$C,0))&amp;IF(INDEX('Input Data'!H:H,MATCH("602",'Input Data'!$C:$C,0))=""," (Vacant)"," (Exp: "&amp;TEXT(INDEX('Input Data'!H:H,MATCH("602",'Input Data'!$C:$C,0)),"DD/MM/YY")&amp;")"),"")</f>
        <v>INNOVIS (Exp: 30/10/29)</v>
      </c>
      <c r="E11" s="157">
        <f>IFERROR(INDEX('Input Data'!F:F,MATCH("602",'Input Data'!$C:$C,0)),"")</f>
        <v>152.1</v>
      </c>
      <c r="F11" s="9">
        <v>46146</v>
      </c>
      <c r="G11" s="46" t="s">
        <v>548</v>
      </c>
      <c r="H11" s="202">
        <v>13970</v>
      </c>
      <c r="I11" s="50">
        <f t="shared" si="0"/>
        <v>91.847468770545703</v>
      </c>
      <c r="J11" s="53"/>
      <c r="K11" s="50">
        <f t="shared" si="1"/>
        <v>13970</v>
      </c>
      <c r="L11" s="199" t="s">
        <v>549</v>
      </c>
      <c r="M11" s="53"/>
      <c r="N11" s="50">
        <f>IFERROR(INDEX('Input Data'!S:S,MATCH("602",'Input Data'!$C:$C,0)),"")</f>
        <v>1030</v>
      </c>
      <c r="O11" s="53"/>
      <c r="P11" s="55"/>
    </row>
    <row r="12" spans="1:16" ht="19.5" customHeight="1" x14ac:dyDescent="0.35">
      <c r="A12" s="5"/>
      <c r="B12" s="11" t="s">
        <v>101</v>
      </c>
      <c r="C12" s="130" t="s">
        <v>102</v>
      </c>
      <c r="D12" s="14" t="str">
        <f ca="1">IFERROR(INDEX('Input Data'!D:D,MATCH("101&amp;2",'Input Data'!$C:$C,0))&amp;IF(INDEX('Input Data'!H:H,MATCH("101&amp;2",'Input Data'!$C:$C,0))=""," (Vacant)"," (Exp: "&amp;TEXT(INDEX('Input Data'!H:H,MATCH("101&amp;2",'Input Data'!$C:$C,0)),"DD/MM/YY")&amp;")"),"")</f>
        <v>VACANT (Vacant)</v>
      </c>
      <c r="E12" s="27">
        <f>IFERROR(INDEX('Input Data'!F:F,MATCH("101&amp;2",'Input Data'!$C:$C,0)),"")</f>
        <v>162.4</v>
      </c>
      <c r="F12" s="9">
        <v>46148</v>
      </c>
      <c r="G12" s="46" t="s">
        <v>548</v>
      </c>
      <c r="H12" s="206">
        <v>231499.4</v>
      </c>
      <c r="I12" s="50">
        <f t="shared" si="0"/>
        <v>1425.4889162561576</v>
      </c>
      <c r="J12" s="207">
        <f>1200*E12</f>
        <v>194880</v>
      </c>
      <c r="K12" s="50">
        <f t="shared" si="1"/>
        <v>36619.399999999994</v>
      </c>
      <c r="L12" s="20" t="s">
        <v>550</v>
      </c>
      <c r="M12" s="53"/>
      <c r="N12" s="50">
        <f>IFERROR(INDEX('Input Data'!S:S,MATCH("101&amp;2",'Input Data'!$C:$C,0)),"")</f>
        <v>1115</v>
      </c>
      <c r="O12" s="53"/>
      <c r="P12" s="55"/>
    </row>
    <row r="13" spans="1:16" ht="19.5" customHeight="1" x14ac:dyDescent="0.35">
      <c r="A13" s="5"/>
      <c r="B13" s="156" t="s">
        <v>101</v>
      </c>
      <c r="C13" s="185" t="s">
        <v>109</v>
      </c>
      <c r="D13" s="22" t="str">
        <f ca="1">IFERROR(INDEX('Input Data'!D:D,MATCH("104",'Input Data'!$C:$C,0))&amp;IF(INDEX('Input Data'!H:H,MATCH("104",'Input Data'!$C:$C,0))=""," (Vacant)"," (Exp: "&amp;TEXT(INDEX('Input Data'!H:H,MATCH("104",'Input Data'!$C:$C,0)),"DD/MM/YY")&amp;")"),"")</f>
        <v>TJC#1 PTY LTD (Exp: 31/07/29)</v>
      </c>
      <c r="E13" s="157">
        <f>IFERROR(INDEX('Input Data'!F:F,MATCH("104",'Input Data'!$C:$C,0)),"")</f>
        <v>98.1</v>
      </c>
      <c r="F13" s="53"/>
      <c r="G13" s="46" t="s">
        <v>547</v>
      </c>
      <c r="H13" s="53"/>
      <c r="I13" s="50">
        <f t="shared" si="0"/>
        <v>0</v>
      </c>
      <c r="J13" s="53"/>
      <c r="K13" s="50">
        <f t="shared" si="1"/>
        <v>0</v>
      </c>
      <c r="L13" s="55"/>
      <c r="M13" s="53"/>
      <c r="N13" s="50">
        <f>IFERROR(INDEX('Input Data'!S:S,MATCH("104",'Input Data'!$C:$C,0)),"")</f>
        <v>960</v>
      </c>
      <c r="O13" s="53"/>
      <c r="P13" s="55"/>
    </row>
    <row r="14" spans="1:16" ht="19.5" customHeight="1" x14ac:dyDescent="0.35">
      <c r="A14" s="5"/>
      <c r="B14" s="11" t="s">
        <v>171</v>
      </c>
      <c r="C14" s="130" t="s">
        <v>175</v>
      </c>
      <c r="D14" s="14" t="str">
        <f ca="1">IFERROR(INDEX('Input Data'!D:D,MATCH("1102",'Input Data'!$C:$C,0))&amp;IF(INDEX('Input Data'!H:H,MATCH("1102",'Input Data'!$C:$C,0))=""," (Vacant)"," (Exp: "&amp;TEXT(INDEX('Input Data'!H:H,MATCH("1102",'Input Data'!$C:$C,0)),"DD/MM/YY")&amp;")"),"")</f>
        <v>LEWIS WOOLCOTT (Exp: 14/08/28)</v>
      </c>
      <c r="E14" s="27">
        <f>IFERROR(INDEX('Input Data'!F:F,MATCH("1102",'Input Data'!$C:$C,0)),"")</f>
        <v>133.1</v>
      </c>
      <c r="F14" s="53"/>
      <c r="G14" s="46" t="s">
        <v>547</v>
      </c>
      <c r="H14" s="53"/>
      <c r="I14" s="50">
        <f t="shared" si="0"/>
        <v>0</v>
      </c>
      <c r="J14" s="53"/>
      <c r="K14" s="50">
        <f t="shared" si="1"/>
        <v>0</v>
      </c>
      <c r="L14" s="55"/>
      <c r="M14" s="53"/>
      <c r="N14" s="50">
        <f>IFERROR(INDEX('Input Data'!S:S,MATCH("1102",'Input Data'!$C:$C,0)),"")</f>
        <v>1250</v>
      </c>
      <c r="O14" s="53"/>
      <c r="P14" s="55"/>
    </row>
    <row r="15" spans="1:16" ht="19.5" customHeight="1" x14ac:dyDescent="0.35">
      <c r="A15" s="5"/>
      <c r="B15" s="156" t="s">
        <v>171</v>
      </c>
      <c r="C15" s="185" t="s">
        <v>172</v>
      </c>
      <c r="D15" s="22" t="str">
        <f ca="1">IFERROR(INDEX('Input Data'!D:D,MATCH("1101",'Input Data'!$C:$C,0))&amp;IF(INDEX('Input Data'!H:H,MATCH("1101",'Input Data'!$C:$C,0))=""," (Vacant)"," (Exp: "&amp;TEXT(INDEX('Input Data'!H:H,MATCH("1101",'Input Data'!$C:$C,0)),"DD/MM/YY")&amp;")"),"")</f>
        <v>MICHAEL FLEGG PTY LTD (Exp: 30/11/26)</v>
      </c>
      <c r="E15" s="157">
        <f>IFERROR(INDEX('Input Data'!F:F,MATCH("1101",'Input Data'!$C:$C,0)),"")</f>
        <v>62.4</v>
      </c>
      <c r="F15" s="53"/>
      <c r="G15" s="46" t="s">
        <v>547</v>
      </c>
      <c r="H15" s="53"/>
      <c r="I15" s="50">
        <f t="shared" si="0"/>
        <v>0</v>
      </c>
      <c r="J15" s="53"/>
      <c r="K15" s="50">
        <f t="shared" si="1"/>
        <v>0</v>
      </c>
      <c r="L15" s="55"/>
      <c r="M15" s="53"/>
      <c r="N15" s="50">
        <f>IFERROR(INDEX('Input Data'!S:S,MATCH("1101",'Input Data'!$C:$C,0)),"")</f>
        <v>1405</v>
      </c>
      <c r="O15" s="53"/>
      <c r="P15" s="55"/>
    </row>
    <row r="16" spans="1:16" ht="19.5" customHeight="1" x14ac:dyDescent="0.35">
      <c r="A16" s="5"/>
      <c r="B16" s="18" t="s">
        <v>171</v>
      </c>
      <c r="C16" s="18"/>
      <c r="D16" s="18"/>
      <c r="E16" s="208">
        <v>162.4</v>
      </c>
      <c r="F16" s="81"/>
      <c r="G16" s="81"/>
      <c r="H16" s="320">
        <v>354254.37</v>
      </c>
      <c r="I16" s="50">
        <f t="shared" si="0"/>
        <v>2181.3692733990147</v>
      </c>
      <c r="J16" s="81"/>
      <c r="K16" s="81"/>
      <c r="L16" s="81"/>
      <c r="M16" s="81"/>
      <c r="N16" s="81"/>
      <c r="O16" s="81"/>
      <c r="P16" s="81"/>
    </row>
    <row r="17" spans="1:16" ht="19.5" customHeight="1" x14ac:dyDescent="0.35">
      <c r="A17" s="5"/>
      <c r="B17" s="192"/>
      <c r="C17" s="192"/>
      <c r="D17" s="192"/>
      <c r="E17" s="209"/>
      <c r="F17" s="81"/>
      <c r="G17" s="81"/>
      <c r="H17" s="320">
        <f>H16-48000</f>
        <v>306254.37</v>
      </c>
      <c r="I17" s="320">
        <f>H17/E16</f>
        <v>1885.8027709359606</v>
      </c>
      <c r="J17" s="81"/>
      <c r="K17" s="81"/>
      <c r="L17" s="81"/>
      <c r="M17" s="81"/>
      <c r="N17" s="81"/>
      <c r="O17" s="81"/>
      <c r="P17" s="81"/>
    </row>
    <row r="18" spans="1:16" ht="19.5" customHeight="1" x14ac:dyDescent="0.35">
      <c r="A18" s="5"/>
      <c r="B18" s="18"/>
      <c r="C18" s="18"/>
      <c r="D18" s="18"/>
      <c r="E18" s="208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</row>
    <row r="19" spans="1:16" ht="19.5" customHeight="1" x14ac:dyDescent="0.35">
      <c r="A19" s="5"/>
      <c r="B19" s="192"/>
      <c r="C19" s="192"/>
      <c r="D19" s="192"/>
      <c r="E19" s="209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</row>
    <row r="20" spans="1:16" ht="19.5" customHeight="1" x14ac:dyDescent="0.35">
      <c r="A20" s="5"/>
      <c r="B20" s="18"/>
      <c r="C20" s="18"/>
      <c r="D20" s="18"/>
      <c r="E20" s="208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</row>
    <row r="21" spans="1:16" ht="19.5" customHeight="1" x14ac:dyDescent="0.35">
      <c r="A21" s="5"/>
      <c r="B21" s="192"/>
      <c r="C21" s="192"/>
      <c r="D21" s="192"/>
      <c r="E21" s="209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</row>
    <row r="22" spans="1:16" ht="19.5" customHeight="1" x14ac:dyDescent="0.35">
      <c r="A22" s="5"/>
      <c r="B22" s="18"/>
      <c r="C22" s="18"/>
      <c r="D22" s="18"/>
      <c r="E22" s="208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</row>
    <row r="23" spans="1:16" ht="19.5" customHeight="1" x14ac:dyDescent="0.35">
      <c r="A23" s="5"/>
      <c r="B23" s="192"/>
      <c r="C23" s="192"/>
      <c r="D23" s="192"/>
      <c r="E23" s="209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</row>
    <row r="24" spans="1:16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ht="19.5" customHeight="1" x14ac:dyDescent="0.35">
      <c r="A26" s="5"/>
      <c r="B26" s="323" t="s">
        <v>551</v>
      </c>
      <c r="C26" s="323"/>
      <c r="D26" s="32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23"/>
      <c r="P26" s="5"/>
    </row>
    <row r="27" spans="1:16" ht="18" customHeight="1" x14ac:dyDescent="0.35">
      <c r="A27" s="5"/>
      <c r="B27" s="146" t="s">
        <v>552</v>
      </c>
      <c r="C27" s="84" t="s">
        <v>553</v>
      </c>
      <c r="D27" s="84" t="s">
        <v>554</v>
      </c>
      <c r="E27" s="84" t="s">
        <v>555</v>
      </c>
      <c r="F27" s="326" t="s">
        <v>84</v>
      </c>
      <c r="G27" s="326"/>
      <c r="H27" s="326"/>
      <c r="I27" s="326"/>
      <c r="J27" s="326"/>
      <c r="K27" s="326"/>
      <c r="L27" s="326"/>
      <c r="M27" s="326"/>
      <c r="N27" s="326"/>
      <c r="O27" s="326"/>
      <c r="P27" s="5"/>
    </row>
    <row r="28" spans="1:16" ht="18" customHeight="1" x14ac:dyDescent="0.35">
      <c r="A28" s="5"/>
      <c r="B28" s="38" t="s">
        <v>556</v>
      </c>
      <c r="C28" s="36" t="s">
        <v>557</v>
      </c>
      <c r="D28" s="36" t="s">
        <v>558</v>
      </c>
      <c r="E28" s="36" t="s">
        <v>559</v>
      </c>
      <c r="F28" s="327" t="s">
        <v>560</v>
      </c>
      <c r="G28" s="327"/>
      <c r="H28" s="327"/>
      <c r="I28" s="327"/>
      <c r="J28" s="327"/>
      <c r="K28" s="327"/>
      <c r="L28" s="327"/>
      <c r="M28" s="327"/>
      <c r="N28" s="327"/>
      <c r="O28" s="327"/>
      <c r="P28" s="5"/>
    </row>
    <row r="29" spans="1:16" ht="18" customHeight="1" x14ac:dyDescent="0.35">
      <c r="A29" s="5"/>
      <c r="B29" s="14" t="s">
        <v>561</v>
      </c>
      <c r="C29" s="11" t="s">
        <v>562</v>
      </c>
      <c r="D29" s="11" t="s">
        <v>563</v>
      </c>
      <c r="E29" s="11" t="s">
        <v>564</v>
      </c>
      <c r="F29" s="328" t="s">
        <v>565</v>
      </c>
      <c r="G29" s="328"/>
      <c r="H29" s="328"/>
      <c r="I29" s="328"/>
      <c r="J29" s="328"/>
      <c r="K29" s="328"/>
      <c r="L29" s="328"/>
      <c r="M29" s="328"/>
      <c r="N29" s="328"/>
      <c r="O29" s="328"/>
      <c r="P29" s="5"/>
    </row>
    <row r="30" spans="1:16" ht="18" customHeight="1" x14ac:dyDescent="0.35">
      <c r="A30" s="5"/>
      <c r="B30" s="38" t="s">
        <v>566</v>
      </c>
      <c r="C30" s="36" t="s">
        <v>567</v>
      </c>
      <c r="D30" s="36" t="s">
        <v>568</v>
      </c>
      <c r="E30" s="36" t="s">
        <v>569</v>
      </c>
      <c r="F30" s="327" t="s">
        <v>570</v>
      </c>
      <c r="G30" s="327"/>
      <c r="H30" s="327"/>
      <c r="I30" s="327"/>
      <c r="J30" s="327"/>
      <c r="K30" s="327"/>
      <c r="L30" s="327"/>
      <c r="M30" s="327"/>
      <c r="N30" s="327"/>
      <c r="O30" s="327"/>
      <c r="P30" s="5"/>
    </row>
    <row r="31" spans="1:16" ht="18" customHeight="1" x14ac:dyDescent="0.35">
      <c r="A31" s="5"/>
      <c r="B31" s="14" t="s">
        <v>571</v>
      </c>
      <c r="C31" s="11" t="s">
        <v>568</v>
      </c>
      <c r="D31" s="11" t="s">
        <v>572</v>
      </c>
      <c r="E31" s="11" t="s">
        <v>573</v>
      </c>
      <c r="F31" s="328" t="s">
        <v>574</v>
      </c>
      <c r="G31" s="328"/>
      <c r="H31" s="328"/>
      <c r="I31" s="328"/>
      <c r="J31" s="328"/>
      <c r="K31" s="328"/>
      <c r="L31" s="328"/>
      <c r="M31" s="328"/>
      <c r="N31" s="328"/>
      <c r="O31" s="328"/>
      <c r="P31" s="5"/>
    </row>
    <row r="32" spans="1:16" ht="18" customHeight="1" x14ac:dyDescent="0.35">
      <c r="A32" s="5"/>
      <c r="B32" s="38" t="s">
        <v>575</v>
      </c>
      <c r="C32" s="36" t="s">
        <v>576</v>
      </c>
      <c r="D32" s="36" t="s">
        <v>577</v>
      </c>
      <c r="E32" s="36" t="s">
        <v>578</v>
      </c>
      <c r="F32" s="327" t="s">
        <v>579</v>
      </c>
      <c r="G32" s="327"/>
      <c r="H32" s="327"/>
      <c r="I32" s="327"/>
      <c r="J32" s="327"/>
      <c r="K32" s="327"/>
      <c r="L32" s="327"/>
      <c r="M32" s="327"/>
      <c r="N32" s="327"/>
      <c r="O32" s="327"/>
      <c r="P32" s="5"/>
    </row>
    <row r="33" spans="1:16" ht="18" customHeight="1" x14ac:dyDescent="0.35">
      <c r="A33" s="5"/>
      <c r="B33" s="14" t="s">
        <v>580</v>
      </c>
      <c r="C33" s="11" t="s">
        <v>581</v>
      </c>
      <c r="D33" s="11" t="s">
        <v>582</v>
      </c>
      <c r="E33" s="11" t="s">
        <v>569</v>
      </c>
      <c r="F33" s="328" t="s">
        <v>570</v>
      </c>
      <c r="G33" s="328"/>
      <c r="H33" s="328"/>
      <c r="I33" s="328"/>
      <c r="J33" s="328"/>
      <c r="K33" s="328"/>
      <c r="L33" s="328"/>
      <c r="M33" s="328"/>
      <c r="N33" s="328"/>
      <c r="O33" s="328"/>
      <c r="P33" s="5"/>
    </row>
    <row r="34" spans="1:16" ht="18" customHeight="1" x14ac:dyDescent="0.35">
      <c r="A34" s="5"/>
      <c r="B34" s="38" t="s">
        <v>583</v>
      </c>
      <c r="C34" s="36" t="s">
        <v>584</v>
      </c>
      <c r="D34" s="36" t="s">
        <v>585</v>
      </c>
      <c r="E34" s="36" t="s">
        <v>586</v>
      </c>
      <c r="F34" s="327" t="s">
        <v>587</v>
      </c>
      <c r="G34" s="327"/>
      <c r="H34" s="327"/>
      <c r="I34" s="327"/>
      <c r="J34" s="327"/>
      <c r="K34" s="327"/>
      <c r="L34" s="327"/>
      <c r="M34" s="327"/>
      <c r="N34" s="327"/>
      <c r="O34" s="327"/>
      <c r="P34" s="5"/>
    </row>
    <row r="35" spans="1:16" ht="18" customHeight="1" x14ac:dyDescent="0.35">
      <c r="A35" s="5"/>
      <c r="B35" s="14" t="s">
        <v>588</v>
      </c>
      <c r="C35" s="11" t="s">
        <v>589</v>
      </c>
      <c r="D35" s="11" t="s">
        <v>590</v>
      </c>
      <c r="E35" s="11" t="s">
        <v>591</v>
      </c>
      <c r="F35" s="328" t="s">
        <v>592</v>
      </c>
      <c r="G35" s="328"/>
      <c r="H35" s="328"/>
      <c r="I35" s="328"/>
      <c r="J35" s="328"/>
      <c r="K35" s="328"/>
      <c r="L35" s="328"/>
      <c r="M35" s="328"/>
      <c r="N35" s="328"/>
      <c r="O35" s="328"/>
      <c r="P35" s="5"/>
    </row>
  </sheetData>
  <mergeCells count="26">
    <mergeCell ref="F34:O34"/>
    <mergeCell ref="F35:O35"/>
    <mergeCell ref="F29:O29"/>
    <mergeCell ref="F30:O30"/>
    <mergeCell ref="F31:O31"/>
    <mergeCell ref="F32:O32"/>
    <mergeCell ref="F33:O33"/>
    <mergeCell ref="L6:M6"/>
    <mergeCell ref="B8:O8"/>
    <mergeCell ref="B26:O26"/>
    <mergeCell ref="F27:O27"/>
    <mergeCell ref="F28:O28"/>
    <mergeCell ref="B6:C6"/>
    <mergeCell ref="D6:E6"/>
    <mergeCell ref="F6:G6"/>
    <mergeCell ref="H6:I6"/>
    <mergeCell ref="J6:K6"/>
    <mergeCell ref="A1:O1"/>
    <mergeCell ref="A2:O2"/>
    <mergeCell ref="B4:N4"/>
    <mergeCell ref="B5:C5"/>
    <mergeCell ref="D5:E5"/>
    <mergeCell ref="F5:G5"/>
    <mergeCell ref="H5:I5"/>
    <mergeCell ref="J5:K5"/>
    <mergeCell ref="L5:M5"/>
  </mergeCells>
  <pageMargins left="0.75" right="0.75" top="1" bottom="1" header="0.51180555555555596" footer="0.51180555555555596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151"/>
  <sheetViews>
    <sheetView showGridLines="0" topLeftCell="A80" zoomScale="90" zoomScaleNormal="90" workbookViewId="0">
      <selection sqref="A1:AE1"/>
    </sheetView>
  </sheetViews>
  <sheetFormatPr defaultColWidth="8.6328125" defaultRowHeight="14.5" x14ac:dyDescent="0.35"/>
  <cols>
    <col min="1" max="1" width="1.54296875" customWidth="1"/>
    <col min="2" max="2" width="11" customWidth="1"/>
    <col min="3" max="3" width="9" customWidth="1"/>
    <col min="4" max="30" width="7.453125" customWidth="1"/>
    <col min="31" max="31" width="1.54296875" customWidth="1"/>
  </cols>
  <sheetData>
    <row r="1" spans="1:31" ht="33.75" customHeight="1" x14ac:dyDescent="0.35">
      <c r="A1" s="416" t="s">
        <v>593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6"/>
      <c r="R1" s="416"/>
      <c r="S1" s="416"/>
      <c r="T1" s="416"/>
      <c r="U1" s="416"/>
      <c r="V1" s="416"/>
      <c r="W1" s="416"/>
      <c r="X1" s="416"/>
      <c r="Y1" s="416"/>
      <c r="Z1" s="416"/>
      <c r="AA1" s="416"/>
      <c r="AB1" s="416"/>
      <c r="AC1" s="416"/>
      <c r="AD1" s="416"/>
      <c r="AE1" s="416"/>
    </row>
    <row r="2" spans="1:31" ht="15" customHeight="1" x14ac:dyDescent="0.35">
      <c r="A2" s="322" t="s">
        <v>594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T2" s="322"/>
      <c r="U2" s="322"/>
      <c r="V2" s="322"/>
      <c r="W2" s="322"/>
      <c r="X2" s="322"/>
      <c r="Y2" s="322"/>
      <c r="Z2" s="322"/>
      <c r="AA2" s="322"/>
      <c r="AB2" s="322"/>
      <c r="AC2" s="322"/>
      <c r="AD2" s="322"/>
      <c r="AE2" s="322"/>
    </row>
    <row r="3" spans="1:31" ht="21.75" customHeight="1" x14ac:dyDescent="0.35">
      <c r="A3" s="5"/>
      <c r="B3" s="84" t="s">
        <v>62</v>
      </c>
      <c r="C3" s="24" t="s">
        <v>595</v>
      </c>
      <c r="D3" s="374" t="s">
        <v>596</v>
      </c>
      <c r="E3" s="374"/>
      <c r="F3" s="374"/>
      <c r="G3" s="374"/>
      <c r="H3" s="374"/>
      <c r="I3" s="374"/>
      <c r="J3" s="374"/>
      <c r="K3" s="374"/>
      <c r="L3" s="374"/>
      <c r="M3" s="374"/>
      <c r="N3" s="374"/>
      <c r="O3" s="374"/>
      <c r="P3" s="374"/>
      <c r="Q3" s="374"/>
      <c r="R3" s="374"/>
      <c r="S3" s="374"/>
      <c r="T3" s="374"/>
      <c r="U3" s="374"/>
      <c r="V3" s="374"/>
      <c r="W3" s="374"/>
      <c r="X3" s="374"/>
      <c r="Y3" s="374"/>
      <c r="Z3" s="374"/>
      <c r="AA3" s="374"/>
      <c r="AB3" s="374"/>
      <c r="AC3" s="374"/>
      <c r="AD3" s="374"/>
      <c r="AE3" s="5"/>
    </row>
    <row r="4" spans="1:31" ht="6.75" customHeight="1" x14ac:dyDescent="0.35">
      <c r="A4" s="5"/>
      <c r="B4" s="83"/>
      <c r="C4" s="83"/>
      <c r="D4" s="417"/>
      <c r="E4" s="417"/>
      <c r="F4" s="417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  <c r="R4" s="417"/>
      <c r="S4" s="417"/>
      <c r="T4" s="417"/>
      <c r="U4" s="417"/>
      <c r="V4" s="417"/>
      <c r="W4" s="417"/>
      <c r="X4" s="417"/>
      <c r="Y4" s="417"/>
      <c r="Z4" s="417"/>
      <c r="AA4" s="417"/>
      <c r="AB4" s="417"/>
      <c r="AC4" s="417"/>
      <c r="AD4" s="417"/>
      <c r="AE4" s="5"/>
    </row>
    <row r="5" spans="1:31" ht="19.5" customHeight="1" x14ac:dyDescent="0.35">
      <c r="A5" s="5"/>
      <c r="B5" s="418" t="s">
        <v>597</v>
      </c>
      <c r="C5" s="419">
        <f>SUMIF('Input Data'!B:B,"L12",'Input Data'!F:F)</f>
        <v>223.7</v>
      </c>
      <c r="D5" s="420" t="str">
        <f ca="1">IFERROR(INDEX('Input Data'!D:D,MATCH("L12",'Input Data'!$C:$C,0)),"VACANT")</f>
        <v>DAKOTA CORPORATION</v>
      </c>
      <c r="E5" s="420"/>
      <c r="F5" s="420"/>
      <c r="G5" s="420"/>
      <c r="H5" s="420"/>
      <c r="I5" s="420"/>
      <c r="J5" s="420"/>
      <c r="K5" s="420"/>
      <c r="L5" s="420"/>
      <c r="M5" s="420"/>
      <c r="N5" s="420"/>
      <c r="O5" s="420"/>
      <c r="P5" s="420"/>
      <c r="Q5" s="420"/>
      <c r="R5" s="420"/>
      <c r="S5" s="420"/>
      <c r="T5" s="420"/>
      <c r="U5" s="420"/>
      <c r="V5" s="420"/>
      <c r="W5" s="420"/>
      <c r="X5" s="420"/>
      <c r="Y5" s="420"/>
      <c r="Z5" s="420"/>
      <c r="AA5" s="420"/>
      <c r="AB5" s="420"/>
      <c r="AC5" s="420"/>
      <c r="AD5" s="420"/>
      <c r="AE5" s="5"/>
    </row>
    <row r="6" spans="1:31" ht="15" customHeight="1" x14ac:dyDescent="0.35">
      <c r="A6" s="5"/>
      <c r="B6" s="418"/>
      <c r="C6" s="418"/>
      <c r="D6" s="421" t="str">
        <f>"Suite "&amp;"L12"</f>
        <v>Suite L12</v>
      </c>
      <c r="E6" s="421"/>
      <c r="F6" s="421"/>
      <c r="G6" s="421"/>
      <c r="H6" s="421"/>
      <c r="I6" s="421"/>
      <c r="J6" s="421"/>
      <c r="K6" s="421"/>
      <c r="L6" s="421"/>
      <c r="M6" s="421"/>
      <c r="N6" s="421"/>
      <c r="O6" s="421"/>
      <c r="P6" s="421"/>
      <c r="Q6" s="421"/>
      <c r="R6" s="421"/>
      <c r="S6" s="421"/>
      <c r="T6" s="421"/>
      <c r="U6" s="421"/>
      <c r="V6" s="421"/>
      <c r="W6" s="421"/>
      <c r="X6" s="421"/>
      <c r="Y6" s="421"/>
      <c r="Z6" s="421"/>
      <c r="AA6" s="421"/>
      <c r="AB6" s="421"/>
      <c r="AC6" s="421"/>
      <c r="AD6" s="421"/>
      <c r="AE6" s="5"/>
    </row>
    <row r="7" spans="1:31" ht="15" customHeight="1" x14ac:dyDescent="0.35">
      <c r="A7" s="5"/>
      <c r="B7" s="418"/>
      <c r="C7" s="418"/>
      <c r="D7" s="422" t="str">
        <f>IFERROR(TEXT(INDEX('Input Data'!F:F,MATCH("L12",'Input Data'!$C:$C,0)),"#,##0.0")&amp;" sqm"&amp;IF(INDEX('Input Data'!O:O,MATCH("L12",'Input Data'!$C:$C,0))&gt;0,"  |  "&amp;TEXT(INDEX('Input Data'!O:O,MATCH("L12",'Input Data'!$C:$C,0)),"0")&amp;" car parks",""),"")</f>
        <v>223.7 sqm  |  2 car parks</v>
      </c>
      <c r="E7" s="422"/>
      <c r="F7" s="422"/>
      <c r="G7" s="422"/>
      <c r="H7" s="422"/>
      <c r="I7" s="422"/>
      <c r="J7" s="422"/>
      <c r="K7" s="422"/>
      <c r="L7" s="422"/>
      <c r="M7" s="422"/>
      <c r="N7" s="422"/>
      <c r="O7" s="422"/>
      <c r="P7" s="422"/>
      <c r="Q7" s="422"/>
      <c r="R7" s="422"/>
      <c r="S7" s="422"/>
      <c r="T7" s="422"/>
      <c r="U7" s="422"/>
      <c r="V7" s="422"/>
      <c r="W7" s="422"/>
      <c r="X7" s="422"/>
      <c r="Y7" s="422"/>
      <c r="Z7" s="422"/>
      <c r="AA7" s="422"/>
      <c r="AB7" s="422"/>
      <c r="AC7" s="422"/>
      <c r="AD7" s="422"/>
      <c r="AE7" s="5"/>
    </row>
    <row r="8" spans="1:31" ht="15" customHeight="1" x14ac:dyDescent="0.35">
      <c r="A8" s="5"/>
      <c r="B8" s="418"/>
      <c r="C8" s="418"/>
      <c r="D8" s="421" t="str">
        <f>IFERROR("Face PSM: $"&amp;TEXT(INDEX('Input Data'!J:J,MATCH("L12",'Input Data'!$C:$C,0)),"#,##0")&amp;"  |  Incent: "&amp;IF(INDEX('Input Data'!L:L,MATCH("L12",'Input Data'!$C:$C,0))&lt;0,"$"&amp;TEXT(-INDEX('Input Data'!L:L,MATCH("L12",'Input Data'!$C:$C,0))/INDEX('Input Data'!F:F,MATCH("L12",'Input Data'!$C:$C,0)),"#,##0.00"),"nil"),"—")</f>
        <v>Face PSM: $0  |  Incent: nil</v>
      </c>
      <c r="E8" s="421"/>
      <c r="F8" s="421"/>
      <c r="G8" s="421"/>
      <c r="H8" s="421"/>
      <c r="I8" s="421"/>
      <c r="J8" s="421"/>
      <c r="K8" s="421"/>
      <c r="L8" s="421"/>
      <c r="M8" s="421"/>
      <c r="N8" s="421"/>
      <c r="O8" s="421"/>
      <c r="P8" s="421"/>
      <c r="Q8" s="421"/>
      <c r="R8" s="421"/>
      <c r="S8" s="421"/>
      <c r="T8" s="421"/>
      <c r="U8" s="421"/>
      <c r="V8" s="421"/>
      <c r="W8" s="421"/>
      <c r="X8" s="421"/>
      <c r="Y8" s="421"/>
      <c r="Z8" s="421"/>
      <c r="AA8" s="421"/>
      <c r="AB8" s="421"/>
      <c r="AC8" s="421"/>
      <c r="AD8" s="421"/>
      <c r="AE8" s="5"/>
    </row>
    <row r="9" spans="1:31" ht="15" customHeight="1" x14ac:dyDescent="0.35">
      <c r="A9" s="5"/>
      <c r="B9" s="418"/>
      <c r="C9" s="418"/>
      <c r="D9" s="422" t="str">
        <f ca="1">IFERROR("Outgoings: $"&amp;TEXT(INDEX('Input Data'!M:M,MATCH("L12",'Input Data'!$C:$C,0))/INDEX('Input Data'!F:F,MATCH("L12",'Input Data'!$C:$C,0)),"#,##0.00")&amp;" psm  |  Net: $"&amp;TEXT(INDEX('Input Data'!N:N,MATCH("L12",'Input Data'!$C:$C,0)),"#,##0")&amp;" pa","—")</f>
        <v>Outgoings: $0.00 psm  |  Net: $0 pa</v>
      </c>
      <c r="E9" s="422"/>
      <c r="F9" s="422"/>
      <c r="G9" s="422"/>
      <c r="H9" s="422"/>
      <c r="I9" s="422"/>
      <c r="J9" s="422"/>
      <c r="K9" s="422"/>
      <c r="L9" s="422"/>
      <c r="M9" s="422"/>
      <c r="N9" s="422"/>
      <c r="O9" s="422"/>
      <c r="P9" s="422"/>
      <c r="Q9" s="422"/>
      <c r="R9" s="422"/>
      <c r="S9" s="422"/>
      <c r="T9" s="422"/>
      <c r="U9" s="422"/>
      <c r="V9" s="422"/>
      <c r="W9" s="422"/>
      <c r="X9" s="422"/>
      <c r="Y9" s="422"/>
      <c r="Z9" s="422"/>
      <c r="AA9" s="422"/>
      <c r="AB9" s="422"/>
      <c r="AC9" s="422"/>
      <c r="AD9" s="422"/>
      <c r="AE9" s="5"/>
    </row>
    <row r="10" spans="1:31" ht="15" customHeight="1" x14ac:dyDescent="0.35">
      <c r="A10" s="5"/>
      <c r="B10" s="418"/>
      <c r="C10" s="418"/>
      <c r="D10" s="421" t="str">
        <f ca="1">IFERROR("Start: "&amp;TEXT(INDEX('Input Data'!G:G,MATCH("L12",'Input Data'!$C:$C,0)),"DD/MM/YY")&amp;"  →  Expiry: "&amp;TEXT(INDEX('Input Data'!H:H,MATCH("L12",'Input Data'!$C:$C,0)),"DD/MM/YY"),"—")</f>
        <v>Start: 01/01/17  →  Expiry: 31/12/28</v>
      </c>
      <c r="E10" s="421"/>
      <c r="F10" s="421"/>
      <c r="G10" s="421"/>
      <c r="H10" s="421"/>
      <c r="I10" s="421"/>
      <c r="J10" s="421"/>
      <c r="K10" s="421"/>
      <c r="L10" s="421"/>
      <c r="M10" s="421"/>
      <c r="N10" s="421"/>
      <c r="O10" s="421"/>
      <c r="P10" s="421"/>
      <c r="Q10" s="421"/>
      <c r="R10" s="421"/>
      <c r="S10" s="421"/>
      <c r="T10" s="421"/>
      <c r="U10" s="421"/>
      <c r="V10" s="421"/>
      <c r="W10" s="421"/>
      <c r="X10" s="421"/>
      <c r="Y10" s="421"/>
      <c r="Z10" s="421"/>
      <c r="AA10" s="421"/>
      <c r="AB10" s="421"/>
      <c r="AC10" s="421"/>
      <c r="AD10" s="421"/>
      <c r="AE10" s="5"/>
    </row>
    <row r="11" spans="1:31" ht="15" customHeight="1" x14ac:dyDescent="0.35">
      <c r="A11" s="5"/>
      <c r="B11" s="418"/>
      <c r="C11" s="418"/>
      <c r="D11" s="422" t="str">
        <f ca="1">IFERROR(IF((INDEX('Input Data'!H:H,MATCH("L12",'Input Data'!$C:$C,0))-TODAY())&gt;0,TEXT((INDEX('Input Data'!H:H,MATCH("L12",'Input Data'!$C:$C,0))-TODAY())/365.25,"0.0")&amp;" yrs remaining","⚠ EXPIRED"),"—")</f>
        <v>2.2 yrs remaining</v>
      </c>
      <c r="E11" s="422"/>
      <c r="F11" s="422"/>
      <c r="G11" s="422"/>
      <c r="H11" s="422"/>
      <c r="I11" s="422"/>
      <c r="J11" s="422"/>
      <c r="K11" s="422"/>
      <c r="L11" s="422"/>
      <c r="M11" s="422"/>
      <c r="N11" s="422"/>
      <c r="O11" s="422"/>
      <c r="P11" s="422"/>
      <c r="Q11" s="422"/>
      <c r="R11" s="422"/>
      <c r="S11" s="422"/>
      <c r="T11" s="422"/>
      <c r="U11" s="422"/>
      <c r="V11" s="422"/>
      <c r="W11" s="422"/>
      <c r="X11" s="422"/>
      <c r="Y11" s="422"/>
      <c r="Z11" s="422"/>
      <c r="AA11" s="422"/>
      <c r="AB11" s="422"/>
      <c r="AC11" s="422"/>
      <c r="AD11" s="422"/>
      <c r="AE11" s="5"/>
    </row>
    <row r="12" spans="1:31" ht="15" customHeight="1" x14ac:dyDescent="0.35">
      <c r="A12" s="5"/>
      <c r="B12" s="418"/>
      <c r="C12" s="418"/>
      <c r="D12" s="421" t="str">
        <f>""</f>
        <v/>
      </c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1"/>
      <c r="Q12" s="421"/>
      <c r="R12" s="421"/>
      <c r="S12" s="421"/>
      <c r="T12" s="421"/>
      <c r="U12" s="421"/>
      <c r="V12" s="421"/>
      <c r="W12" s="421"/>
      <c r="X12" s="421"/>
      <c r="Y12" s="421"/>
      <c r="Z12" s="421"/>
      <c r="AA12" s="421"/>
      <c r="AB12" s="421"/>
      <c r="AC12" s="421"/>
      <c r="AD12" s="421"/>
      <c r="AE12" s="5"/>
    </row>
    <row r="13" spans="1:31" ht="3.75" customHeight="1" x14ac:dyDescent="0.35">
      <c r="A13" s="5"/>
      <c r="B13" s="418"/>
      <c r="C13" s="418"/>
      <c r="D13" s="423" t="str">
        <f>""</f>
        <v/>
      </c>
      <c r="E13" s="423"/>
      <c r="F13" s="423"/>
      <c r="G13" s="423"/>
      <c r="H13" s="423"/>
      <c r="I13" s="423"/>
      <c r="J13" s="423"/>
      <c r="K13" s="423"/>
      <c r="L13" s="423"/>
      <c r="M13" s="423"/>
      <c r="N13" s="423"/>
      <c r="O13" s="423"/>
      <c r="P13" s="423"/>
      <c r="Q13" s="423"/>
      <c r="R13" s="423"/>
      <c r="S13" s="423"/>
      <c r="T13" s="423"/>
      <c r="U13" s="423"/>
      <c r="V13" s="423"/>
      <c r="W13" s="423"/>
      <c r="X13" s="423"/>
      <c r="Y13" s="423"/>
      <c r="Z13" s="423"/>
      <c r="AA13" s="423"/>
      <c r="AB13" s="423"/>
      <c r="AC13" s="423"/>
      <c r="AD13" s="423"/>
      <c r="AE13" s="5"/>
    </row>
    <row r="14" spans="1:31" ht="15" customHeight="1" x14ac:dyDescent="0.35">
      <c r="A14" s="5"/>
      <c r="B14" s="1"/>
      <c r="C14" s="1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ht="19.5" customHeight="1" x14ac:dyDescent="0.35">
      <c r="A15" s="5"/>
      <c r="B15" s="418" t="s">
        <v>598</v>
      </c>
      <c r="C15" s="419">
        <f>SUMIF('Input Data'!B:B,"L11",'Input Data'!F:F)</f>
        <v>355.8</v>
      </c>
      <c r="D15" s="427" t="str">
        <f ca="1">IFERROR(INDEX('Input Data'!D:D,MATCH("1101",'Input Data'!$C:$C,0)),"VACANT")</f>
        <v>MICHAEL FLEGG PTY LTD</v>
      </c>
      <c r="E15" s="427"/>
      <c r="F15" s="427"/>
      <c r="G15" s="427"/>
      <c r="H15" s="427"/>
      <c r="I15" s="427"/>
      <c r="J15" s="427" t="str">
        <f ca="1">IFERROR(INDEX('Input Data'!D:D,MATCH("1102",'Input Data'!$C:$C,0)),"VACANT")</f>
        <v>LEWIS WOOLCOTT</v>
      </c>
      <c r="K15" s="427"/>
      <c r="L15" s="427"/>
      <c r="M15" s="427"/>
      <c r="N15" s="427"/>
      <c r="O15" s="427"/>
      <c r="P15" s="427"/>
      <c r="Q15" s="427"/>
      <c r="R15" s="427"/>
      <c r="S15" s="427"/>
      <c r="T15" s="428" t="str">
        <f ca="1">IFERROR(INDEX('Input Data'!D:D,MATCH("1103",'Input Data'!$C:$C,0)),"VACANT")</f>
        <v>INTERFI SYSTEMS PTY LTD</v>
      </c>
      <c r="U15" s="428"/>
      <c r="V15" s="428"/>
      <c r="W15" s="428"/>
      <c r="X15" s="428"/>
      <c r="Y15" s="428"/>
      <c r="Z15" s="428"/>
      <c r="AA15" s="428"/>
      <c r="AB15" s="428"/>
      <c r="AC15" s="428"/>
      <c r="AD15" s="428"/>
      <c r="AE15" s="5"/>
    </row>
    <row r="16" spans="1:31" ht="15" customHeight="1" x14ac:dyDescent="0.35">
      <c r="A16" s="5"/>
      <c r="B16" s="418"/>
      <c r="C16" s="418"/>
      <c r="D16" s="413" t="str">
        <f>"Suite "&amp;"1101"</f>
        <v>Suite 1101</v>
      </c>
      <c r="E16" s="413"/>
      <c r="F16" s="413"/>
      <c r="G16" s="413"/>
      <c r="H16" s="413"/>
      <c r="I16" s="413"/>
      <c r="J16" s="413" t="str">
        <f>"Suite "&amp;"1102"</f>
        <v>Suite 1102</v>
      </c>
      <c r="K16" s="413"/>
      <c r="L16" s="413"/>
      <c r="M16" s="413"/>
      <c r="N16" s="413"/>
      <c r="O16" s="413"/>
      <c r="P16" s="413"/>
      <c r="Q16" s="413"/>
      <c r="R16" s="413"/>
      <c r="S16" s="413"/>
      <c r="T16" s="415" t="str">
        <f>"Suite "&amp;"1103"</f>
        <v>Suite 1103</v>
      </c>
      <c r="U16" s="415"/>
      <c r="V16" s="415"/>
      <c r="W16" s="415"/>
      <c r="X16" s="415"/>
      <c r="Y16" s="415"/>
      <c r="Z16" s="415"/>
      <c r="AA16" s="415"/>
      <c r="AB16" s="415"/>
      <c r="AC16" s="415"/>
      <c r="AD16" s="415"/>
      <c r="AE16" s="5"/>
    </row>
    <row r="17" spans="1:31" ht="15" customHeight="1" x14ac:dyDescent="0.35">
      <c r="A17" s="5"/>
      <c r="B17" s="418"/>
      <c r="C17" s="418"/>
      <c r="D17" s="413" t="str">
        <f>IFERROR(TEXT(INDEX('Input Data'!F:F,MATCH("1101",'Input Data'!$C:$C,0)),"#,##0.0")&amp;" sqm"&amp;IF(INDEX('Input Data'!O:O,MATCH("1101",'Input Data'!$C:$C,0))&gt;0,"  |  "&amp;TEXT(INDEX('Input Data'!O:O,MATCH("1101",'Input Data'!$C:$C,0)),"0")&amp;" car parks",""),"")</f>
        <v>62.4 sqm</v>
      </c>
      <c r="E17" s="413"/>
      <c r="F17" s="413"/>
      <c r="G17" s="413"/>
      <c r="H17" s="413"/>
      <c r="I17" s="413"/>
      <c r="J17" s="413" t="str">
        <f>IFERROR(TEXT(INDEX('Input Data'!F:F,MATCH("1102",'Input Data'!$C:$C,0)),"#,##0.0")&amp;" sqm"&amp;IF(INDEX('Input Data'!O:O,MATCH("1102",'Input Data'!$C:$C,0))&gt;0,"  |  "&amp;TEXT(INDEX('Input Data'!O:O,MATCH("1102",'Input Data'!$C:$C,0)),"0")&amp;" car parks",""),"")</f>
        <v>133.1 sqm</v>
      </c>
      <c r="K17" s="413"/>
      <c r="L17" s="413"/>
      <c r="M17" s="413"/>
      <c r="N17" s="413"/>
      <c r="O17" s="413"/>
      <c r="P17" s="413"/>
      <c r="Q17" s="413"/>
      <c r="R17" s="413"/>
      <c r="S17" s="413"/>
      <c r="T17" s="415" t="str">
        <f>IFERROR(TEXT(INDEX('Input Data'!F:F,MATCH("1103",'Input Data'!$C:$C,0)),"#,##0.0")&amp;" sqm"&amp;IF(INDEX('Input Data'!O:O,MATCH("1103",'Input Data'!$C:$C,0))&gt;0,"  |  "&amp;TEXT(INDEX('Input Data'!O:O,MATCH("1103",'Input Data'!$C:$C,0)),"0")&amp;" car parks",""),"")</f>
        <v>160.3 sqm</v>
      </c>
      <c r="U17" s="415"/>
      <c r="V17" s="415"/>
      <c r="W17" s="415"/>
      <c r="X17" s="415"/>
      <c r="Y17" s="415"/>
      <c r="Z17" s="415"/>
      <c r="AA17" s="415"/>
      <c r="AB17" s="415"/>
      <c r="AC17" s="415"/>
      <c r="AD17" s="415"/>
      <c r="AE17" s="5"/>
    </row>
    <row r="18" spans="1:31" ht="15" customHeight="1" x14ac:dyDescent="0.35">
      <c r="A18" s="5"/>
      <c r="B18" s="418"/>
      <c r="C18" s="418"/>
      <c r="D18" s="413" t="str">
        <f ca="1">IFERROR("Face PSM: $"&amp;TEXT(INDEX('Input Data'!J:J,MATCH("1101",'Input Data'!$C:$C,0)),"#,##0")&amp;"  |  Incent: "&amp;IF(INDEX('Input Data'!L:L,MATCH("1101",'Input Data'!$C:$C,0))&lt;0,"$"&amp;TEXT(-INDEX('Input Data'!L:L,MATCH("1101",'Input Data'!$C:$C,0))/INDEX('Input Data'!F:F,MATCH("1101",'Input Data'!$C:$C,0)),"#,##0.00"),"nil"),"—")</f>
        <v>Face PSM: $1,369  |  Incent: nil</v>
      </c>
      <c r="E18" s="413"/>
      <c r="F18" s="413"/>
      <c r="G18" s="413"/>
      <c r="H18" s="413"/>
      <c r="I18" s="413"/>
      <c r="J18" s="413" t="str">
        <f ca="1">IFERROR("Face PSM: $"&amp;TEXT(INDEX('Input Data'!J:J,MATCH("1102",'Input Data'!$C:$C,0)),"#,##0")&amp;"  |  Incent: "&amp;IF(INDEX('Input Data'!L:L,MATCH("1102",'Input Data'!$C:$C,0))&lt;0,"$"&amp;TEXT(-INDEX('Input Data'!L:L,MATCH("1102",'Input Data'!$C:$C,0))/INDEX('Input Data'!F:F,MATCH("1102",'Input Data'!$C:$C,0)),"#,##0.00"),"nil"),"—")</f>
        <v>Face PSM: $1,271  |  Incent: $228.80</v>
      </c>
      <c r="K18" s="413"/>
      <c r="L18" s="413"/>
      <c r="M18" s="413"/>
      <c r="N18" s="413"/>
      <c r="O18" s="413"/>
      <c r="P18" s="413"/>
      <c r="Q18" s="413"/>
      <c r="R18" s="413"/>
      <c r="S18" s="413"/>
      <c r="T18" s="415" t="str">
        <f ca="1">IFERROR("Face PSM: $"&amp;TEXT(INDEX('Input Data'!J:J,MATCH("1103",'Input Data'!$C:$C,0)),"#,##0")&amp;"  |  Incent: "&amp;IF(INDEX('Input Data'!L:L,MATCH("1103",'Input Data'!$C:$C,0))&lt;0,"$"&amp;TEXT(-INDEX('Input Data'!L:L,MATCH("1103",'Input Data'!$C:$C,0))/INDEX('Input Data'!F:F,MATCH("1103",'Input Data'!$C:$C,0)),"#,##0.00"),"nil"),"—")</f>
        <v>Face PSM: $1,150  |  Incent: $345.00</v>
      </c>
      <c r="U18" s="415"/>
      <c r="V18" s="415"/>
      <c r="W18" s="415"/>
      <c r="X18" s="415"/>
      <c r="Y18" s="415"/>
      <c r="Z18" s="415"/>
      <c r="AA18" s="415"/>
      <c r="AB18" s="415"/>
      <c r="AC18" s="415"/>
      <c r="AD18" s="415"/>
      <c r="AE18" s="5"/>
    </row>
    <row r="19" spans="1:31" ht="15" customHeight="1" x14ac:dyDescent="0.35">
      <c r="A19" s="5"/>
      <c r="B19" s="418"/>
      <c r="C19" s="418"/>
      <c r="D19" s="413" t="str">
        <f ca="1">IFERROR("Outgoings: $"&amp;TEXT(INDEX('Input Data'!M:M,MATCH("1101",'Input Data'!$C:$C,0))/INDEX('Input Data'!F:F,MATCH("1101",'Input Data'!$C:$C,0)),"#,##0.00")&amp;" psm  |  Net: $"&amp;TEXT(INDEX('Input Data'!N:N,MATCH("1101",'Input Data'!$C:$C,0)),"#,##0")&amp;" pa","—")</f>
        <v>Outgoings: $67.31 psm  |  Net: $85,409 pa</v>
      </c>
      <c r="E19" s="413"/>
      <c r="F19" s="413"/>
      <c r="G19" s="413"/>
      <c r="H19" s="413"/>
      <c r="I19" s="413"/>
      <c r="J19" s="413" t="str">
        <f ca="1">IFERROR("Outgoings: $"&amp;TEXT(INDEX('Input Data'!M:M,MATCH("1102",'Input Data'!$C:$C,0))/INDEX('Input Data'!F:F,MATCH("1102",'Input Data'!$C:$C,0)),"#,##0.00")&amp;" psm  |  Net: $"&amp;TEXT(INDEX('Input Data'!N:N,MATCH("1102",'Input Data'!$C:$C,0)),"#,##0")&amp;" pa","—")</f>
        <v>Outgoings: $43.73 psm  |  Net: $138,730 pa</v>
      </c>
      <c r="K19" s="413"/>
      <c r="L19" s="413"/>
      <c r="M19" s="413"/>
      <c r="N19" s="413"/>
      <c r="O19" s="413"/>
      <c r="P19" s="413"/>
      <c r="Q19" s="413"/>
      <c r="R19" s="413"/>
      <c r="S19" s="413"/>
      <c r="T19" s="415" t="str">
        <f ca="1">IFERROR("Outgoings: $"&amp;TEXT(INDEX('Input Data'!M:M,MATCH("1103",'Input Data'!$C:$C,0))/INDEX('Input Data'!F:F,MATCH("1103",'Input Data'!$C:$C,0)),"#,##0.00")&amp;" psm  |  Net: $"&amp;TEXT(INDEX('Input Data'!N:N,MATCH("1103",'Input Data'!$C:$C,0)),"#,##0")&amp;" pa","—")</f>
        <v>Outgoings: $0.00 psm  |  Net: $129,042 pa</v>
      </c>
      <c r="U19" s="415"/>
      <c r="V19" s="415"/>
      <c r="W19" s="415"/>
      <c r="X19" s="415"/>
      <c r="Y19" s="415"/>
      <c r="Z19" s="415"/>
      <c r="AA19" s="415"/>
      <c r="AB19" s="415"/>
      <c r="AC19" s="415"/>
      <c r="AD19" s="415"/>
      <c r="AE19" s="5"/>
    </row>
    <row r="20" spans="1:31" ht="15" customHeight="1" x14ac:dyDescent="0.35">
      <c r="A20" s="5"/>
      <c r="B20" s="418"/>
      <c r="C20" s="418"/>
      <c r="D20" s="413" t="str">
        <f ca="1">IFERROR("Start: "&amp;TEXT(INDEX('Input Data'!G:G,MATCH("1101",'Input Data'!$C:$C,0)),"DD/MM/YY")&amp;"  →  Expiry: "&amp;TEXT(INDEX('Input Data'!H:H,MATCH("1101",'Input Data'!$C:$C,0)),"DD/MM/YY"),"—")</f>
        <v>Start: 01/12/21  →  Expiry: 30/11/26</v>
      </c>
      <c r="E20" s="413"/>
      <c r="F20" s="413"/>
      <c r="G20" s="413"/>
      <c r="H20" s="413"/>
      <c r="I20" s="413"/>
      <c r="J20" s="413" t="str">
        <f ca="1">IFERROR("Start: "&amp;TEXT(INDEX('Input Data'!G:G,MATCH("1102",'Input Data'!$C:$C,0)),"DD/MM/YY")&amp;"  →  Expiry: "&amp;TEXT(INDEX('Input Data'!H:H,MATCH("1102",'Input Data'!$C:$C,0)),"DD/MM/YY"),"—")</f>
        <v>Start: 15/08/26  →  Expiry: 14/08/28</v>
      </c>
      <c r="K20" s="413"/>
      <c r="L20" s="413"/>
      <c r="M20" s="413"/>
      <c r="N20" s="413"/>
      <c r="O20" s="413"/>
      <c r="P20" s="413"/>
      <c r="Q20" s="413"/>
      <c r="R20" s="413"/>
      <c r="S20" s="413"/>
      <c r="T20" s="414" t="str">
        <f ca="1">IFERROR("Start: "&amp;TEXT(INDEX('Input Data'!G:G,MATCH("1103",'Input Data'!$C:$C,0)),"DD/MM/YY")&amp;"  →  Expiry: "&amp;TEXT(INDEX('Input Data'!H:H,MATCH("1103",'Input Data'!$C:$C,0)),"DD/MM/YY"),"—")</f>
        <v>Start: 15/07/26  →  Expiry: 14/07/29</v>
      </c>
      <c r="U20" s="414"/>
      <c r="V20" s="414"/>
      <c r="W20" s="414"/>
      <c r="X20" s="414"/>
      <c r="Y20" s="414"/>
      <c r="Z20" s="414"/>
      <c r="AA20" s="414"/>
      <c r="AB20" s="414"/>
      <c r="AC20" s="414"/>
      <c r="AD20" s="414"/>
      <c r="AE20" s="5"/>
    </row>
    <row r="21" spans="1:31" ht="15" customHeight="1" x14ac:dyDescent="0.35">
      <c r="A21" s="5"/>
      <c r="B21" s="418"/>
      <c r="C21" s="418"/>
      <c r="D21" s="413" t="str">
        <f ca="1">IFERROR(IF((INDEX('Input Data'!H:H,MATCH("1101",'Input Data'!$C:$C,0))-TODAY())&gt;0,TEXT((INDEX('Input Data'!H:H,MATCH("1101",'Input Data'!$C:$C,0))-TODAY())/365.25,"0.0")&amp;" yrs remaining","⚠ EXPIRED"),"—")</f>
        <v>0.1 yrs remaining</v>
      </c>
      <c r="E21" s="413"/>
      <c r="F21" s="413"/>
      <c r="G21" s="413"/>
      <c r="H21" s="413"/>
      <c r="I21" s="413"/>
      <c r="J21" s="413" t="str">
        <f ca="1">IFERROR(IF((INDEX('Input Data'!H:H,MATCH("1102",'Input Data'!$C:$C,0))-TODAY())&gt;0,TEXT((INDEX('Input Data'!H:H,MATCH("1102",'Input Data'!$C:$C,0))-TODAY())/365.25,"0.0")&amp;" yrs remaining","⚠ EXPIRED"),"—")</f>
        <v>1.8 yrs remaining</v>
      </c>
      <c r="K21" s="413"/>
      <c r="L21" s="413"/>
      <c r="M21" s="413"/>
      <c r="N21" s="413"/>
      <c r="O21" s="413"/>
      <c r="P21" s="413"/>
      <c r="Q21" s="413"/>
      <c r="R21" s="413"/>
      <c r="S21" s="413"/>
      <c r="T21" s="415" t="str">
        <f ca="1">IFERROR(IF((INDEX('Input Data'!H:H,MATCH("1103",'Input Data'!$C:$C,0))-TODAY())&gt;0,TEXT((INDEX('Input Data'!H:H,MATCH("1103",'Input Data'!$C:$C,0))-TODAY())/365.25,"0.0")&amp;" yrs remaining","⚠ EXPIRED"),"—")</f>
        <v>2.7 yrs remaining</v>
      </c>
      <c r="U21" s="415"/>
      <c r="V21" s="415"/>
      <c r="W21" s="415"/>
      <c r="X21" s="415"/>
      <c r="Y21" s="415"/>
      <c r="Z21" s="415"/>
      <c r="AA21" s="415"/>
      <c r="AB21" s="415"/>
      <c r="AC21" s="415"/>
      <c r="AD21" s="415"/>
      <c r="AE21" s="5"/>
    </row>
    <row r="22" spans="1:31" ht="15" customHeight="1" x14ac:dyDescent="0.35">
      <c r="A22" s="5"/>
      <c r="B22" s="418"/>
      <c r="C22" s="418"/>
      <c r="D22" s="413" t="str">
        <f>""</f>
        <v/>
      </c>
      <c r="E22" s="413"/>
      <c r="F22" s="413"/>
      <c r="G22" s="413"/>
      <c r="H22" s="413"/>
      <c r="I22" s="413"/>
      <c r="J22" s="413" t="str">
        <f>""</f>
        <v/>
      </c>
      <c r="K22" s="413"/>
      <c r="L22" s="413"/>
      <c r="M22" s="413"/>
      <c r="N22" s="413"/>
      <c r="O22" s="413"/>
      <c r="P22" s="413"/>
      <c r="Q22" s="413"/>
      <c r="R22" s="413"/>
      <c r="S22" s="413"/>
      <c r="T22" s="415" t="str">
        <f>""</f>
        <v/>
      </c>
      <c r="U22" s="415"/>
      <c r="V22" s="415"/>
      <c r="W22" s="415"/>
      <c r="X22" s="415"/>
      <c r="Y22" s="415"/>
      <c r="Z22" s="415"/>
      <c r="AA22" s="415"/>
      <c r="AB22" s="415"/>
      <c r="AC22" s="415"/>
      <c r="AD22" s="415"/>
      <c r="AE22" s="5"/>
    </row>
    <row r="23" spans="1:31" ht="3.75" customHeight="1" x14ac:dyDescent="0.35">
      <c r="A23" s="5"/>
      <c r="B23" s="418"/>
      <c r="C23" s="418"/>
      <c r="D23" s="424" t="str">
        <f>""</f>
        <v/>
      </c>
      <c r="E23" s="424"/>
      <c r="F23" s="424"/>
      <c r="G23" s="424"/>
      <c r="H23" s="424"/>
      <c r="I23" s="424"/>
      <c r="J23" s="424" t="str">
        <f>""</f>
        <v/>
      </c>
      <c r="K23" s="424"/>
      <c r="L23" s="424"/>
      <c r="M23" s="424"/>
      <c r="N23" s="424"/>
      <c r="O23" s="424"/>
      <c r="P23" s="424"/>
      <c r="Q23" s="424"/>
      <c r="R23" s="424"/>
      <c r="S23" s="424"/>
      <c r="T23" s="423" t="str">
        <f>""</f>
        <v/>
      </c>
      <c r="U23" s="423"/>
      <c r="V23" s="423"/>
      <c r="W23" s="423"/>
      <c r="X23" s="423"/>
      <c r="Y23" s="423"/>
      <c r="Z23" s="423"/>
      <c r="AA23" s="423"/>
      <c r="AB23" s="423"/>
      <c r="AC23" s="423"/>
      <c r="AD23" s="423"/>
      <c r="AE23" s="5"/>
    </row>
    <row r="24" spans="1:31" ht="15" customHeight="1" x14ac:dyDescent="0.35">
      <c r="A24" s="5"/>
      <c r="B24" s="1"/>
      <c r="C24" s="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ht="19.5" customHeight="1" x14ac:dyDescent="0.35">
      <c r="A25" s="5"/>
      <c r="B25" s="418" t="s">
        <v>599</v>
      </c>
      <c r="C25" s="419">
        <f>SUMIF('Input Data'!B:B,"L10",'Input Data'!F:F)</f>
        <v>363.2</v>
      </c>
      <c r="D25" s="425" t="str">
        <f ca="1">IFERROR(INDEX('Input Data'!D:D,MATCH("1001&amp;2",'Input Data'!$C:$C,0)),"VACANT")</f>
        <v>CONNECTUS SERVICES PTY LTD</v>
      </c>
      <c r="E25" s="425"/>
      <c r="F25" s="425"/>
      <c r="G25" s="425"/>
      <c r="H25" s="425"/>
      <c r="I25" s="425"/>
      <c r="J25" s="425"/>
      <c r="K25" s="425"/>
      <c r="L25" s="425"/>
      <c r="M25" s="425"/>
      <c r="N25" s="425"/>
      <c r="O25" s="425"/>
      <c r="P25" s="425"/>
      <c r="Q25" s="425"/>
      <c r="R25" s="425"/>
      <c r="S25" s="425"/>
      <c r="T25" s="425"/>
      <c r="U25" s="425"/>
      <c r="V25" s="425"/>
      <c r="W25" s="425"/>
      <c r="X25" s="425"/>
      <c r="Y25" s="425"/>
      <c r="Z25" s="425"/>
      <c r="AA25" s="425"/>
      <c r="AB25" s="425"/>
      <c r="AC25" s="425"/>
      <c r="AD25" s="425"/>
      <c r="AE25" s="5"/>
    </row>
    <row r="26" spans="1:31" ht="15" customHeight="1" x14ac:dyDescent="0.35">
      <c r="A26" s="5"/>
      <c r="B26" s="418"/>
      <c r="C26" s="418"/>
      <c r="D26" s="426" t="str">
        <f>"Suite "&amp;"1001&amp;2"</f>
        <v>Suite 1001&amp;2</v>
      </c>
      <c r="E26" s="426"/>
      <c r="F26" s="426"/>
      <c r="G26" s="426"/>
      <c r="H26" s="426"/>
      <c r="I26" s="426"/>
      <c r="J26" s="426"/>
      <c r="K26" s="426"/>
      <c r="L26" s="426"/>
      <c r="M26" s="426"/>
      <c r="N26" s="426"/>
      <c r="O26" s="426"/>
      <c r="P26" s="426"/>
      <c r="Q26" s="426"/>
      <c r="R26" s="426"/>
      <c r="S26" s="426"/>
      <c r="T26" s="426"/>
      <c r="U26" s="426"/>
      <c r="V26" s="426"/>
      <c r="W26" s="426"/>
      <c r="X26" s="426"/>
      <c r="Y26" s="426"/>
      <c r="Z26" s="426"/>
      <c r="AA26" s="426"/>
      <c r="AB26" s="426"/>
      <c r="AC26" s="426"/>
      <c r="AD26" s="426"/>
      <c r="AE26" s="5"/>
    </row>
    <row r="27" spans="1:31" ht="15" customHeight="1" x14ac:dyDescent="0.35">
      <c r="A27" s="5"/>
      <c r="B27" s="418"/>
      <c r="C27" s="418"/>
      <c r="D27" s="426" t="str">
        <f>IFERROR(TEXT(INDEX('Input Data'!F:F,MATCH("1001&amp;2",'Input Data'!$C:$C,0)),"#,##0.0")&amp;" sqm"&amp;IF(INDEX('Input Data'!O:O,MATCH("1001&amp;2",'Input Data'!$C:$C,0))&gt;0,"  |  "&amp;TEXT(INDEX('Input Data'!O:O,MATCH("1001&amp;2",'Input Data'!$C:$C,0)),"0")&amp;" car parks",""),"")</f>
        <v>363.2 sqm</v>
      </c>
      <c r="E27" s="426"/>
      <c r="F27" s="426"/>
      <c r="G27" s="426"/>
      <c r="H27" s="426"/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Y27" s="426"/>
      <c r="Z27" s="426"/>
      <c r="AA27" s="426"/>
      <c r="AB27" s="426"/>
      <c r="AC27" s="426"/>
      <c r="AD27" s="426"/>
      <c r="AE27" s="5"/>
    </row>
    <row r="28" spans="1:31" ht="15" customHeight="1" x14ac:dyDescent="0.35">
      <c r="A28" s="5"/>
      <c r="B28" s="418"/>
      <c r="C28" s="418"/>
      <c r="D28" s="426" t="str">
        <f ca="1">IFERROR("Face PSM: $"&amp;TEXT(INDEX('Input Data'!J:J,MATCH("1001&amp;2",'Input Data'!$C:$C,0)),"#,##0")&amp;"  |  Incent: "&amp;IF(INDEX('Input Data'!L:L,MATCH("1001&amp;2",'Input Data'!$C:$C,0))&lt;0,"$"&amp;TEXT(-INDEX('Input Data'!L:L,MATCH("1001&amp;2",'Input Data'!$C:$C,0))/INDEX('Input Data'!F:F,MATCH("1001&amp;2",'Input Data'!$C:$C,0)),"#,##0.00"),"nil"),"—")</f>
        <v>Face PSM: $1,190  |  Incent: $315.36</v>
      </c>
      <c r="E28" s="426"/>
      <c r="F28" s="426"/>
      <c r="G28" s="426"/>
      <c r="H28" s="426"/>
      <c r="I28" s="426"/>
      <c r="J28" s="426"/>
      <c r="K28" s="426"/>
      <c r="L28" s="426"/>
      <c r="M28" s="426"/>
      <c r="N28" s="426"/>
      <c r="O28" s="426"/>
      <c r="P28" s="426"/>
      <c r="Q28" s="426"/>
      <c r="R28" s="426"/>
      <c r="S28" s="426"/>
      <c r="T28" s="426"/>
      <c r="U28" s="426"/>
      <c r="V28" s="426"/>
      <c r="W28" s="426"/>
      <c r="X28" s="426"/>
      <c r="Y28" s="426"/>
      <c r="Z28" s="426"/>
      <c r="AA28" s="426"/>
      <c r="AB28" s="426"/>
      <c r="AC28" s="426"/>
      <c r="AD28" s="426"/>
      <c r="AE28" s="5"/>
    </row>
    <row r="29" spans="1:31" ht="15" customHeight="1" x14ac:dyDescent="0.35">
      <c r="A29" s="5"/>
      <c r="B29" s="418"/>
      <c r="C29" s="418"/>
      <c r="D29" s="426" t="str">
        <f ca="1">IFERROR("Outgoings: $"&amp;TEXT(INDEX('Input Data'!M:M,MATCH("1001&amp;2",'Input Data'!$C:$C,0))/INDEX('Input Data'!F:F,MATCH("1001&amp;2",'Input Data'!$C:$C,0)),"#,##0.00")&amp;" psm  |  Net: $"&amp;TEXT(INDEX('Input Data'!N:N,MATCH("1001&amp;2",'Input Data'!$C:$C,0)),"#,##0")&amp;" pa","—")</f>
        <v>Outgoings: $41.30 psm  |  Net: $317,550 pa</v>
      </c>
      <c r="E29" s="426"/>
      <c r="F29" s="426"/>
      <c r="G29" s="426"/>
      <c r="H29" s="426"/>
      <c r="I29" s="426"/>
      <c r="J29" s="426"/>
      <c r="K29" s="426"/>
      <c r="L29" s="426"/>
      <c r="M29" s="426"/>
      <c r="N29" s="426"/>
      <c r="O29" s="426"/>
      <c r="P29" s="426"/>
      <c r="Q29" s="426"/>
      <c r="R29" s="426"/>
      <c r="S29" s="426"/>
      <c r="T29" s="426"/>
      <c r="U29" s="426"/>
      <c r="V29" s="426"/>
      <c r="W29" s="426"/>
      <c r="X29" s="426"/>
      <c r="Y29" s="426"/>
      <c r="Z29" s="426"/>
      <c r="AA29" s="426"/>
      <c r="AB29" s="426"/>
      <c r="AC29" s="426"/>
      <c r="AD29" s="426"/>
      <c r="AE29" s="5"/>
    </row>
    <row r="30" spans="1:31" ht="15" customHeight="1" x14ac:dyDescent="0.35">
      <c r="A30" s="5"/>
      <c r="B30" s="418"/>
      <c r="C30" s="418"/>
      <c r="D30" s="426" t="str">
        <f ca="1">IFERROR("Start: "&amp;TEXT(INDEX('Input Data'!G:G,MATCH("1001&amp;2",'Input Data'!$C:$C,0)),"DD/MM/YY")&amp;"  →  Expiry: "&amp;TEXT(INDEX('Input Data'!H:H,MATCH("1001&amp;2",'Input Data'!$C:$C,0)),"DD/MM/YY"),"—")</f>
        <v>Start: 01/12/23  →  Expiry: 30/11/29</v>
      </c>
      <c r="E30" s="426"/>
      <c r="F30" s="426"/>
      <c r="G30" s="426"/>
      <c r="H30" s="426"/>
      <c r="I30" s="426"/>
      <c r="J30" s="426"/>
      <c r="K30" s="426"/>
      <c r="L30" s="426"/>
      <c r="M30" s="426"/>
      <c r="N30" s="426"/>
      <c r="O30" s="426"/>
      <c r="P30" s="426"/>
      <c r="Q30" s="426"/>
      <c r="R30" s="426"/>
      <c r="S30" s="426"/>
      <c r="T30" s="426"/>
      <c r="U30" s="426"/>
      <c r="V30" s="426"/>
      <c r="W30" s="426"/>
      <c r="X30" s="426"/>
      <c r="Y30" s="426"/>
      <c r="Z30" s="426"/>
      <c r="AA30" s="426"/>
      <c r="AB30" s="426"/>
      <c r="AC30" s="426"/>
      <c r="AD30" s="426"/>
      <c r="AE30" s="5"/>
    </row>
    <row r="31" spans="1:31" ht="15" customHeight="1" x14ac:dyDescent="0.35">
      <c r="A31" s="5"/>
      <c r="B31" s="418"/>
      <c r="C31" s="418"/>
      <c r="D31" s="426" t="str">
        <f ca="1">IFERROR(IF((INDEX('Input Data'!H:H,MATCH("1001&amp;2",'Input Data'!$C:$C,0))-TODAY())&gt;0,TEXT((INDEX('Input Data'!H:H,MATCH("1001&amp;2",'Input Data'!$C:$C,0))-TODAY())/365.25,"0.0")&amp;" yrs remaining","⚠ EXPIRED"),"—")</f>
        <v>3.1 yrs remaining</v>
      </c>
      <c r="E31" s="426"/>
      <c r="F31" s="426"/>
      <c r="G31" s="426"/>
      <c r="H31" s="426"/>
      <c r="I31" s="426"/>
      <c r="J31" s="426"/>
      <c r="K31" s="426"/>
      <c r="L31" s="426"/>
      <c r="M31" s="426"/>
      <c r="N31" s="426"/>
      <c r="O31" s="426"/>
      <c r="P31" s="426"/>
      <c r="Q31" s="426"/>
      <c r="R31" s="426"/>
      <c r="S31" s="426"/>
      <c r="T31" s="426"/>
      <c r="U31" s="426"/>
      <c r="V31" s="426"/>
      <c r="W31" s="426"/>
      <c r="X31" s="426"/>
      <c r="Y31" s="426"/>
      <c r="Z31" s="426"/>
      <c r="AA31" s="426"/>
      <c r="AB31" s="426"/>
      <c r="AC31" s="426"/>
      <c r="AD31" s="426"/>
      <c r="AE31" s="5"/>
    </row>
    <row r="32" spans="1:31" ht="15" customHeight="1" x14ac:dyDescent="0.35">
      <c r="A32" s="5"/>
      <c r="B32" s="418"/>
      <c r="C32" s="418"/>
      <c r="D32" s="426" t="str">
        <f>""</f>
        <v/>
      </c>
      <c r="E32" s="426"/>
      <c r="F32" s="426"/>
      <c r="G32" s="426"/>
      <c r="H32" s="426"/>
      <c r="I32" s="426"/>
      <c r="J32" s="426"/>
      <c r="K32" s="426"/>
      <c r="L32" s="426"/>
      <c r="M32" s="426"/>
      <c r="N32" s="426"/>
      <c r="O32" s="426"/>
      <c r="P32" s="426"/>
      <c r="Q32" s="426"/>
      <c r="R32" s="426"/>
      <c r="S32" s="426"/>
      <c r="T32" s="426"/>
      <c r="U32" s="426"/>
      <c r="V32" s="426"/>
      <c r="W32" s="426"/>
      <c r="X32" s="426"/>
      <c r="Y32" s="426"/>
      <c r="Z32" s="426"/>
      <c r="AA32" s="426"/>
      <c r="AB32" s="426"/>
      <c r="AC32" s="426"/>
      <c r="AD32" s="426"/>
      <c r="AE32" s="5"/>
    </row>
    <row r="33" spans="1:31" ht="3.75" customHeight="1" x14ac:dyDescent="0.35">
      <c r="A33" s="5"/>
      <c r="B33" s="418"/>
      <c r="C33" s="418"/>
      <c r="D33" s="424" t="str">
        <f>""</f>
        <v/>
      </c>
      <c r="E33" s="424"/>
      <c r="F33" s="424"/>
      <c r="G33" s="424"/>
      <c r="H33" s="424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5"/>
    </row>
    <row r="34" spans="1:31" ht="15" customHeight="1" x14ac:dyDescent="0.35">
      <c r="A34" s="5"/>
      <c r="B34" s="1"/>
      <c r="C34" s="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spans="1:31" ht="19.5" customHeight="1" x14ac:dyDescent="0.35">
      <c r="A35" s="5"/>
      <c r="B35" s="418" t="s">
        <v>600</v>
      </c>
      <c r="C35" s="419">
        <f>SUMIF('Input Data'!B:B,"L09",'Input Data'!F:F)</f>
        <v>355.8</v>
      </c>
      <c r="D35" s="427" t="str">
        <f ca="1">IFERROR(INDEX('Input Data'!D:D,MATCH("901",'Input Data'!$C:$C,0)),"VACANT")</f>
        <v>AITKEN INVESTMENT MANAGEMENT PTY LTD</v>
      </c>
      <c r="E35" s="427"/>
      <c r="F35" s="427"/>
      <c r="G35" s="427"/>
      <c r="H35" s="427"/>
      <c r="I35" s="427"/>
      <c r="J35" s="429" t="str">
        <f ca="1">IFERROR(INDEX('Input Data'!D:D,MATCH("902&amp;3",'Input Data'!$C:$C,0)),"VACANT")</f>
        <v>CAPITAL E MARKETING AND EVENTS PTY LTD</v>
      </c>
      <c r="K35" s="429"/>
      <c r="L35" s="429"/>
      <c r="M35" s="429"/>
      <c r="N35" s="429"/>
      <c r="O35" s="429"/>
      <c r="P35" s="429"/>
      <c r="Q35" s="429"/>
      <c r="R35" s="429"/>
      <c r="S35" s="429"/>
      <c r="T35" s="429"/>
      <c r="U35" s="429"/>
      <c r="V35" s="429"/>
      <c r="W35" s="429"/>
      <c r="X35" s="429"/>
      <c r="Y35" s="429"/>
      <c r="Z35" s="429"/>
      <c r="AA35" s="429"/>
      <c r="AB35" s="429"/>
      <c r="AC35" s="429"/>
      <c r="AD35" s="429"/>
      <c r="AE35" s="5"/>
    </row>
    <row r="36" spans="1:31" ht="15" customHeight="1" x14ac:dyDescent="0.35">
      <c r="A36" s="5"/>
      <c r="B36" s="418"/>
      <c r="C36" s="418"/>
      <c r="D36" s="413" t="str">
        <f>"Suite "&amp;"901"</f>
        <v>Suite 901</v>
      </c>
      <c r="E36" s="413"/>
      <c r="F36" s="413"/>
      <c r="G36" s="413"/>
      <c r="H36" s="413"/>
      <c r="I36" s="413"/>
      <c r="J36" s="430" t="str">
        <f>"Suite "&amp;"902&amp;3"</f>
        <v>Suite 902&amp;3</v>
      </c>
      <c r="K36" s="430"/>
      <c r="L36" s="430"/>
      <c r="M36" s="430"/>
      <c r="N36" s="430"/>
      <c r="O36" s="430"/>
      <c r="P36" s="430"/>
      <c r="Q36" s="430"/>
      <c r="R36" s="430"/>
      <c r="S36" s="430"/>
      <c r="T36" s="430"/>
      <c r="U36" s="430"/>
      <c r="V36" s="430"/>
      <c r="W36" s="430"/>
      <c r="X36" s="430"/>
      <c r="Y36" s="430"/>
      <c r="Z36" s="430"/>
      <c r="AA36" s="430"/>
      <c r="AB36" s="430"/>
      <c r="AC36" s="430"/>
      <c r="AD36" s="430"/>
      <c r="AE36" s="5"/>
    </row>
    <row r="37" spans="1:31" ht="15" customHeight="1" x14ac:dyDescent="0.35">
      <c r="A37" s="5"/>
      <c r="B37" s="418"/>
      <c r="C37" s="418"/>
      <c r="D37" s="413" t="str">
        <f>IFERROR(TEXT(INDEX('Input Data'!F:F,MATCH("901",'Input Data'!$C:$C,0)),"#,##0.0")&amp;" sqm"&amp;IF(INDEX('Input Data'!O:O,MATCH("901",'Input Data'!$C:$C,0))&gt;0,"  |  "&amp;TEXT(INDEX('Input Data'!O:O,MATCH("901",'Input Data'!$C:$C,0)),"0")&amp;" car parks",""),"")</f>
        <v>52.8 sqm</v>
      </c>
      <c r="E37" s="413"/>
      <c r="F37" s="413"/>
      <c r="G37" s="413"/>
      <c r="H37" s="413"/>
      <c r="I37" s="413"/>
      <c r="J37" s="430" t="str">
        <f>IFERROR(TEXT(INDEX('Input Data'!F:F,MATCH("902&amp;3",'Input Data'!$C:$C,0)),"#,##0.0")&amp;" sqm"&amp;IF(INDEX('Input Data'!O:O,MATCH("902&amp;3",'Input Data'!$C:$C,0))&gt;0,"  |  "&amp;TEXT(INDEX('Input Data'!O:O,MATCH("902&amp;3",'Input Data'!$C:$C,0)),"0")&amp;" car parks",""),"")</f>
        <v>303.0 sqm</v>
      </c>
      <c r="K37" s="430"/>
      <c r="L37" s="430"/>
      <c r="M37" s="430"/>
      <c r="N37" s="430"/>
      <c r="O37" s="430"/>
      <c r="P37" s="430"/>
      <c r="Q37" s="430"/>
      <c r="R37" s="430"/>
      <c r="S37" s="430"/>
      <c r="T37" s="430"/>
      <c r="U37" s="430"/>
      <c r="V37" s="430"/>
      <c r="W37" s="430"/>
      <c r="X37" s="430"/>
      <c r="Y37" s="430"/>
      <c r="Z37" s="430"/>
      <c r="AA37" s="430"/>
      <c r="AB37" s="430"/>
      <c r="AC37" s="430"/>
      <c r="AD37" s="430"/>
      <c r="AE37" s="5"/>
    </row>
    <row r="38" spans="1:31" ht="15" customHeight="1" x14ac:dyDescent="0.35">
      <c r="A38" s="5"/>
      <c r="B38" s="418"/>
      <c r="C38" s="418"/>
      <c r="D38" s="413" t="str">
        <f>IFERROR("Face PSM: $"&amp;TEXT(INDEX('Input Data'!J:J,MATCH("901",'Input Data'!$C:$C,0)),"#,##0")&amp;"  |  Incent: "&amp;IF(INDEX('Input Data'!L:L,MATCH("901",'Input Data'!$C:$C,0))&lt;0,"$"&amp;TEXT(-INDEX('Input Data'!L:L,MATCH("901",'Input Data'!$C:$C,0))/INDEX('Input Data'!F:F,MATCH("901",'Input Data'!$C:$C,0)),"#,##0.00"),"nil"),"—")</f>
        <v>Face PSM: $1,339  |  Incent: $310.50</v>
      </c>
      <c r="E38" s="413"/>
      <c r="F38" s="413"/>
      <c r="G38" s="413"/>
      <c r="H38" s="413"/>
      <c r="I38" s="413"/>
      <c r="J38" s="430" t="str">
        <f ca="1">IFERROR("Face PSM: $"&amp;TEXT(INDEX('Input Data'!J:J,MATCH("902&amp;3",'Input Data'!$C:$C,0)),"#,##0")&amp;"  |  Incent: "&amp;IF(INDEX('Input Data'!L:L,MATCH("902&amp;3",'Input Data'!$C:$C,0))&lt;0,"$"&amp;TEXT(-INDEX('Input Data'!L:L,MATCH("902&amp;3",'Input Data'!$C:$C,0))/INDEX('Input Data'!F:F,MATCH("902&amp;3",'Input Data'!$C:$C,0)),"#,##0.00"),"nil"),"—")</f>
        <v>Face PSM: $1,141  |  Incent: $298.60</v>
      </c>
      <c r="K38" s="430"/>
      <c r="L38" s="430"/>
      <c r="M38" s="430"/>
      <c r="N38" s="430"/>
      <c r="O38" s="430"/>
      <c r="P38" s="430"/>
      <c r="Q38" s="430"/>
      <c r="R38" s="430"/>
      <c r="S38" s="430"/>
      <c r="T38" s="430"/>
      <c r="U38" s="430"/>
      <c r="V38" s="430"/>
      <c r="W38" s="430"/>
      <c r="X38" s="430"/>
      <c r="Y38" s="430"/>
      <c r="Z38" s="430"/>
      <c r="AA38" s="430"/>
      <c r="AB38" s="430"/>
      <c r="AC38" s="430"/>
      <c r="AD38" s="430"/>
      <c r="AE38" s="5"/>
    </row>
    <row r="39" spans="1:31" ht="15" customHeight="1" x14ac:dyDescent="0.35">
      <c r="A39" s="5"/>
      <c r="B39" s="418"/>
      <c r="C39" s="418"/>
      <c r="D39" s="413" t="str">
        <f ca="1">IFERROR("Outgoings: $"&amp;TEXT(INDEX('Input Data'!M:M,MATCH("901",'Input Data'!$C:$C,0))/INDEX('Input Data'!F:F,MATCH("901",'Input Data'!$C:$C,0)),"#,##0.00")&amp;" psm  |  Net: $"&amp;TEXT(INDEX('Input Data'!N:N,MATCH("901",'Input Data'!$C:$C,0)),"#,##0")&amp;" pa","—")</f>
        <v>Outgoings: $71.59 psm  |  Net: $54,298 pa</v>
      </c>
      <c r="E39" s="413"/>
      <c r="F39" s="413"/>
      <c r="G39" s="413"/>
      <c r="H39" s="413"/>
      <c r="I39" s="413"/>
      <c r="J39" s="430" t="str">
        <f ca="1">IFERROR("Outgoings: $"&amp;TEXT(INDEX('Input Data'!M:M,MATCH("902&amp;3",'Input Data'!$C:$C,0))/INDEX('Input Data'!F:F,MATCH("902&amp;3",'Input Data'!$C:$C,0)),"#,##0.00")&amp;" psm  |  Net: $"&amp;TEXT(INDEX('Input Data'!N:N,MATCH("902&amp;3",'Input Data'!$C:$C,0)),"#,##0")&amp;" pa","—")</f>
        <v>Outgoings: $30.69 psm  |  Net: $255,323 pa</v>
      </c>
      <c r="K39" s="430"/>
      <c r="L39" s="430"/>
      <c r="M39" s="430"/>
      <c r="N39" s="430"/>
      <c r="O39" s="430"/>
      <c r="P39" s="430"/>
      <c r="Q39" s="430"/>
      <c r="R39" s="430"/>
      <c r="S39" s="430"/>
      <c r="T39" s="430"/>
      <c r="U39" s="430"/>
      <c r="V39" s="430"/>
      <c r="W39" s="430"/>
      <c r="X39" s="430"/>
      <c r="Y39" s="430"/>
      <c r="Z39" s="430"/>
      <c r="AA39" s="430"/>
      <c r="AB39" s="430"/>
      <c r="AC39" s="430"/>
      <c r="AD39" s="430"/>
      <c r="AE39" s="5"/>
    </row>
    <row r="40" spans="1:31" ht="15" customHeight="1" x14ac:dyDescent="0.35">
      <c r="A40" s="5"/>
      <c r="B40" s="418"/>
      <c r="C40" s="418"/>
      <c r="D40" s="413" t="str">
        <f ca="1">IFERROR("Start: "&amp;TEXT(INDEX('Input Data'!G:G,MATCH("901",'Input Data'!$C:$C,0)),"DD/MM/YY")&amp;"  →  Expiry: "&amp;TEXT(INDEX('Input Data'!H:H,MATCH("901",'Input Data'!$C:$C,0)),"DD/MM/YY"),"—")</f>
        <v>Start: 15/06/25  →  Expiry: 14/06/28</v>
      </c>
      <c r="E40" s="413"/>
      <c r="F40" s="413"/>
      <c r="G40" s="413"/>
      <c r="H40" s="413"/>
      <c r="I40" s="413"/>
      <c r="J40" s="430" t="str">
        <f ca="1">IFERROR("Start: "&amp;TEXT(INDEX('Input Data'!G:G,MATCH("902&amp;3",'Input Data'!$C:$C,0)),"DD/MM/YY")&amp;"  →  Expiry: "&amp;TEXT(INDEX('Input Data'!H:H,MATCH("902&amp;3",'Input Data'!$C:$C,0)),"DD/MM/YY"),"—")</f>
        <v>Start: 01/01/22  →  Expiry: 31/03/30</v>
      </c>
      <c r="K40" s="430"/>
      <c r="L40" s="430"/>
      <c r="M40" s="430"/>
      <c r="N40" s="430"/>
      <c r="O40" s="430"/>
      <c r="P40" s="430"/>
      <c r="Q40" s="430"/>
      <c r="R40" s="430"/>
      <c r="S40" s="430"/>
      <c r="T40" s="430"/>
      <c r="U40" s="430"/>
      <c r="V40" s="430"/>
      <c r="W40" s="430"/>
      <c r="X40" s="430"/>
      <c r="Y40" s="430"/>
      <c r="Z40" s="430"/>
      <c r="AA40" s="430"/>
      <c r="AB40" s="430"/>
      <c r="AC40" s="430"/>
      <c r="AD40" s="430"/>
      <c r="AE40" s="5"/>
    </row>
    <row r="41" spans="1:31" ht="15" customHeight="1" x14ac:dyDescent="0.35">
      <c r="A41" s="5"/>
      <c r="B41" s="418"/>
      <c r="C41" s="418"/>
      <c r="D41" s="413" t="str">
        <f ca="1">IFERROR(IF((INDEX('Input Data'!H:H,MATCH("901",'Input Data'!$C:$C,0))-TODAY())&gt;0,TEXT((INDEX('Input Data'!H:H,MATCH("901",'Input Data'!$C:$C,0))-TODAY())/365.25,"0.0")&amp;" yrs remaining","⚠ EXPIRED"),"—")</f>
        <v>1.7 yrs remaining</v>
      </c>
      <c r="E41" s="413"/>
      <c r="F41" s="413"/>
      <c r="G41" s="413"/>
      <c r="H41" s="413"/>
      <c r="I41" s="413"/>
      <c r="J41" s="430" t="str">
        <f ca="1">IFERROR(IF((INDEX('Input Data'!H:H,MATCH("902&amp;3",'Input Data'!$C:$C,0))-TODAY())&gt;0,TEXT((INDEX('Input Data'!H:H,MATCH("902&amp;3",'Input Data'!$C:$C,0))-TODAY())/365.25,"0.0")&amp;" yrs remaining","⚠ EXPIRED"),"—")</f>
        <v>3.5 yrs remaining</v>
      </c>
      <c r="K41" s="430"/>
      <c r="L41" s="430"/>
      <c r="M41" s="430"/>
      <c r="N41" s="430"/>
      <c r="O41" s="430"/>
      <c r="P41" s="430"/>
      <c r="Q41" s="430"/>
      <c r="R41" s="430"/>
      <c r="S41" s="430"/>
      <c r="T41" s="430"/>
      <c r="U41" s="430"/>
      <c r="V41" s="430"/>
      <c r="W41" s="430"/>
      <c r="X41" s="430"/>
      <c r="Y41" s="430"/>
      <c r="Z41" s="430"/>
      <c r="AA41" s="430"/>
      <c r="AB41" s="430"/>
      <c r="AC41" s="430"/>
      <c r="AD41" s="430"/>
      <c r="AE41" s="5"/>
    </row>
    <row r="42" spans="1:31" ht="15" customHeight="1" x14ac:dyDescent="0.35">
      <c r="A42" s="5"/>
      <c r="B42" s="418"/>
      <c r="C42" s="418"/>
      <c r="D42" s="413" t="str">
        <f>""</f>
        <v/>
      </c>
      <c r="E42" s="413"/>
      <c r="F42" s="413"/>
      <c r="G42" s="413"/>
      <c r="H42" s="413"/>
      <c r="I42" s="413"/>
      <c r="J42" s="430" t="str">
        <f>""</f>
        <v/>
      </c>
      <c r="K42" s="430"/>
      <c r="L42" s="430"/>
      <c r="M42" s="430"/>
      <c r="N42" s="430"/>
      <c r="O42" s="430"/>
      <c r="P42" s="430"/>
      <c r="Q42" s="430"/>
      <c r="R42" s="430"/>
      <c r="S42" s="430"/>
      <c r="T42" s="430"/>
      <c r="U42" s="430"/>
      <c r="V42" s="430"/>
      <c r="W42" s="430"/>
      <c r="X42" s="430"/>
      <c r="Y42" s="430"/>
      <c r="Z42" s="430"/>
      <c r="AA42" s="430"/>
      <c r="AB42" s="430"/>
      <c r="AC42" s="430"/>
      <c r="AD42" s="430"/>
      <c r="AE42" s="5"/>
    </row>
    <row r="43" spans="1:31" ht="3.75" customHeight="1" x14ac:dyDescent="0.35">
      <c r="A43" s="5"/>
      <c r="B43" s="418"/>
      <c r="C43" s="418"/>
      <c r="D43" s="424" t="str">
        <f>""</f>
        <v/>
      </c>
      <c r="E43" s="424"/>
      <c r="F43" s="424"/>
      <c r="G43" s="424"/>
      <c r="H43" s="424"/>
      <c r="I43" s="424"/>
      <c r="J43" s="424" t="str">
        <f>""</f>
        <v/>
      </c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5"/>
    </row>
    <row r="44" spans="1:31" ht="15" customHeight="1" x14ac:dyDescent="0.35">
      <c r="A44" s="5"/>
      <c r="B44" s="1"/>
      <c r="C44" s="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31" ht="19.5" customHeight="1" x14ac:dyDescent="0.35">
      <c r="A45" s="5"/>
      <c r="B45" s="418" t="s">
        <v>601</v>
      </c>
      <c r="C45" s="419">
        <f>SUMIF('Input Data'!B:B,"L08",'Input Data'!F:F)</f>
        <v>360.5</v>
      </c>
      <c r="D45" s="429" t="str">
        <f ca="1">IFERROR(INDEX('Input Data'!D:D,MATCH("801",'Input Data'!$C:$C,0)),"VACANT")</f>
        <v>ARKANCE AUSTRALIA PTY LTD</v>
      </c>
      <c r="E45" s="429"/>
      <c r="F45" s="429"/>
      <c r="G45" s="429"/>
      <c r="H45" s="429"/>
      <c r="I45" s="429"/>
      <c r="J45" s="429"/>
      <c r="K45" s="429"/>
      <c r="L45" s="429"/>
      <c r="M45" s="429"/>
      <c r="N45" s="429"/>
      <c r="O45" s="429"/>
      <c r="P45" s="429"/>
      <c r="Q45" s="429"/>
      <c r="R45" s="429"/>
      <c r="S45" s="429"/>
      <c r="T45" s="429"/>
      <c r="U45" s="431" t="str">
        <f ca="1">IFERROR(INDEX('Input Data'!D:D,MATCH("802",'Input Data'!$C:$C,0)),"VACANT")</f>
        <v>HILLIARD &amp; BERRY</v>
      </c>
      <c r="V45" s="431"/>
      <c r="W45" s="431"/>
      <c r="X45" s="431"/>
      <c r="Y45" s="431"/>
      <c r="Z45" s="431"/>
      <c r="AA45" s="431"/>
      <c r="AB45" s="431"/>
      <c r="AC45" s="431"/>
      <c r="AD45" s="431"/>
      <c r="AE45" s="5"/>
    </row>
    <row r="46" spans="1:31" ht="15" customHeight="1" x14ac:dyDescent="0.35">
      <c r="A46" s="5"/>
      <c r="B46" s="418"/>
      <c r="C46" s="418"/>
      <c r="D46" s="430" t="str">
        <f>"Suite "&amp;"801"</f>
        <v>Suite 801</v>
      </c>
      <c r="E46" s="430"/>
      <c r="F46" s="430"/>
      <c r="G46" s="430"/>
      <c r="H46" s="430"/>
      <c r="I46" s="430"/>
      <c r="J46" s="430"/>
      <c r="K46" s="430"/>
      <c r="L46" s="430"/>
      <c r="M46" s="430"/>
      <c r="N46" s="430"/>
      <c r="O46" s="430"/>
      <c r="P46" s="430"/>
      <c r="Q46" s="430"/>
      <c r="R46" s="430"/>
      <c r="S46" s="430"/>
      <c r="T46" s="430"/>
      <c r="U46" s="432" t="str">
        <f>"Suite "&amp;"802"</f>
        <v>Suite 802</v>
      </c>
      <c r="V46" s="432"/>
      <c r="W46" s="432"/>
      <c r="X46" s="432"/>
      <c r="Y46" s="432"/>
      <c r="Z46" s="432"/>
      <c r="AA46" s="432"/>
      <c r="AB46" s="432"/>
      <c r="AC46" s="432"/>
      <c r="AD46" s="432"/>
      <c r="AE46" s="5"/>
    </row>
    <row r="47" spans="1:31" ht="15" customHeight="1" x14ac:dyDescent="0.35">
      <c r="A47" s="5"/>
      <c r="B47" s="418"/>
      <c r="C47" s="418"/>
      <c r="D47" s="430" t="str">
        <f>IFERROR(TEXT(INDEX('Input Data'!F:F,MATCH("801",'Input Data'!$C:$C,0)),"#,##0.0")&amp;" sqm"&amp;IF(INDEX('Input Data'!O:O,MATCH("801",'Input Data'!$C:$C,0))&gt;0,"  |  "&amp;TEXT(INDEX('Input Data'!O:O,MATCH("801",'Input Data'!$C:$C,0)),"0")&amp;" car parks",""),"")</f>
        <v>222.0 sqm</v>
      </c>
      <c r="E47" s="430"/>
      <c r="F47" s="430"/>
      <c r="G47" s="430"/>
      <c r="H47" s="430"/>
      <c r="I47" s="430"/>
      <c r="J47" s="430"/>
      <c r="K47" s="430"/>
      <c r="L47" s="430"/>
      <c r="M47" s="430"/>
      <c r="N47" s="430"/>
      <c r="O47" s="430"/>
      <c r="P47" s="430"/>
      <c r="Q47" s="430"/>
      <c r="R47" s="430"/>
      <c r="S47" s="430"/>
      <c r="T47" s="430"/>
      <c r="U47" s="432" t="str">
        <f>IFERROR(TEXT(INDEX('Input Data'!F:F,MATCH("802",'Input Data'!$C:$C,0)),"#,##0.0")&amp;" sqm"&amp;IF(INDEX('Input Data'!O:O,MATCH("802",'Input Data'!$C:$C,0))&gt;0,"  |  "&amp;TEXT(INDEX('Input Data'!O:O,MATCH("802",'Input Data'!$C:$C,0)),"0")&amp;" car parks",""),"")</f>
        <v>138.5 sqm</v>
      </c>
      <c r="V47" s="432"/>
      <c r="W47" s="432"/>
      <c r="X47" s="432"/>
      <c r="Y47" s="432"/>
      <c r="Z47" s="432"/>
      <c r="AA47" s="432"/>
      <c r="AB47" s="432"/>
      <c r="AC47" s="432"/>
      <c r="AD47" s="432"/>
      <c r="AE47" s="5"/>
    </row>
    <row r="48" spans="1:31" ht="15" customHeight="1" x14ac:dyDescent="0.35">
      <c r="A48" s="5"/>
      <c r="B48" s="418"/>
      <c r="C48" s="418"/>
      <c r="D48" s="430" t="str">
        <f ca="1">IFERROR("Face PSM: $"&amp;TEXT(INDEX('Input Data'!J:J,MATCH("801",'Input Data'!$C:$C,0)),"#,##0")&amp;"  |  Incent: "&amp;IF(INDEX('Input Data'!L:L,MATCH("801",'Input Data'!$C:$C,0))&lt;0,"$"&amp;TEXT(-INDEX('Input Data'!L:L,MATCH("801",'Input Data'!$C:$C,0))/INDEX('Input Data'!F:F,MATCH("801",'Input Data'!$C:$C,0)),"#,##0.00"),"nil"),"—")</f>
        <v>Face PSM: $1,300  |  Incent: $208.00</v>
      </c>
      <c r="E48" s="430"/>
      <c r="F48" s="430"/>
      <c r="G48" s="430"/>
      <c r="H48" s="430"/>
      <c r="I48" s="430"/>
      <c r="J48" s="430"/>
      <c r="K48" s="430"/>
      <c r="L48" s="430"/>
      <c r="M48" s="430"/>
      <c r="N48" s="430"/>
      <c r="O48" s="430"/>
      <c r="P48" s="430"/>
      <c r="Q48" s="430"/>
      <c r="R48" s="430"/>
      <c r="S48" s="430"/>
      <c r="T48" s="430"/>
      <c r="U48" s="432" t="str">
        <f ca="1">IFERROR("Face PSM: $"&amp;TEXT(INDEX('Input Data'!J:J,MATCH("802",'Input Data'!$C:$C,0)),"#,##0")&amp;"  |  Incent: "&amp;IF(INDEX('Input Data'!L:L,MATCH("802",'Input Data'!$C:$C,0))&lt;0,"$"&amp;TEXT(-INDEX('Input Data'!L:L,MATCH("802",'Input Data'!$C:$C,0))/INDEX('Input Data'!F:F,MATCH("802",'Input Data'!$C:$C,0)),"#,##0.00"),"nil"),"—")</f>
        <v>Face PSM: $844  |  Incent: nil</v>
      </c>
      <c r="V48" s="432"/>
      <c r="W48" s="432"/>
      <c r="X48" s="432"/>
      <c r="Y48" s="432"/>
      <c r="Z48" s="432"/>
      <c r="AA48" s="432"/>
      <c r="AB48" s="432"/>
      <c r="AC48" s="432"/>
      <c r="AD48" s="432"/>
      <c r="AE48" s="5"/>
    </row>
    <row r="49" spans="1:31" ht="15" customHeight="1" x14ac:dyDescent="0.35">
      <c r="A49" s="5"/>
      <c r="B49" s="418"/>
      <c r="C49" s="418"/>
      <c r="D49" s="430" t="str">
        <f ca="1">IFERROR("Outgoings: $"&amp;TEXT(INDEX('Input Data'!M:M,MATCH("801",'Input Data'!$C:$C,0))/INDEX('Input Data'!F:F,MATCH("801",'Input Data'!$C:$C,0)),"#,##0.00")&amp;" psm  |  Net: $"&amp;TEXT(INDEX('Input Data'!N:N,MATCH("801",'Input Data'!$C:$C,0)),"#,##0")&amp;" pa","—")</f>
        <v>Outgoings: $6.76 psm  |  Net: $242,424 pa</v>
      </c>
      <c r="E49" s="430"/>
      <c r="F49" s="430"/>
      <c r="G49" s="430"/>
      <c r="H49" s="430"/>
      <c r="I49" s="430"/>
      <c r="J49" s="430"/>
      <c r="K49" s="430"/>
      <c r="L49" s="430"/>
      <c r="M49" s="430"/>
      <c r="N49" s="430"/>
      <c r="O49" s="430"/>
      <c r="P49" s="430"/>
      <c r="Q49" s="430"/>
      <c r="R49" s="430"/>
      <c r="S49" s="430"/>
      <c r="T49" s="430"/>
      <c r="U49" s="432" t="str">
        <f ca="1">IFERROR("Outgoings: $"&amp;TEXT(INDEX('Input Data'!M:M,MATCH("802",'Input Data'!$C:$C,0))/INDEX('Input Data'!F:F,MATCH("802",'Input Data'!$C:$C,0)),"#,##0.00")&amp;" psm  |  Net: $"&amp;TEXT(INDEX('Input Data'!N:N,MATCH("802",'Input Data'!$C:$C,0)),"#,##0")&amp;" pa","—")</f>
        <v>Outgoings: $88.38 psm  |  Net: $116,846 pa</v>
      </c>
      <c r="V49" s="432"/>
      <c r="W49" s="432"/>
      <c r="X49" s="432"/>
      <c r="Y49" s="432"/>
      <c r="Z49" s="432"/>
      <c r="AA49" s="432"/>
      <c r="AB49" s="432"/>
      <c r="AC49" s="432"/>
      <c r="AD49" s="432"/>
      <c r="AE49" s="5"/>
    </row>
    <row r="50" spans="1:31" ht="15" customHeight="1" x14ac:dyDescent="0.35">
      <c r="A50" s="5"/>
      <c r="B50" s="418"/>
      <c r="C50" s="418"/>
      <c r="D50" s="430" t="str">
        <f ca="1">IFERROR("Start: "&amp;TEXT(INDEX('Input Data'!G:G,MATCH("801",'Input Data'!$C:$C,0)),"DD/MM/YY")&amp;"  →  Expiry: "&amp;TEXT(INDEX('Input Data'!H:H,MATCH("801",'Input Data'!$C:$C,0)),"DD/MM/YY"),"—")</f>
        <v>Start: 01/10/25  →  Expiry: 30/09/30</v>
      </c>
      <c r="E50" s="430"/>
      <c r="F50" s="430"/>
      <c r="G50" s="430"/>
      <c r="H50" s="430"/>
      <c r="I50" s="430"/>
      <c r="J50" s="430"/>
      <c r="K50" s="430"/>
      <c r="L50" s="430"/>
      <c r="M50" s="430"/>
      <c r="N50" s="430"/>
      <c r="O50" s="430"/>
      <c r="P50" s="430"/>
      <c r="Q50" s="430"/>
      <c r="R50" s="430"/>
      <c r="S50" s="430"/>
      <c r="T50" s="430"/>
      <c r="U50" s="432" t="str">
        <f ca="1">IFERROR("Start: "&amp;TEXT(INDEX('Input Data'!G:G,MATCH("802",'Input Data'!$C:$C,0)),"DD/MM/YY")&amp;"  →  Expiry: "&amp;TEXT(INDEX('Input Data'!H:H,MATCH("802",'Input Data'!$C:$C,0)),"DD/MM/YY"),"—")</f>
        <v>Start: 15/01/14  →  Expiry: 31/07/28</v>
      </c>
      <c r="V50" s="432"/>
      <c r="W50" s="432"/>
      <c r="X50" s="432"/>
      <c r="Y50" s="432"/>
      <c r="Z50" s="432"/>
      <c r="AA50" s="432"/>
      <c r="AB50" s="432"/>
      <c r="AC50" s="432"/>
      <c r="AD50" s="432"/>
      <c r="AE50" s="5"/>
    </row>
    <row r="51" spans="1:31" ht="15" customHeight="1" x14ac:dyDescent="0.35">
      <c r="A51" s="5"/>
      <c r="B51" s="418"/>
      <c r="C51" s="418"/>
      <c r="D51" s="430" t="str">
        <f ca="1">IFERROR(IF((INDEX('Input Data'!H:H,MATCH("801",'Input Data'!$C:$C,0))-TODAY())&gt;0,TEXT((INDEX('Input Data'!H:H,MATCH("801",'Input Data'!$C:$C,0))-TODAY())/365.25,"0.0")&amp;" yrs remaining","⚠ EXPIRED"),"—")</f>
        <v>4.0 yrs remaining</v>
      </c>
      <c r="E51" s="430"/>
      <c r="F51" s="430"/>
      <c r="G51" s="430"/>
      <c r="H51" s="430"/>
      <c r="I51" s="430"/>
      <c r="J51" s="430"/>
      <c r="K51" s="430"/>
      <c r="L51" s="430"/>
      <c r="M51" s="430"/>
      <c r="N51" s="430"/>
      <c r="O51" s="430"/>
      <c r="P51" s="430"/>
      <c r="Q51" s="430"/>
      <c r="R51" s="430"/>
      <c r="S51" s="430"/>
      <c r="T51" s="430"/>
      <c r="U51" s="432" t="str">
        <f ca="1">IFERROR(IF((INDEX('Input Data'!H:H,MATCH("802",'Input Data'!$C:$C,0))-TODAY())&gt;0,TEXT((INDEX('Input Data'!H:H,MATCH("802",'Input Data'!$C:$C,0))-TODAY())/365.25,"0.0")&amp;" yrs remaining","⚠ EXPIRED"),"—")</f>
        <v>1.8 yrs remaining</v>
      </c>
      <c r="V51" s="432"/>
      <c r="W51" s="432"/>
      <c r="X51" s="432"/>
      <c r="Y51" s="432"/>
      <c r="Z51" s="432"/>
      <c r="AA51" s="432"/>
      <c r="AB51" s="432"/>
      <c r="AC51" s="432"/>
      <c r="AD51" s="432"/>
      <c r="AE51" s="5"/>
    </row>
    <row r="52" spans="1:31" ht="15" customHeight="1" x14ac:dyDescent="0.35">
      <c r="A52" s="5"/>
      <c r="B52" s="418"/>
      <c r="C52" s="418"/>
      <c r="D52" s="430" t="str">
        <f>""</f>
        <v/>
      </c>
      <c r="E52" s="430"/>
      <c r="F52" s="430"/>
      <c r="G52" s="430"/>
      <c r="H52" s="430"/>
      <c r="I52" s="430"/>
      <c r="J52" s="430"/>
      <c r="K52" s="430"/>
      <c r="L52" s="430"/>
      <c r="M52" s="430"/>
      <c r="N52" s="430"/>
      <c r="O52" s="430"/>
      <c r="P52" s="430"/>
      <c r="Q52" s="430"/>
      <c r="R52" s="430"/>
      <c r="S52" s="430"/>
      <c r="T52" s="430"/>
      <c r="U52" s="432" t="str">
        <f>""</f>
        <v/>
      </c>
      <c r="V52" s="432"/>
      <c r="W52" s="432"/>
      <c r="X52" s="432"/>
      <c r="Y52" s="432"/>
      <c r="Z52" s="432"/>
      <c r="AA52" s="432"/>
      <c r="AB52" s="432"/>
      <c r="AC52" s="432"/>
      <c r="AD52" s="432"/>
      <c r="AE52" s="5"/>
    </row>
    <row r="53" spans="1:31" ht="3.75" customHeight="1" x14ac:dyDescent="0.35">
      <c r="A53" s="5"/>
      <c r="B53" s="418"/>
      <c r="C53" s="418"/>
      <c r="D53" s="424" t="str">
        <f>""</f>
        <v/>
      </c>
      <c r="E53" s="424"/>
      <c r="F53" s="424"/>
      <c r="G53" s="424"/>
      <c r="H53" s="424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 t="str">
        <f>""</f>
        <v/>
      </c>
      <c r="V53" s="424"/>
      <c r="W53" s="424"/>
      <c r="X53" s="424"/>
      <c r="Y53" s="424"/>
      <c r="Z53" s="424"/>
      <c r="AA53" s="424"/>
      <c r="AB53" s="424"/>
      <c r="AC53" s="424"/>
      <c r="AD53" s="424"/>
      <c r="AE53" s="5"/>
    </row>
    <row r="54" spans="1:31" ht="15" customHeight="1" x14ac:dyDescent="0.35">
      <c r="A54" s="5"/>
      <c r="B54" s="1"/>
      <c r="C54" s="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ht="19.5" customHeight="1" x14ac:dyDescent="0.35">
      <c r="A55" s="5"/>
      <c r="B55" s="418" t="s">
        <v>602</v>
      </c>
      <c r="C55" s="419">
        <f>SUMIF('Input Data'!B:B,"L07",'Input Data'!F:F)</f>
        <v>374.4</v>
      </c>
      <c r="D55" s="433" t="str">
        <f ca="1">IFERROR(INDEX('Input Data'!D:D,MATCH("701",'Input Data'!$C:$C,0)),"VACANT")</f>
        <v>PINPOINT TALENT PTY LTD</v>
      </c>
      <c r="E55" s="433"/>
      <c r="F55" s="433"/>
      <c r="G55" s="433"/>
      <c r="H55" s="433"/>
      <c r="I55" s="433"/>
      <c r="J55" s="433"/>
      <c r="K55" s="433"/>
      <c r="L55" s="433"/>
      <c r="M55" s="433"/>
      <c r="N55" s="433"/>
      <c r="O55" s="433"/>
      <c r="P55" s="433"/>
      <c r="Q55" s="433"/>
      <c r="R55" s="433"/>
      <c r="S55" s="431" t="str">
        <f ca="1">IFERROR(INDEX('Input Data'!D:D,MATCH("702",'Input Data'!$C:$C,0)),"VACANT")</f>
        <v>SATELLITE OFFICE PTY LTD</v>
      </c>
      <c r="T55" s="431"/>
      <c r="U55" s="431"/>
      <c r="V55" s="431"/>
      <c r="W55" s="431"/>
      <c r="X55" s="431"/>
      <c r="Y55" s="431"/>
      <c r="Z55" s="431"/>
      <c r="AA55" s="431"/>
      <c r="AB55" s="431"/>
      <c r="AC55" s="431"/>
      <c r="AD55" s="431"/>
      <c r="AE55" s="5"/>
    </row>
    <row r="56" spans="1:31" ht="15" customHeight="1" x14ac:dyDescent="0.35">
      <c r="A56" s="5"/>
      <c r="B56" s="418"/>
      <c r="C56" s="418"/>
      <c r="D56" s="434" t="str">
        <f>"Suite "&amp;"701"</f>
        <v>Suite 701</v>
      </c>
      <c r="E56" s="434"/>
      <c r="F56" s="434"/>
      <c r="G56" s="434"/>
      <c r="H56" s="434"/>
      <c r="I56" s="434"/>
      <c r="J56" s="434"/>
      <c r="K56" s="434"/>
      <c r="L56" s="434"/>
      <c r="M56" s="434"/>
      <c r="N56" s="434"/>
      <c r="O56" s="434"/>
      <c r="P56" s="434"/>
      <c r="Q56" s="434"/>
      <c r="R56" s="434"/>
      <c r="S56" s="432" t="str">
        <f>"Suite "&amp;"702"</f>
        <v>Suite 702</v>
      </c>
      <c r="T56" s="432"/>
      <c r="U56" s="432"/>
      <c r="V56" s="432"/>
      <c r="W56" s="432"/>
      <c r="X56" s="432"/>
      <c r="Y56" s="432"/>
      <c r="Z56" s="432"/>
      <c r="AA56" s="432"/>
      <c r="AB56" s="432"/>
      <c r="AC56" s="432"/>
      <c r="AD56" s="432"/>
      <c r="AE56" s="5"/>
    </row>
    <row r="57" spans="1:31" ht="15" customHeight="1" x14ac:dyDescent="0.35">
      <c r="A57" s="5"/>
      <c r="B57" s="418"/>
      <c r="C57" s="418"/>
      <c r="D57" s="434" t="str">
        <f>IFERROR(TEXT(INDEX('Input Data'!F:F,MATCH("701",'Input Data'!$C:$C,0)),"#,##0.0")&amp;" sqm"&amp;IF(INDEX('Input Data'!O:O,MATCH("701",'Input Data'!$C:$C,0))&gt;0,"  |  "&amp;TEXT(INDEX('Input Data'!O:O,MATCH("701",'Input Data'!$C:$C,0)),"0")&amp;" car parks",""),"")</f>
        <v>210.5 sqm</v>
      </c>
      <c r="E57" s="434"/>
      <c r="F57" s="434"/>
      <c r="G57" s="434"/>
      <c r="H57" s="434"/>
      <c r="I57" s="434"/>
      <c r="J57" s="434"/>
      <c r="K57" s="434"/>
      <c r="L57" s="434"/>
      <c r="M57" s="434"/>
      <c r="N57" s="434"/>
      <c r="O57" s="434"/>
      <c r="P57" s="434"/>
      <c r="Q57" s="434"/>
      <c r="R57" s="434"/>
      <c r="S57" s="432" t="str">
        <f>IFERROR(TEXT(INDEX('Input Data'!F:F,MATCH("702",'Input Data'!$C:$C,0)),"#,##0.0")&amp;" sqm"&amp;IF(INDEX('Input Data'!O:O,MATCH("702",'Input Data'!$C:$C,0))&gt;0,"  |  "&amp;TEXT(INDEX('Input Data'!O:O,MATCH("702",'Input Data'!$C:$C,0)),"0")&amp;" car parks",""),"")</f>
        <v>163.9 sqm</v>
      </c>
      <c r="T57" s="432"/>
      <c r="U57" s="432"/>
      <c r="V57" s="432"/>
      <c r="W57" s="432"/>
      <c r="X57" s="432"/>
      <c r="Y57" s="432"/>
      <c r="Z57" s="432"/>
      <c r="AA57" s="432"/>
      <c r="AB57" s="432"/>
      <c r="AC57" s="432"/>
      <c r="AD57" s="432"/>
      <c r="AE57" s="5"/>
    </row>
    <row r="58" spans="1:31" ht="15" customHeight="1" x14ac:dyDescent="0.35">
      <c r="A58" s="5"/>
      <c r="B58" s="418"/>
      <c r="C58" s="418"/>
      <c r="D58" s="434" t="str">
        <f ca="1">IFERROR("Face PSM: $"&amp;TEXT(INDEX('Input Data'!J:J,MATCH("701",'Input Data'!$C:$C,0)),"#,##0")&amp;"  |  Incent: "&amp;IF(INDEX('Input Data'!L:L,MATCH("701",'Input Data'!$C:$C,0))&lt;0,"$"&amp;TEXT(-INDEX('Input Data'!L:L,MATCH("701",'Input Data'!$C:$C,0))/INDEX('Input Data'!F:F,MATCH("701",'Input Data'!$C:$C,0)),"#,##0.00"),"nil"),"—")</f>
        <v>Face PSM: $1,174  |  Incent: $325.50</v>
      </c>
      <c r="E58" s="434"/>
      <c r="F58" s="434"/>
      <c r="G58" s="434"/>
      <c r="H58" s="434"/>
      <c r="I58" s="434"/>
      <c r="J58" s="434"/>
      <c r="K58" s="434"/>
      <c r="L58" s="434"/>
      <c r="M58" s="434"/>
      <c r="N58" s="434"/>
      <c r="O58" s="434"/>
      <c r="P58" s="434"/>
      <c r="Q58" s="434"/>
      <c r="R58" s="434"/>
      <c r="S58" s="432" t="str">
        <f>IFERROR("Face PSM: $"&amp;TEXT(INDEX('Input Data'!J:J,MATCH("702",'Input Data'!$C:$C,0)),"#,##0")&amp;"  |  Incent: "&amp;IF(INDEX('Input Data'!L:L,MATCH("702",'Input Data'!$C:$C,0))&lt;0,"$"&amp;TEXT(-INDEX('Input Data'!L:L,MATCH("702",'Input Data'!$C:$C,0))/INDEX('Input Data'!F:F,MATCH("702",'Input Data'!$C:$C,0)),"#,##0.00"),"nil"),"—")</f>
        <v>Face PSM: $1,055  |  Incent: $245.65</v>
      </c>
      <c r="T58" s="432"/>
      <c r="U58" s="432"/>
      <c r="V58" s="432"/>
      <c r="W58" s="432"/>
      <c r="X58" s="432"/>
      <c r="Y58" s="432"/>
      <c r="Z58" s="432"/>
      <c r="AA58" s="432"/>
      <c r="AB58" s="432"/>
      <c r="AC58" s="432"/>
      <c r="AD58" s="432"/>
      <c r="AE58" s="5"/>
    </row>
    <row r="59" spans="1:31" ht="15" customHeight="1" x14ac:dyDescent="0.35">
      <c r="A59" s="5"/>
      <c r="B59" s="418"/>
      <c r="C59" s="418"/>
      <c r="D59" s="434" t="str">
        <f ca="1">IFERROR("Outgoings: $"&amp;TEXT(INDEX('Input Data'!M:M,MATCH("701",'Input Data'!$C:$C,0))/INDEX('Input Data'!F:F,MATCH("701",'Input Data'!$C:$C,0)),"#,##0.00")&amp;" psm  |  Net: $"&amp;TEXT(INDEX('Input Data'!N:N,MATCH("701",'Input Data'!$C:$C,0)),"#,##0")&amp;" pa","—")</f>
        <v>Outgoings: $65.56 psm  |  Net: $178,512 pa</v>
      </c>
      <c r="E59" s="434"/>
      <c r="F59" s="434"/>
      <c r="G59" s="434"/>
      <c r="H59" s="434"/>
      <c r="I59" s="434"/>
      <c r="J59" s="434"/>
      <c r="K59" s="434"/>
      <c r="L59" s="434"/>
      <c r="M59" s="434"/>
      <c r="N59" s="434"/>
      <c r="O59" s="434"/>
      <c r="P59" s="434"/>
      <c r="Q59" s="434"/>
      <c r="R59" s="434"/>
      <c r="S59" s="432" t="str">
        <f ca="1">IFERROR("Outgoings: $"&amp;TEXT(INDEX('Input Data'!M:M,MATCH("702",'Input Data'!$C:$C,0))/INDEX('Input Data'!F:F,MATCH("702",'Input Data'!$C:$C,0)),"#,##0.00")&amp;" psm  |  Net: $"&amp;TEXT(INDEX('Input Data'!N:N,MATCH("702",'Input Data'!$C:$C,0)),"#,##0")&amp;" pa","—")</f>
        <v>Outgoings: $42.83 psm  |  Net: $132,633 pa</v>
      </c>
      <c r="T59" s="432"/>
      <c r="U59" s="432"/>
      <c r="V59" s="432"/>
      <c r="W59" s="432"/>
      <c r="X59" s="432"/>
      <c r="Y59" s="432"/>
      <c r="Z59" s="432"/>
      <c r="AA59" s="432"/>
      <c r="AB59" s="432"/>
      <c r="AC59" s="432"/>
      <c r="AD59" s="432"/>
      <c r="AE59" s="5"/>
    </row>
    <row r="60" spans="1:31" ht="15" customHeight="1" x14ac:dyDescent="0.35">
      <c r="A60" s="5"/>
      <c r="B60" s="418"/>
      <c r="C60" s="418"/>
      <c r="D60" s="434" t="str">
        <f ca="1">IFERROR("Start: "&amp;TEXT(INDEX('Input Data'!G:G,MATCH("701",'Input Data'!$C:$C,0)),"DD/MM/YY")&amp;"  →  Expiry: "&amp;TEXT(INDEX('Input Data'!H:H,MATCH("701",'Input Data'!$C:$C,0)),"DD/MM/YY"),"—")</f>
        <v>Start: 07/08/23  →  Expiry: 06/08/27</v>
      </c>
      <c r="E60" s="434"/>
      <c r="F60" s="434"/>
      <c r="G60" s="434"/>
      <c r="H60" s="434"/>
      <c r="I60" s="434"/>
      <c r="J60" s="434"/>
      <c r="K60" s="434"/>
      <c r="L60" s="434"/>
      <c r="M60" s="434"/>
      <c r="N60" s="434"/>
      <c r="O60" s="434"/>
      <c r="P60" s="434"/>
      <c r="Q60" s="434"/>
      <c r="R60" s="434"/>
      <c r="S60" s="432" t="str">
        <f ca="1">IFERROR("Start: "&amp;TEXT(INDEX('Input Data'!G:G,MATCH("702",'Input Data'!$C:$C,0)),"DD/MM/YY")&amp;"  →  Expiry: "&amp;TEXT(INDEX('Input Data'!H:H,MATCH("702",'Input Data'!$C:$C,0)),"DD/MM/YY"),"—")</f>
        <v>Start: 01/06/24  →  Expiry: 31/05/28</v>
      </c>
      <c r="T60" s="432"/>
      <c r="U60" s="432"/>
      <c r="V60" s="432"/>
      <c r="W60" s="432"/>
      <c r="X60" s="432"/>
      <c r="Y60" s="432"/>
      <c r="Z60" s="432"/>
      <c r="AA60" s="432"/>
      <c r="AB60" s="432"/>
      <c r="AC60" s="432"/>
      <c r="AD60" s="432"/>
      <c r="AE60" s="5"/>
    </row>
    <row r="61" spans="1:31" ht="15" customHeight="1" x14ac:dyDescent="0.35">
      <c r="A61" s="5"/>
      <c r="B61" s="418"/>
      <c r="C61" s="418"/>
      <c r="D61" s="434" t="str">
        <f ca="1">IFERROR(IF((INDEX('Input Data'!H:H,MATCH("701",'Input Data'!$C:$C,0))-TODAY())&gt;0,TEXT((INDEX('Input Data'!H:H,MATCH("701",'Input Data'!$C:$C,0))-TODAY())/365.25,"0.0")&amp;" yrs remaining","⚠ EXPIRED"),"—")</f>
        <v>0.8 yrs remaining</v>
      </c>
      <c r="E61" s="434"/>
      <c r="F61" s="434"/>
      <c r="G61" s="434"/>
      <c r="H61" s="434"/>
      <c r="I61" s="434"/>
      <c r="J61" s="434"/>
      <c r="K61" s="434"/>
      <c r="L61" s="434"/>
      <c r="M61" s="434"/>
      <c r="N61" s="434"/>
      <c r="O61" s="434"/>
      <c r="P61" s="434"/>
      <c r="Q61" s="434"/>
      <c r="R61" s="434"/>
      <c r="S61" s="432" t="str">
        <f ca="1">IFERROR(IF((INDEX('Input Data'!H:H,MATCH("702",'Input Data'!$C:$C,0))-TODAY())&gt;0,TEXT((INDEX('Input Data'!H:H,MATCH("702",'Input Data'!$C:$C,0))-TODAY())/365.25,"0.0")&amp;" yrs remaining","⚠ EXPIRED"),"—")</f>
        <v>1.6 yrs remaining</v>
      </c>
      <c r="T61" s="432"/>
      <c r="U61" s="432"/>
      <c r="V61" s="432"/>
      <c r="W61" s="432"/>
      <c r="X61" s="432"/>
      <c r="Y61" s="432"/>
      <c r="Z61" s="432"/>
      <c r="AA61" s="432"/>
      <c r="AB61" s="432"/>
      <c r="AC61" s="432"/>
      <c r="AD61" s="432"/>
      <c r="AE61" s="5"/>
    </row>
    <row r="62" spans="1:31" ht="15" customHeight="1" x14ac:dyDescent="0.35">
      <c r="A62" s="5"/>
      <c r="B62" s="418"/>
      <c r="C62" s="418"/>
      <c r="D62" s="434" t="str">
        <f>""</f>
        <v/>
      </c>
      <c r="E62" s="434"/>
      <c r="F62" s="434"/>
      <c r="G62" s="434"/>
      <c r="H62" s="434"/>
      <c r="I62" s="434"/>
      <c r="J62" s="434"/>
      <c r="K62" s="434"/>
      <c r="L62" s="434"/>
      <c r="M62" s="434"/>
      <c r="N62" s="434"/>
      <c r="O62" s="434"/>
      <c r="P62" s="434"/>
      <c r="Q62" s="434"/>
      <c r="R62" s="434"/>
      <c r="S62" s="432" t="str">
        <f>""</f>
        <v/>
      </c>
      <c r="T62" s="432"/>
      <c r="U62" s="432"/>
      <c r="V62" s="432"/>
      <c r="W62" s="432"/>
      <c r="X62" s="432"/>
      <c r="Y62" s="432"/>
      <c r="Z62" s="432"/>
      <c r="AA62" s="432"/>
      <c r="AB62" s="432"/>
      <c r="AC62" s="432"/>
      <c r="AD62" s="432"/>
      <c r="AE62" s="5"/>
    </row>
    <row r="63" spans="1:31" ht="3.75" customHeight="1" x14ac:dyDescent="0.35">
      <c r="A63" s="5"/>
      <c r="B63" s="418"/>
      <c r="C63" s="418"/>
      <c r="D63" s="424" t="str">
        <f>""</f>
        <v/>
      </c>
      <c r="E63" s="424"/>
      <c r="F63" s="424"/>
      <c r="G63" s="424"/>
      <c r="H63" s="424"/>
      <c r="I63" s="424"/>
      <c r="J63" s="424"/>
      <c r="K63" s="424"/>
      <c r="L63" s="424"/>
      <c r="M63" s="424"/>
      <c r="N63" s="424"/>
      <c r="O63" s="424"/>
      <c r="P63" s="424"/>
      <c r="Q63" s="424"/>
      <c r="R63" s="424"/>
      <c r="S63" s="424" t="str">
        <f>""</f>
        <v/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5"/>
    </row>
    <row r="64" spans="1:31" ht="15" customHeight="1" x14ac:dyDescent="0.35">
      <c r="A64" s="5"/>
      <c r="B64" s="1"/>
      <c r="C64" s="1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spans="1:31" ht="19.5" customHeight="1" x14ac:dyDescent="0.35">
      <c r="A65" s="5"/>
      <c r="B65" s="418" t="s">
        <v>603</v>
      </c>
      <c r="C65" s="419">
        <f>SUMIF('Input Data'!B:B,"L06",'Input Data'!F:F)</f>
        <v>378.2</v>
      </c>
      <c r="D65" s="433" t="str">
        <f ca="1">IFERROR(INDEX('Input Data'!D:D,MATCH("601",'Input Data'!$C:$C,0)),"VACANT")</f>
        <v>FULLCRM PTY LTD</v>
      </c>
      <c r="E65" s="433"/>
      <c r="F65" s="433"/>
      <c r="G65" s="433"/>
      <c r="H65" s="433"/>
      <c r="I65" s="433"/>
      <c r="J65" s="433"/>
      <c r="K65" s="433"/>
      <c r="L65" s="433"/>
      <c r="M65" s="433"/>
      <c r="N65" s="433"/>
      <c r="O65" s="433"/>
      <c r="P65" s="433"/>
      <c r="Q65" s="433"/>
      <c r="R65" s="433"/>
      <c r="S65" s="433"/>
      <c r="T65" s="427" t="str">
        <f>IFERROR(INDEX('Input Data'!D:D,MATCH("602",'Input Data'!$C:$C,0)),"VACANT")</f>
        <v>INNOVIS</v>
      </c>
      <c r="U65" s="427"/>
      <c r="V65" s="427"/>
      <c r="W65" s="427"/>
      <c r="X65" s="427"/>
      <c r="Y65" s="427"/>
      <c r="Z65" s="427"/>
      <c r="AA65" s="427"/>
      <c r="AB65" s="427"/>
      <c r="AC65" s="427"/>
      <c r="AD65" s="427"/>
      <c r="AE65" s="5"/>
    </row>
    <row r="66" spans="1:31" ht="15" customHeight="1" x14ac:dyDescent="0.35">
      <c r="A66" s="5"/>
      <c r="B66" s="418"/>
      <c r="C66" s="418"/>
      <c r="D66" s="434" t="str">
        <f>"Suite "&amp;"601"</f>
        <v>Suite 601</v>
      </c>
      <c r="E66" s="434"/>
      <c r="F66" s="434"/>
      <c r="G66" s="434"/>
      <c r="H66" s="434"/>
      <c r="I66" s="434"/>
      <c r="J66" s="434"/>
      <c r="K66" s="434"/>
      <c r="L66" s="434"/>
      <c r="M66" s="434"/>
      <c r="N66" s="434"/>
      <c r="O66" s="434"/>
      <c r="P66" s="434"/>
      <c r="Q66" s="434"/>
      <c r="R66" s="434"/>
      <c r="S66" s="434"/>
      <c r="T66" s="413" t="str">
        <f>"Suite "&amp;"602"</f>
        <v>Suite 602</v>
      </c>
      <c r="U66" s="413"/>
      <c r="V66" s="413"/>
      <c r="W66" s="413"/>
      <c r="X66" s="413"/>
      <c r="Y66" s="413"/>
      <c r="Z66" s="413"/>
      <c r="AA66" s="413"/>
      <c r="AB66" s="413"/>
      <c r="AC66" s="413"/>
      <c r="AD66" s="413"/>
      <c r="AE66" s="5"/>
    </row>
    <row r="67" spans="1:31" ht="15" customHeight="1" x14ac:dyDescent="0.35">
      <c r="A67" s="5"/>
      <c r="B67" s="418"/>
      <c r="C67" s="418"/>
      <c r="D67" s="434" t="str">
        <f>IFERROR(TEXT(INDEX('Input Data'!F:F,MATCH("601",'Input Data'!$C:$C,0)),"#,##0.0")&amp;" sqm"&amp;IF(INDEX('Input Data'!O:O,MATCH("601",'Input Data'!$C:$C,0))&gt;0,"  |  "&amp;TEXT(INDEX('Input Data'!O:O,MATCH("601",'Input Data'!$C:$C,0)),"0")&amp;" car parks",""),"")</f>
        <v>226.1 sqm</v>
      </c>
      <c r="E67" s="434"/>
      <c r="F67" s="434"/>
      <c r="G67" s="434"/>
      <c r="H67" s="434"/>
      <c r="I67" s="434"/>
      <c r="J67" s="434"/>
      <c r="K67" s="434"/>
      <c r="L67" s="434"/>
      <c r="M67" s="434"/>
      <c r="N67" s="434"/>
      <c r="O67" s="434"/>
      <c r="P67" s="434"/>
      <c r="Q67" s="434"/>
      <c r="R67" s="434"/>
      <c r="S67" s="434"/>
      <c r="T67" s="413" t="str">
        <f>IFERROR(TEXT(INDEX('Input Data'!F:F,MATCH("602",'Input Data'!$C:$C,0)),"#,##0.0")&amp;" sqm"&amp;IF(INDEX('Input Data'!O:O,MATCH("602",'Input Data'!$C:$C,0))&gt;0,"  |  "&amp;TEXT(INDEX('Input Data'!O:O,MATCH("602",'Input Data'!$C:$C,0)),"0")&amp;" car parks",""),"")</f>
        <v>152.1 sqm</v>
      </c>
      <c r="U67" s="413"/>
      <c r="V67" s="413"/>
      <c r="W67" s="413"/>
      <c r="X67" s="413"/>
      <c r="Y67" s="413"/>
      <c r="Z67" s="413"/>
      <c r="AA67" s="413"/>
      <c r="AB67" s="413"/>
      <c r="AC67" s="413"/>
      <c r="AD67" s="413"/>
      <c r="AE67" s="5"/>
    </row>
    <row r="68" spans="1:31" ht="15" customHeight="1" x14ac:dyDescent="0.35">
      <c r="A68" s="5"/>
      <c r="B68" s="418"/>
      <c r="C68" s="418"/>
      <c r="D68" s="434" t="str">
        <f ca="1">IFERROR("Face PSM: $"&amp;TEXT(INDEX('Input Data'!J:J,MATCH("601",'Input Data'!$C:$C,0)),"#,##0")&amp;"  |  Incent: "&amp;IF(INDEX('Input Data'!L:L,MATCH("601",'Input Data'!$C:$C,0))&lt;0,"$"&amp;TEXT(-INDEX('Input Data'!L:L,MATCH("601",'Input Data'!$C:$C,0))/INDEX('Input Data'!F:F,MATCH("601",'Input Data'!$C:$C,0)),"#,##0.00"),"nil"),"—")</f>
        <v>Face PSM: $1,251  |  Incent: $140.40</v>
      </c>
      <c r="E68" s="434"/>
      <c r="F68" s="434"/>
      <c r="G68" s="434"/>
      <c r="H68" s="434"/>
      <c r="I68" s="434"/>
      <c r="J68" s="434"/>
      <c r="K68" s="434"/>
      <c r="L68" s="434"/>
      <c r="M68" s="434"/>
      <c r="N68" s="434"/>
      <c r="O68" s="434"/>
      <c r="P68" s="434"/>
      <c r="Q68" s="434"/>
      <c r="R68" s="434"/>
      <c r="S68" s="434"/>
      <c r="T68" s="413" t="str">
        <f>IFERROR("Face PSM: $"&amp;TEXT(INDEX('Input Data'!J:J,MATCH("602",'Input Data'!$C:$C,0)),"#,##0")&amp;"  |  Incent: "&amp;IF(INDEX('Input Data'!L:L,MATCH("602",'Input Data'!$C:$C,0))&lt;0,"$"&amp;TEXT(-INDEX('Input Data'!L:L,MATCH("602",'Input Data'!$C:$C,0))/INDEX('Input Data'!F:F,MATCH("602",'Input Data'!$C:$C,0)),"#,##0.00"),"nil"),"—")</f>
        <v>Face PSM: $1,090  |  Incent: $196.20</v>
      </c>
      <c r="U68" s="413"/>
      <c r="V68" s="413"/>
      <c r="W68" s="413"/>
      <c r="X68" s="413"/>
      <c r="Y68" s="413"/>
      <c r="Z68" s="413"/>
      <c r="AA68" s="413"/>
      <c r="AB68" s="413"/>
      <c r="AC68" s="413"/>
      <c r="AD68" s="413"/>
      <c r="AE68" s="5"/>
    </row>
    <row r="69" spans="1:31" ht="15" customHeight="1" x14ac:dyDescent="0.35">
      <c r="A69" s="5"/>
      <c r="B69" s="418"/>
      <c r="C69" s="418"/>
      <c r="D69" s="434" t="str">
        <f ca="1">IFERROR("Outgoings: $"&amp;TEXT(INDEX('Input Data'!M:M,MATCH("601",'Input Data'!$C:$C,0))/INDEX('Input Data'!F:F,MATCH("601",'Input Data'!$C:$C,0)),"#,##0.00")&amp;" psm  |  Net: $"&amp;TEXT(INDEX('Input Data'!N:N,MATCH("601",'Input Data'!$C:$C,0)),"#,##0")&amp;" pa","—")</f>
        <v>Outgoings: $61.03 psm  |  Net: $251,184 pa</v>
      </c>
      <c r="E69" s="434"/>
      <c r="F69" s="434"/>
      <c r="G69" s="434"/>
      <c r="H69" s="434"/>
      <c r="I69" s="434"/>
      <c r="J69" s="434"/>
      <c r="K69" s="434"/>
      <c r="L69" s="434"/>
      <c r="M69" s="434"/>
      <c r="N69" s="434"/>
      <c r="O69" s="434"/>
      <c r="P69" s="434"/>
      <c r="Q69" s="434"/>
      <c r="R69" s="434"/>
      <c r="S69" s="434"/>
      <c r="T69" s="413" t="str">
        <f ca="1">IFERROR("Outgoings: $"&amp;TEXT(INDEX('Input Data'!M:M,MATCH("602",'Input Data'!$C:$C,0))/INDEX('Input Data'!F:F,MATCH("602",'Input Data'!$C:$C,0)),"#,##0.00")&amp;" psm  |  Net: $"&amp;TEXT(INDEX('Input Data'!N:N,MATCH("602",'Input Data'!$C:$C,0)),"#,##0")&amp;" pa","—")</f>
        <v>Outgoings: $0.00 psm  |  Net: $135,947 pa</v>
      </c>
      <c r="U69" s="413"/>
      <c r="V69" s="413"/>
      <c r="W69" s="413"/>
      <c r="X69" s="413"/>
      <c r="Y69" s="413"/>
      <c r="Z69" s="413"/>
      <c r="AA69" s="413"/>
      <c r="AB69" s="413"/>
      <c r="AC69" s="413"/>
      <c r="AD69" s="413"/>
      <c r="AE69" s="5"/>
    </row>
    <row r="70" spans="1:31" ht="15" customHeight="1" x14ac:dyDescent="0.35">
      <c r="A70" s="5"/>
      <c r="B70" s="418"/>
      <c r="C70" s="418"/>
      <c r="D70" s="434" t="str">
        <f ca="1">IFERROR("Start: "&amp;TEXT(INDEX('Input Data'!G:G,MATCH("601",'Input Data'!$C:$C,0)),"DD/MM/YY")&amp;"  →  Expiry: "&amp;TEXT(INDEX('Input Data'!H:H,MATCH("601",'Input Data'!$C:$C,0)),"DD/MM/YY"),"—")</f>
        <v>Start: 01/12/21  →  Expiry: 31/01/27</v>
      </c>
      <c r="E70" s="434"/>
      <c r="F70" s="434"/>
      <c r="G70" s="434"/>
      <c r="H70" s="434"/>
      <c r="I70" s="434"/>
      <c r="J70" s="434"/>
      <c r="K70" s="434"/>
      <c r="L70" s="434"/>
      <c r="M70" s="434"/>
      <c r="N70" s="434"/>
      <c r="O70" s="434"/>
      <c r="P70" s="434"/>
      <c r="Q70" s="434"/>
      <c r="R70" s="434"/>
      <c r="S70" s="434"/>
      <c r="T70" s="413" t="str">
        <f ca="1">IFERROR("Start: "&amp;TEXT(INDEX('Input Data'!G:G,MATCH("602",'Input Data'!$C:$C,0)),"DD/MM/YY")&amp;"  →  Expiry: "&amp;TEXT(INDEX('Input Data'!H:H,MATCH("602",'Input Data'!$C:$C,0)),"DD/MM/YY"),"—")</f>
        <v>Start: 01/11/26  →  Expiry: 30/10/29</v>
      </c>
      <c r="U70" s="413"/>
      <c r="V70" s="413"/>
      <c r="W70" s="413"/>
      <c r="X70" s="413"/>
      <c r="Y70" s="413"/>
      <c r="Z70" s="413"/>
      <c r="AA70" s="413"/>
      <c r="AB70" s="413"/>
      <c r="AC70" s="413"/>
      <c r="AD70" s="413"/>
      <c r="AE70" s="5"/>
    </row>
    <row r="71" spans="1:31" ht="15" customHeight="1" x14ac:dyDescent="0.35">
      <c r="A71" s="5"/>
      <c r="B71" s="418"/>
      <c r="C71" s="418"/>
      <c r="D71" s="434" t="str">
        <f ca="1">IFERROR(IF((INDEX('Input Data'!H:H,MATCH("601",'Input Data'!$C:$C,0))-TODAY())&gt;0,TEXT((INDEX('Input Data'!H:H,MATCH("601",'Input Data'!$C:$C,0))-TODAY())/365.25,"0.0")&amp;" yrs remaining","⚠ EXPIRED"),"—")</f>
        <v>0.3 yrs remaining</v>
      </c>
      <c r="E71" s="434"/>
      <c r="F71" s="434"/>
      <c r="G71" s="434"/>
      <c r="H71" s="434"/>
      <c r="I71" s="434"/>
      <c r="J71" s="434"/>
      <c r="K71" s="434"/>
      <c r="L71" s="434"/>
      <c r="M71" s="434"/>
      <c r="N71" s="434"/>
      <c r="O71" s="434"/>
      <c r="P71" s="434"/>
      <c r="Q71" s="434"/>
      <c r="R71" s="434"/>
      <c r="S71" s="434"/>
      <c r="T71" s="413" t="str">
        <f ca="1">IFERROR(IF((INDEX('Input Data'!H:H,MATCH("602",'Input Data'!$C:$C,0))-TODAY())&gt;0,TEXT((INDEX('Input Data'!H:H,MATCH("602",'Input Data'!$C:$C,0))-TODAY())/365.25,"0.0")&amp;" yrs remaining","⚠ EXPIRED"),"—")</f>
        <v>3.0 yrs remaining</v>
      </c>
      <c r="U71" s="413"/>
      <c r="V71" s="413"/>
      <c r="W71" s="413"/>
      <c r="X71" s="413"/>
      <c r="Y71" s="413"/>
      <c r="Z71" s="413"/>
      <c r="AA71" s="413"/>
      <c r="AB71" s="413"/>
      <c r="AC71" s="413"/>
      <c r="AD71" s="413"/>
      <c r="AE71" s="5"/>
    </row>
    <row r="72" spans="1:31" ht="15" customHeight="1" x14ac:dyDescent="0.35">
      <c r="A72" s="5"/>
      <c r="B72" s="418"/>
      <c r="C72" s="418"/>
      <c r="D72" s="434" t="str">
        <f>""</f>
        <v/>
      </c>
      <c r="E72" s="434"/>
      <c r="F72" s="434"/>
      <c r="G72" s="434"/>
      <c r="H72" s="434"/>
      <c r="I72" s="434"/>
      <c r="J72" s="434"/>
      <c r="K72" s="434"/>
      <c r="L72" s="434"/>
      <c r="M72" s="434"/>
      <c r="N72" s="434"/>
      <c r="O72" s="434"/>
      <c r="P72" s="434"/>
      <c r="Q72" s="434"/>
      <c r="R72" s="434"/>
      <c r="S72" s="434"/>
      <c r="T72" s="413" t="str">
        <f>""</f>
        <v/>
      </c>
      <c r="U72" s="413"/>
      <c r="V72" s="413"/>
      <c r="W72" s="413"/>
      <c r="X72" s="413"/>
      <c r="Y72" s="413"/>
      <c r="Z72" s="413"/>
      <c r="AA72" s="413"/>
      <c r="AB72" s="413"/>
      <c r="AC72" s="413"/>
      <c r="AD72" s="413"/>
      <c r="AE72" s="5"/>
    </row>
    <row r="73" spans="1:31" ht="3.75" customHeight="1" x14ac:dyDescent="0.35">
      <c r="A73" s="5"/>
      <c r="B73" s="418"/>
      <c r="C73" s="418"/>
      <c r="D73" s="424" t="str">
        <f>""</f>
        <v/>
      </c>
      <c r="E73" s="424"/>
      <c r="F73" s="424"/>
      <c r="G73" s="424"/>
      <c r="H73" s="424"/>
      <c r="I73" s="424"/>
      <c r="J73" s="424"/>
      <c r="K73" s="424"/>
      <c r="L73" s="424"/>
      <c r="M73" s="424"/>
      <c r="N73" s="424"/>
      <c r="O73" s="424"/>
      <c r="P73" s="424"/>
      <c r="Q73" s="424"/>
      <c r="R73" s="424"/>
      <c r="S73" s="424"/>
      <c r="T73" s="424" t="str">
        <f>""</f>
        <v/>
      </c>
      <c r="U73" s="424"/>
      <c r="V73" s="424"/>
      <c r="W73" s="424"/>
      <c r="X73" s="424"/>
      <c r="Y73" s="424"/>
      <c r="Z73" s="424"/>
      <c r="AA73" s="424"/>
      <c r="AB73" s="424"/>
      <c r="AC73" s="424"/>
      <c r="AD73" s="424"/>
      <c r="AE73" s="5"/>
    </row>
    <row r="74" spans="1:31" ht="15" customHeight="1" x14ac:dyDescent="0.35">
      <c r="A74" s="5"/>
      <c r="B74" s="1"/>
      <c r="C74" s="1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spans="1:31" ht="19.5" customHeight="1" x14ac:dyDescent="0.35">
      <c r="A75" s="5"/>
      <c r="B75" s="418" t="s">
        <v>604</v>
      </c>
      <c r="C75" s="419">
        <f>SUMIF('Input Data'!B:B,"L05",'Input Data'!F:F)</f>
        <v>376.1</v>
      </c>
      <c r="D75" s="433" t="str">
        <f ca="1">IFERROR(INDEX('Input Data'!D:D,MATCH("501",'Input Data'!$C:$C,0)),"VACANT")</f>
        <v>MONTGOMERY INVESTMENT</v>
      </c>
      <c r="E75" s="433"/>
      <c r="F75" s="433"/>
      <c r="G75" s="433"/>
      <c r="H75" s="433"/>
      <c r="I75" s="433"/>
      <c r="J75" s="433"/>
      <c r="K75" s="433"/>
      <c r="L75" s="433"/>
      <c r="M75" s="433"/>
      <c r="N75" s="433"/>
      <c r="O75" s="433"/>
      <c r="P75" s="433"/>
      <c r="Q75" s="433"/>
      <c r="R75" s="433"/>
      <c r="S75" s="433" t="str">
        <f ca="1">IFERROR(INDEX('Input Data'!D:D,MATCH("502",'Input Data'!$C:$C,0)),"VACANT")</f>
        <v>THREAT DEFENCE</v>
      </c>
      <c r="T75" s="433"/>
      <c r="U75" s="433"/>
      <c r="V75" s="433"/>
      <c r="W75" s="433"/>
      <c r="X75" s="433"/>
      <c r="Y75" s="433"/>
      <c r="Z75" s="433"/>
      <c r="AA75" s="433"/>
      <c r="AB75" s="433"/>
      <c r="AC75" s="433"/>
      <c r="AD75" s="433"/>
      <c r="AE75" s="5"/>
    </row>
    <row r="76" spans="1:31" ht="15" customHeight="1" x14ac:dyDescent="0.35">
      <c r="A76" s="5"/>
      <c r="B76" s="418"/>
      <c r="C76" s="418"/>
      <c r="D76" s="434" t="str">
        <f>"Suite "&amp;"501"</f>
        <v>Suite 501</v>
      </c>
      <c r="E76" s="434"/>
      <c r="F76" s="434"/>
      <c r="G76" s="434"/>
      <c r="H76" s="434"/>
      <c r="I76" s="434"/>
      <c r="J76" s="434"/>
      <c r="K76" s="434"/>
      <c r="L76" s="434"/>
      <c r="M76" s="434"/>
      <c r="N76" s="434"/>
      <c r="O76" s="434"/>
      <c r="P76" s="434"/>
      <c r="Q76" s="434"/>
      <c r="R76" s="434"/>
      <c r="S76" s="434" t="str">
        <f>"Suite "&amp;"502"</f>
        <v>Suite 502</v>
      </c>
      <c r="T76" s="434"/>
      <c r="U76" s="434"/>
      <c r="V76" s="434"/>
      <c r="W76" s="434"/>
      <c r="X76" s="434"/>
      <c r="Y76" s="434"/>
      <c r="Z76" s="434"/>
      <c r="AA76" s="434"/>
      <c r="AB76" s="434"/>
      <c r="AC76" s="434"/>
      <c r="AD76" s="434"/>
      <c r="AE76" s="5"/>
    </row>
    <row r="77" spans="1:31" ht="15" customHeight="1" x14ac:dyDescent="0.35">
      <c r="A77" s="5"/>
      <c r="B77" s="418"/>
      <c r="C77" s="418"/>
      <c r="D77" s="434" t="str">
        <f>IFERROR(TEXT(INDEX('Input Data'!F:F,MATCH("501",'Input Data'!$C:$C,0)),"#,##0.0")&amp;" sqm"&amp;IF(INDEX('Input Data'!O:O,MATCH("501",'Input Data'!$C:$C,0))&gt;0,"  |  "&amp;TEXT(INDEX('Input Data'!O:O,MATCH("501",'Input Data'!$C:$C,0)),"0")&amp;" car parks",""),"")</f>
        <v>212.3 sqm</v>
      </c>
      <c r="E77" s="434"/>
      <c r="F77" s="434"/>
      <c r="G77" s="434"/>
      <c r="H77" s="434"/>
      <c r="I77" s="434"/>
      <c r="J77" s="434"/>
      <c r="K77" s="434"/>
      <c r="L77" s="434"/>
      <c r="M77" s="434"/>
      <c r="N77" s="434"/>
      <c r="O77" s="434"/>
      <c r="P77" s="434"/>
      <c r="Q77" s="434"/>
      <c r="R77" s="434"/>
      <c r="S77" s="434" t="str">
        <f>IFERROR(TEXT(INDEX('Input Data'!F:F,MATCH("502",'Input Data'!$C:$C,0)),"#,##0.0")&amp;" sqm"&amp;IF(INDEX('Input Data'!O:O,MATCH("502",'Input Data'!$C:$C,0))&gt;0,"  |  "&amp;TEXT(INDEX('Input Data'!O:O,MATCH("502",'Input Data'!$C:$C,0)),"0")&amp;" car parks",""),"")</f>
        <v>163.8 sqm</v>
      </c>
      <c r="T77" s="434"/>
      <c r="U77" s="434"/>
      <c r="V77" s="434"/>
      <c r="W77" s="434"/>
      <c r="X77" s="434"/>
      <c r="Y77" s="434"/>
      <c r="Z77" s="434"/>
      <c r="AA77" s="434"/>
      <c r="AB77" s="434"/>
      <c r="AC77" s="434"/>
      <c r="AD77" s="434"/>
      <c r="AE77" s="5"/>
    </row>
    <row r="78" spans="1:31" ht="15" customHeight="1" x14ac:dyDescent="0.35">
      <c r="A78" s="5"/>
      <c r="B78" s="418"/>
      <c r="C78" s="418"/>
      <c r="D78" s="434" t="str">
        <f ca="1">IFERROR("Face PSM: $"&amp;TEXT(INDEX('Input Data'!J:J,MATCH("501",'Input Data'!$C:$C,0)),"#,##0")&amp;"  |  Incent: "&amp;IF(INDEX('Input Data'!L:L,MATCH("501",'Input Data'!$C:$C,0))&lt;0,"$"&amp;TEXT(-INDEX('Input Data'!L:L,MATCH("501",'Input Data'!$C:$C,0))/INDEX('Input Data'!F:F,MATCH("501",'Input Data'!$C:$C,0)),"#,##0.00"),"nil"),"—")</f>
        <v>Face PSM: $1,341  |  Incent: $232.51</v>
      </c>
      <c r="E78" s="434"/>
      <c r="F78" s="434"/>
      <c r="G78" s="434"/>
      <c r="H78" s="434"/>
      <c r="I78" s="434"/>
      <c r="J78" s="434"/>
      <c r="K78" s="434"/>
      <c r="L78" s="434"/>
      <c r="M78" s="434"/>
      <c r="N78" s="434"/>
      <c r="O78" s="434"/>
      <c r="P78" s="434"/>
      <c r="Q78" s="434"/>
      <c r="R78" s="434"/>
      <c r="S78" s="434" t="str">
        <f>IFERROR("Face PSM: $"&amp;TEXT(INDEX('Input Data'!J:J,MATCH("502",'Input Data'!$C:$C,0)),"#,##0")&amp;"  |  Incent: "&amp;IF(INDEX('Input Data'!L:L,MATCH("502",'Input Data'!$C:$C,0))&lt;0,"$"&amp;TEXT(-INDEX('Input Data'!L:L,MATCH("502",'Input Data'!$C:$C,0))/INDEX('Input Data'!F:F,MATCH("502",'Input Data'!$C:$C,0)),"#,##0.00"),"nil"),"—")</f>
        <v>Face PSM: $1,055  |  Incent: $254.80</v>
      </c>
      <c r="T78" s="434"/>
      <c r="U78" s="434"/>
      <c r="V78" s="434"/>
      <c r="W78" s="434"/>
      <c r="X78" s="434"/>
      <c r="Y78" s="434"/>
      <c r="Z78" s="434"/>
      <c r="AA78" s="434"/>
      <c r="AB78" s="434"/>
      <c r="AC78" s="434"/>
      <c r="AD78" s="434"/>
      <c r="AE78" s="5"/>
    </row>
    <row r="79" spans="1:31" ht="15" customHeight="1" x14ac:dyDescent="0.35">
      <c r="A79" s="5"/>
      <c r="B79" s="418"/>
      <c r="C79" s="418"/>
      <c r="D79" s="434" t="str">
        <f ca="1">IFERROR("Outgoings: $"&amp;TEXT(INDEX('Input Data'!M:M,MATCH("501",'Input Data'!$C:$C,0))/INDEX('Input Data'!F:F,MATCH("501",'Input Data'!$C:$C,0)),"#,##0.00")&amp;" psm  |  Net: $"&amp;TEXT(INDEX('Input Data'!N:N,MATCH("501",'Input Data'!$C:$C,0)),"#,##0")&amp;" pa","—")</f>
        <v>Outgoings: $46.63 psm  |  Net: $235,383 pa</v>
      </c>
      <c r="E79" s="434"/>
      <c r="F79" s="434"/>
      <c r="G79" s="434"/>
      <c r="H79" s="434"/>
      <c r="I79" s="434"/>
      <c r="J79" s="434"/>
      <c r="K79" s="434"/>
      <c r="L79" s="434"/>
      <c r="M79" s="434"/>
      <c r="N79" s="434"/>
      <c r="O79" s="434"/>
      <c r="P79" s="434"/>
      <c r="Q79" s="434"/>
      <c r="R79" s="434"/>
      <c r="S79" s="434" t="str">
        <f ca="1">IFERROR("Outgoings: $"&amp;TEXT(INDEX('Input Data'!M:M,MATCH("502",'Input Data'!$C:$C,0))/INDEX('Input Data'!F:F,MATCH("502",'Input Data'!$C:$C,0)),"#,##0.00")&amp;" psm  |  Net: $"&amp;TEXT(INDEX('Input Data'!N:N,MATCH("502",'Input Data'!$C:$C,0)),"#,##0")&amp;" pa","—")</f>
        <v>Outgoings: $43.59 psm  |  Net: $131,053 pa</v>
      </c>
      <c r="T79" s="434"/>
      <c r="U79" s="434"/>
      <c r="V79" s="434"/>
      <c r="W79" s="434"/>
      <c r="X79" s="434"/>
      <c r="Y79" s="434"/>
      <c r="Z79" s="434"/>
      <c r="AA79" s="434"/>
      <c r="AB79" s="434"/>
      <c r="AC79" s="434"/>
      <c r="AD79" s="434"/>
      <c r="AE79" s="5"/>
    </row>
    <row r="80" spans="1:31" ht="15" customHeight="1" x14ac:dyDescent="0.35">
      <c r="A80" s="5"/>
      <c r="B80" s="418"/>
      <c r="C80" s="418"/>
      <c r="D80" s="434" t="str">
        <f ca="1">IFERROR("Start: "&amp;TEXT(INDEX('Input Data'!G:G,MATCH("501",'Input Data'!$C:$C,0)),"DD/MM/YY")&amp;"  →  Expiry: "&amp;TEXT(INDEX('Input Data'!H:H,MATCH("501",'Input Data'!$C:$C,0)),"DD/MM/YY"),"—")</f>
        <v>Start: 01/11/19  →  Expiry: 31/10/27</v>
      </c>
      <c r="E80" s="434"/>
      <c r="F80" s="434"/>
      <c r="G80" s="434"/>
      <c r="H80" s="434"/>
      <c r="I80" s="434"/>
      <c r="J80" s="434"/>
      <c r="K80" s="434"/>
      <c r="L80" s="434"/>
      <c r="M80" s="434"/>
      <c r="N80" s="434"/>
      <c r="O80" s="434"/>
      <c r="P80" s="434"/>
      <c r="Q80" s="434"/>
      <c r="R80" s="434"/>
      <c r="S80" s="434" t="str">
        <f ca="1">IFERROR("Start: "&amp;TEXT(INDEX('Input Data'!G:G,MATCH("502",'Input Data'!$C:$C,0)),"DD/MM/YY")&amp;"  →  Expiry: "&amp;TEXT(INDEX('Input Data'!H:H,MATCH("502",'Input Data'!$C:$C,0)),"DD/MM/YY"),"—")</f>
        <v>Start: 01/07/24  →  Expiry: 30/06/27</v>
      </c>
      <c r="T80" s="434"/>
      <c r="U80" s="434"/>
      <c r="V80" s="434"/>
      <c r="W80" s="434"/>
      <c r="X80" s="434"/>
      <c r="Y80" s="434"/>
      <c r="Z80" s="434"/>
      <c r="AA80" s="434"/>
      <c r="AB80" s="434"/>
      <c r="AC80" s="434"/>
      <c r="AD80" s="434"/>
      <c r="AE80" s="5"/>
    </row>
    <row r="81" spans="1:31" ht="15" customHeight="1" x14ac:dyDescent="0.35">
      <c r="A81" s="5"/>
      <c r="B81" s="418"/>
      <c r="C81" s="418"/>
      <c r="D81" s="434" t="str">
        <f ca="1">IFERROR(IF((INDEX('Input Data'!H:H,MATCH("501",'Input Data'!$C:$C,0))-TODAY())&gt;0,TEXT((INDEX('Input Data'!H:H,MATCH("501",'Input Data'!$C:$C,0))-TODAY())/365.25,"0.0")&amp;" yrs remaining","⚠ EXPIRED"),"—")</f>
        <v>1.0 yrs remaining</v>
      </c>
      <c r="E81" s="434"/>
      <c r="F81" s="434"/>
      <c r="G81" s="434"/>
      <c r="H81" s="434"/>
      <c r="I81" s="434"/>
      <c r="J81" s="434"/>
      <c r="K81" s="434"/>
      <c r="L81" s="434"/>
      <c r="M81" s="434"/>
      <c r="N81" s="434"/>
      <c r="O81" s="434"/>
      <c r="P81" s="434"/>
      <c r="Q81" s="434"/>
      <c r="R81" s="434"/>
      <c r="S81" s="434" t="str">
        <f ca="1">IFERROR(IF((INDEX('Input Data'!H:H,MATCH("502",'Input Data'!$C:$C,0))-TODAY())&gt;0,TEXT((INDEX('Input Data'!H:H,MATCH("502",'Input Data'!$C:$C,0))-TODAY())/365.25,"0.0")&amp;" yrs remaining","⚠ EXPIRED"),"—")</f>
        <v>0.7 yrs remaining</v>
      </c>
      <c r="T81" s="434"/>
      <c r="U81" s="434"/>
      <c r="V81" s="434"/>
      <c r="W81" s="434"/>
      <c r="X81" s="434"/>
      <c r="Y81" s="434"/>
      <c r="Z81" s="434"/>
      <c r="AA81" s="434"/>
      <c r="AB81" s="434"/>
      <c r="AC81" s="434"/>
      <c r="AD81" s="434"/>
      <c r="AE81" s="5"/>
    </row>
    <row r="82" spans="1:31" ht="15" customHeight="1" x14ac:dyDescent="0.35">
      <c r="A82" s="5"/>
      <c r="B82" s="418"/>
      <c r="C82" s="418"/>
      <c r="D82" s="434" t="str">
        <f>""</f>
        <v/>
      </c>
      <c r="E82" s="434"/>
      <c r="F82" s="434"/>
      <c r="G82" s="434"/>
      <c r="H82" s="434"/>
      <c r="I82" s="434"/>
      <c r="J82" s="434"/>
      <c r="K82" s="434"/>
      <c r="L82" s="434"/>
      <c r="M82" s="434"/>
      <c r="N82" s="434"/>
      <c r="O82" s="434"/>
      <c r="P82" s="434"/>
      <c r="Q82" s="434"/>
      <c r="R82" s="434"/>
      <c r="S82" s="434" t="str">
        <f>""</f>
        <v/>
      </c>
      <c r="T82" s="434"/>
      <c r="U82" s="434"/>
      <c r="V82" s="434"/>
      <c r="W82" s="434"/>
      <c r="X82" s="434"/>
      <c r="Y82" s="434"/>
      <c r="Z82" s="434"/>
      <c r="AA82" s="434"/>
      <c r="AB82" s="434"/>
      <c r="AC82" s="434"/>
      <c r="AD82" s="434"/>
      <c r="AE82" s="5"/>
    </row>
    <row r="83" spans="1:31" ht="3.75" customHeight="1" x14ac:dyDescent="0.35">
      <c r="A83" s="5"/>
      <c r="B83" s="418"/>
      <c r="C83" s="418"/>
      <c r="D83" s="424" t="str">
        <f>""</f>
        <v/>
      </c>
      <c r="E83" s="424"/>
      <c r="F83" s="424"/>
      <c r="G83" s="424"/>
      <c r="H83" s="424"/>
      <c r="I83" s="424"/>
      <c r="J83" s="424"/>
      <c r="K83" s="424"/>
      <c r="L83" s="424"/>
      <c r="M83" s="424"/>
      <c r="N83" s="424"/>
      <c r="O83" s="424"/>
      <c r="P83" s="424"/>
      <c r="Q83" s="424"/>
      <c r="R83" s="424"/>
      <c r="S83" s="424" t="str">
        <f>""</f>
        <v/>
      </c>
      <c r="T83" s="424"/>
      <c r="U83" s="424"/>
      <c r="V83" s="424"/>
      <c r="W83" s="424"/>
      <c r="X83" s="424"/>
      <c r="Y83" s="424"/>
      <c r="Z83" s="424"/>
      <c r="AA83" s="424"/>
      <c r="AB83" s="424"/>
      <c r="AC83" s="424"/>
      <c r="AD83" s="424"/>
      <c r="AE83" s="5"/>
    </row>
    <row r="84" spans="1:31" ht="15" customHeight="1" x14ac:dyDescent="0.35">
      <c r="A84" s="5"/>
      <c r="B84" s="1"/>
      <c r="C84" s="1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spans="1:31" ht="19.5" customHeight="1" x14ac:dyDescent="0.35">
      <c r="A85" s="5"/>
      <c r="B85" s="418" t="s">
        <v>605</v>
      </c>
      <c r="C85" s="419">
        <f>SUMIF('Input Data'!B:B,"L04",'Input Data'!F:F)</f>
        <v>359.7</v>
      </c>
      <c r="D85" s="425" t="str">
        <f ca="1">IFERROR(INDEX('Input Data'!D:D,MATCH("401",'Input Data'!$C:$C,0)),"VACANT")</f>
        <v>B-W INTERNATIONAL AUSTRALIA PTY LTD</v>
      </c>
      <c r="E85" s="425"/>
      <c r="F85" s="425"/>
      <c r="G85" s="425"/>
      <c r="H85" s="425"/>
      <c r="I85" s="425"/>
      <c r="J85" s="425"/>
      <c r="K85" s="425"/>
      <c r="L85" s="425"/>
      <c r="M85" s="425"/>
      <c r="N85" s="425"/>
      <c r="O85" s="425"/>
      <c r="P85" s="425"/>
      <c r="Q85" s="425"/>
      <c r="R85" s="425"/>
      <c r="S85" s="425"/>
      <c r="T85" s="425" t="str">
        <f ca="1">IFERROR(INDEX('Input Data'!D:D,MATCH("402",'Input Data'!$C:$C,0)),"VACANT")</f>
        <v>MP TRAVEL PTY LTD</v>
      </c>
      <c r="U85" s="425"/>
      <c r="V85" s="425"/>
      <c r="W85" s="425"/>
      <c r="X85" s="425"/>
      <c r="Y85" s="425"/>
      <c r="Z85" s="425"/>
      <c r="AA85" s="425"/>
      <c r="AB85" s="425"/>
      <c r="AC85" s="425"/>
      <c r="AD85" s="425"/>
      <c r="AE85" s="5"/>
    </row>
    <row r="86" spans="1:31" ht="15" customHeight="1" x14ac:dyDescent="0.35">
      <c r="A86" s="5"/>
      <c r="B86" s="418"/>
      <c r="C86" s="418"/>
      <c r="D86" s="426" t="str">
        <f>"Suite "&amp;"401"</f>
        <v>Suite 401</v>
      </c>
      <c r="E86" s="426"/>
      <c r="F86" s="426"/>
      <c r="G86" s="426"/>
      <c r="H86" s="426"/>
      <c r="I86" s="426"/>
      <c r="J86" s="426"/>
      <c r="K86" s="426"/>
      <c r="L86" s="426"/>
      <c r="M86" s="426"/>
      <c r="N86" s="426"/>
      <c r="O86" s="426"/>
      <c r="P86" s="426"/>
      <c r="Q86" s="426"/>
      <c r="R86" s="426"/>
      <c r="S86" s="426"/>
      <c r="T86" s="426" t="str">
        <f>"Suite "&amp;"402"</f>
        <v>Suite 402</v>
      </c>
      <c r="U86" s="426"/>
      <c r="V86" s="426"/>
      <c r="W86" s="426"/>
      <c r="X86" s="426"/>
      <c r="Y86" s="426"/>
      <c r="Z86" s="426"/>
      <c r="AA86" s="426"/>
      <c r="AB86" s="426"/>
      <c r="AC86" s="426"/>
      <c r="AD86" s="426"/>
      <c r="AE86" s="5"/>
    </row>
    <row r="87" spans="1:31" ht="15" customHeight="1" x14ac:dyDescent="0.35">
      <c r="A87" s="5"/>
      <c r="B87" s="418"/>
      <c r="C87" s="418"/>
      <c r="D87" s="426" t="str">
        <f>IFERROR(TEXT(INDEX('Input Data'!F:F,MATCH("401",'Input Data'!$C:$C,0)),"#,##0.0")&amp;" sqm"&amp;IF(INDEX('Input Data'!O:O,MATCH("401",'Input Data'!$C:$C,0))&gt;0,"  |  "&amp;TEXT(INDEX('Input Data'!O:O,MATCH("401",'Input Data'!$C:$C,0)),"0")&amp;" car parks",""),"")</f>
        <v>214.1 sqm</v>
      </c>
      <c r="E87" s="426"/>
      <c r="F87" s="426"/>
      <c r="G87" s="426"/>
      <c r="H87" s="426"/>
      <c r="I87" s="426"/>
      <c r="J87" s="426"/>
      <c r="K87" s="426"/>
      <c r="L87" s="426"/>
      <c r="M87" s="426"/>
      <c r="N87" s="426"/>
      <c r="O87" s="426"/>
      <c r="P87" s="426"/>
      <c r="Q87" s="426"/>
      <c r="R87" s="426"/>
      <c r="S87" s="426"/>
      <c r="T87" s="426" t="str">
        <f>IFERROR(TEXT(INDEX('Input Data'!F:F,MATCH("402",'Input Data'!$C:$C,0)),"#,##0.0")&amp;" sqm"&amp;IF(INDEX('Input Data'!O:O,MATCH("402",'Input Data'!$C:$C,0))&gt;0,"  |  "&amp;TEXT(INDEX('Input Data'!O:O,MATCH("402",'Input Data'!$C:$C,0)),"0")&amp;" car parks",""),"")</f>
        <v>145.6 sqm</v>
      </c>
      <c r="U87" s="426"/>
      <c r="V87" s="426"/>
      <c r="W87" s="426"/>
      <c r="X87" s="426"/>
      <c r="Y87" s="426"/>
      <c r="Z87" s="426"/>
      <c r="AA87" s="426"/>
      <c r="AB87" s="426"/>
      <c r="AC87" s="426"/>
      <c r="AD87" s="426"/>
      <c r="AE87" s="5"/>
    </row>
    <row r="88" spans="1:31" ht="15" customHeight="1" x14ac:dyDescent="0.35">
      <c r="A88" s="5"/>
      <c r="B88" s="418"/>
      <c r="C88" s="418"/>
      <c r="D88" s="426" t="str">
        <f ca="1">IFERROR("Face PSM: $"&amp;TEXT(INDEX('Input Data'!J:J,MATCH("401",'Input Data'!$C:$C,0)),"#,##0")&amp;"  |  Incent: "&amp;IF(INDEX('Input Data'!L:L,MATCH("401",'Input Data'!$C:$C,0))&lt;0,"$"&amp;TEXT(-INDEX('Input Data'!L:L,MATCH("401",'Input Data'!$C:$C,0))/INDEX('Input Data'!F:F,MATCH("401",'Input Data'!$C:$C,0)),"#,##0.00"),"nil"),"—")</f>
        <v>Face PSM: $1,136  |  Incent: $253.17</v>
      </c>
      <c r="E88" s="426"/>
      <c r="F88" s="426"/>
      <c r="G88" s="426"/>
      <c r="H88" s="426"/>
      <c r="I88" s="426"/>
      <c r="J88" s="426"/>
      <c r="K88" s="426"/>
      <c r="L88" s="426"/>
      <c r="M88" s="426"/>
      <c r="N88" s="426"/>
      <c r="O88" s="426"/>
      <c r="P88" s="426"/>
      <c r="Q88" s="426"/>
      <c r="R88" s="426"/>
      <c r="S88" s="426"/>
      <c r="T88" s="426" t="str">
        <f ca="1">IFERROR("Face PSM: $"&amp;TEXT(INDEX('Input Data'!J:J,MATCH("402",'Input Data'!$C:$C,0)),"#,##0")&amp;"  |  Incent: "&amp;IF(INDEX('Input Data'!L:L,MATCH("402",'Input Data'!$C:$C,0))&lt;0,"$"&amp;TEXT(-INDEX('Input Data'!L:L,MATCH("402",'Input Data'!$C:$C,0))/INDEX('Input Data'!F:F,MATCH("402",'Input Data'!$C:$C,0)),"#,##0.00"),"nil"),"—")</f>
        <v>Face PSM: $1,038  |  Incent: $121.40</v>
      </c>
      <c r="U88" s="426"/>
      <c r="V88" s="426"/>
      <c r="W88" s="426"/>
      <c r="X88" s="426"/>
      <c r="Y88" s="426"/>
      <c r="Z88" s="426"/>
      <c r="AA88" s="426"/>
      <c r="AB88" s="426"/>
      <c r="AC88" s="426"/>
      <c r="AD88" s="426"/>
      <c r="AE88" s="5"/>
    </row>
    <row r="89" spans="1:31" ht="15" customHeight="1" x14ac:dyDescent="0.35">
      <c r="A89" s="5"/>
      <c r="B89" s="418"/>
      <c r="C89" s="418"/>
      <c r="D89" s="426" t="str">
        <f ca="1">IFERROR("Outgoings: $"&amp;TEXT(INDEX('Input Data'!M:M,MATCH("401",'Input Data'!$C:$C,0))/INDEX('Input Data'!F:F,MATCH("401",'Input Data'!$C:$C,0)),"#,##0.00")&amp;" psm  |  Net: $"&amp;TEXT(INDEX('Input Data'!N:N,MATCH("401",'Input Data'!$C:$C,0)),"#,##0")&amp;" pa","—")</f>
        <v>Outgoings: $40.64 psm  |  Net: $188,930 pa</v>
      </c>
      <c r="E89" s="426"/>
      <c r="F89" s="426"/>
      <c r="G89" s="426"/>
      <c r="H89" s="426"/>
      <c r="I89" s="426"/>
      <c r="J89" s="426"/>
      <c r="K89" s="426"/>
      <c r="L89" s="426"/>
      <c r="M89" s="426"/>
      <c r="N89" s="426"/>
      <c r="O89" s="426"/>
      <c r="P89" s="426"/>
      <c r="Q89" s="426"/>
      <c r="R89" s="426"/>
      <c r="S89" s="426"/>
      <c r="T89" s="426" t="str">
        <f ca="1">IFERROR("Outgoings: $"&amp;TEXT(INDEX('Input Data'!M:M,MATCH("402",'Input Data'!$C:$C,0))/INDEX('Input Data'!F:F,MATCH("402",'Input Data'!$C:$C,0)),"#,##0.00")&amp;" psm  |  Net: $"&amp;TEXT(INDEX('Input Data'!N:N,MATCH("402",'Input Data'!$C:$C,0)),"#,##0")&amp;" pa","—")</f>
        <v>Outgoings: $41.21 psm  |  Net: $133,384 pa</v>
      </c>
      <c r="U89" s="426"/>
      <c r="V89" s="426"/>
      <c r="W89" s="426"/>
      <c r="X89" s="426"/>
      <c r="Y89" s="426"/>
      <c r="Z89" s="426"/>
      <c r="AA89" s="426"/>
      <c r="AB89" s="426"/>
      <c r="AC89" s="426"/>
      <c r="AD89" s="426"/>
      <c r="AE89" s="5"/>
    </row>
    <row r="90" spans="1:31" ht="15" customHeight="1" x14ac:dyDescent="0.35">
      <c r="A90" s="5"/>
      <c r="B90" s="418"/>
      <c r="C90" s="418"/>
      <c r="D90" s="426" t="str">
        <f ca="1">IFERROR("Start: "&amp;TEXT(INDEX('Input Data'!G:G,MATCH("401",'Input Data'!$C:$C,0)),"DD/MM/YY")&amp;"  →  Expiry: "&amp;TEXT(INDEX('Input Data'!H:H,MATCH("401",'Input Data'!$C:$C,0)),"DD/MM/YY"),"—")</f>
        <v>Start: 01/03/24  →  Expiry: 28/02/29</v>
      </c>
      <c r="E90" s="426"/>
      <c r="F90" s="426"/>
      <c r="G90" s="426"/>
      <c r="H90" s="426"/>
      <c r="I90" s="426"/>
      <c r="J90" s="426"/>
      <c r="K90" s="426"/>
      <c r="L90" s="426"/>
      <c r="M90" s="426"/>
      <c r="N90" s="426"/>
      <c r="O90" s="426"/>
      <c r="P90" s="426"/>
      <c r="Q90" s="426"/>
      <c r="R90" s="426"/>
      <c r="S90" s="426"/>
      <c r="T90" s="426" t="str">
        <f ca="1">IFERROR("Start: "&amp;TEXT(INDEX('Input Data'!G:G,MATCH("402",'Input Data'!$C:$C,0)),"DD/MM/YY")&amp;"  →  Expiry: "&amp;TEXT(INDEX('Input Data'!H:H,MATCH("402",'Input Data'!$C:$C,0)),"DD/MM/YY"),"—")</f>
        <v>Start: 01/01/25  →  Expiry: 31/12/29</v>
      </c>
      <c r="U90" s="426"/>
      <c r="V90" s="426"/>
      <c r="W90" s="426"/>
      <c r="X90" s="426"/>
      <c r="Y90" s="426"/>
      <c r="Z90" s="426"/>
      <c r="AA90" s="426"/>
      <c r="AB90" s="426"/>
      <c r="AC90" s="426"/>
      <c r="AD90" s="426"/>
      <c r="AE90" s="5"/>
    </row>
    <row r="91" spans="1:31" ht="15" customHeight="1" x14ac:dyDescent="0.35">
      <c r="A91" s="5"/>
      <c r="B91" s="418"/>
      <c r="C91" s="418"/>
      <c r="D91" s="426" t="str">
        <f ca="1">IFERROR(IF((INDEX('Input Data'!H:H,MATCH("401",'Input Data'!$C:$C,0))-TODAY())&gt;0,TEXT((INDEX('Input Data'!H:H,MATCH("401",'Input Data'!$C:$C,0))-TODAY())/365.25,"0.0")&amp;" yrs remaining","⚠ EXPIRED"),"—")</f>
        <v>2.4 yrs remaining</v>
      </c>
      <c r="E91" s="426"/>
      <c r="F91" s="426"/>
      <c r="G91" s="426"/>
      <c r="H91" s="426"/>
      <c r="I91" s="426"/>
      <c r="J91" s="426"/>
      <c r="K91" s="426"/>
      <c r="L91" s="426"/>
      <c r="M91" s="426"/>
      <c r="N91" s="426"/>
      <c r="O91" s="426"/>
      <c r="P91" s="426"/>
      <c r="Q91" s="426"/>
      <c r="R91" s="426"/>
      <c r="S91" s="426"/>
      <c r="T91" s="426" t="str">
        <f ca="1">IFERROR(IF((INDEX('Input Data'!H:H,MATCH("402",'Input Data'!$C:$C,0))-TODAY())&gt;0,TEXT((INDEX('Input Data'!H:H,MATCH("402",'Input Data'!$C:$C,0))-TODAY())/365.25,"0.0")&amp;" yrs remaining","⚠ EXPIRED"),"—")</f>
        <v>3.2 yrs remaining</v>
      </c>
      <c r="U91" s="426"/>
      <c r="V91" s="426"/>
      <c r="W91" s="426"/>
      <c r="X91" s="426"/>
      <c r="Y91" s="426"/>
      <c r="Z91" s="426"/>
      <c r="AA91" s="426"/>
      <c r="AB91" s="426"/>
      <c r="AC91" s="426"/>
      <c r="AD91" s="426"/>
      <c r="AE91" s="5"/>
    </row>
    <row r="92" spans="1:31" ht="15" customHeight="1" x14ac:dyDescent="0.35">
      <c r="A92" s="5"/>
      <c r="B92" s="418"/>
      <c r="C92" s="418"/>
      <c r="D92" s="426" t="str">
        <f>""</f>
        <v/>
      </c>
      <c r="E92" s="426"/>
      <c r="F92" s="426"/>
      <c r="G92" s="426"/>
      <c r="H92" s="426"/>
      <c r="I92" s="426"/>
      <c r="J92" s="426"/>
      <c r="K92" s="426"/>
      <c r="L92" s="426"/>
      <c r="M92" s="426"/>
      <c r="N92" s="426"/>
      <c r="O92" s="426"/>
      <c r="P92" s="426"/>
      <c r="Q92" s="426"/>
      <c r="R92" s="426"/>
      <c r="S92" s="426"/>
      <c r="T92" s="426" t="str">
        <f>""</f>
        <v/>
      </c>
      <c r="U92" s="426"/>
      <c r="V92" s="426"/>
      <c r="W92" s="426"/>
      <c r="X92" s="426"/>
      <c r="Y92" s="426"/>
      <c r="Z92" s="426"/>
      <c r="AA92" s="426"/>
      <c r="AB92" s="426"/>
      <c r="AC92" s="426"/>
      <c r="AD92" s="426"/>
      <c r="AE92" s="5"/>
    </row>
    <row r="93" spans="1:31" ht="3.75" customHeight="1" x14ac:dyDescent="0.35">
      <c r="A93" s="5"/>
      <c r="B93" s="418"/>
      <c r="C93" s="418"/>
      <c r="D93" s="424" t="str">
        <f>""</f>
        <v/>
      </c>
      <c r="E93" s="424"/>
      <c r="F93" s="424"/>
      <c r="G93" s="424"/>
      <c r="H93" s="424"/>
      <c r="I93" s="424"/>
      <c r="J93" s="424"/>
      <c r="K93" s="424"/>
      <c r="L93" s="424"/>
      <c r="M93" s="424"/>
      <c r="N93" s="424"/>
      <c r="O93" s="424"/>
      <c r="P93" s="424"/>
      <c r="Q93" s="424"/>
      <c r="R93" s="424"/>
      <c r="S93" s="424"/>
      <c r="T93" s="424" t="str">
        <f>""</f>
        <v/>
      </c>
      <c r="U93" s="424"/>
      <c r="V93" s="424"/>
      <c r="W93" s="424"/>
      <c r="X93" s="424"/>
      <c r="Y93" s="424"/>
      <c r="Z93" s="424"/>
      <c r="AA93" s="424"/>
      <c r="AB93" s="424"/>
      <c r="AC93" s="424"/>
      <c r="AD93" s="424"/>
      <c r="AE93" s="5"/>
    </row>
    <row r="94" spans="1:31" ht="15" customHeight="1" x14ac:dyDescent="0.35">
      <c r="A94" s="5"/>
      <c r="B94" s="1"/>
      <c r="C94" s="1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spans="1:31" ht="19.5" customHeight="1" x14ac:dyDescent="0.35">
      <c r="A95" s="5"/>
      <c r="B95" s="418" t="s">
        <v>606</v>
      </c>
      <c r="C95" s="419">
        <f>SUMIF('Input Data'!B:B,"L03",'Input Data'!F:F)</f>
        <v>357.6</v>
      </c>
      <c r="D95" s="433" t="str">
        <f ca="1">IFERROR(INDEX('Input Data'!D:D,MATCH("301&amp;2",'Input Data'!$C:$C,0)),"VACANT")</f>
        <v>IPM RESIDENTIAL PTY LTD</v>
      </c>
      <c r="E95" s="433"/>
      <c r="F95" s="433"/>
      <c r="G95" s="433"/>
      <c r="H95" s="433"/>
      <c r="I95" s="433"/>
      <c r="J95" s="433"/>
      <c r="K95" s="433"/>
      <c r="L95" s="433"/>
      <c r="M95" s="433"/>
      <c r="N95" s="433"/>
      <c r="O95" s="433"/>
      <c r="P95" s="431" t="str">
        <f ca="1">IFERROR(INDEX('Input Data'!D:D,MATCH("303&amp;4",'Input Data'!$C:$C,0)),"VACANT")</f>
        <v>BROADRIDGE (AUSTRALIA) PTY LTD</v>
      </c>
      <c r="Q95" s="431"/>
      <c r="R95" s="431"/>
      <c r="S95" s="431"/>
      <c r="T95" s="431"/>
      <c r="U95" s="431"/>
      <c r="V95" s="431"/>
      <c r="W95" s="431"/>
      <c r="X95" s="431"/>
      <c r="Y95" s="431"/>
      <c r="Z95" s="431"/>
      <c r="AA95" s="431"/>
      <c r="AB95" s="431"/>
      <c r="AC95" s="431"/>
      <c r="AD95" s="431"/>
      <c r="AE95" s="5"/>
    </row>
    <row r="96" spans="1:31" ht="15" customHeight="1" x14ac:dyDescent="0.35">
      <c r="A96" s="5"/>
      <c r="B96" s="418"/>
      <c r="C96" s="418"/>
      <c r="D96" s="434" t="str">
        <f>"Suite "&amp;"301&amp;2"</f>
        <v>Suite 301&amp;2</v>
      </c>
      <c r="E96" s="434"/>
      <c r="F96" s="434"/>
      <c r="G96" s="434"/>
      <c r="H96" s="434"/>
      <c r="I96" s="434"/>
      <c r="J96" s="434"/>
      <c r="K96" s="434"/>
      <c r="L96" s="434"/>
      <c r="M96" s="434"/>
      <c r="N96" s="434"/>
      <c r="O96" s="434"/>
      <c r="P96" s="432" t="str">
        <f>"Suite "&amp;"303&amp;4"</f>
        <v>Suite 303&amp;4</v>
      </c>
      <c r="Q96" s="432"/>
      <c r="R96" s="432"/>
      <c r="S96" s="432"/>
      <c r="T96" s="432"/>
      <c r="U96" s="432"/>
      <c r="V96" s="432"/>
      <c r="W96" s="432"/>
      <c r="X96" s="432"/>
      <c r="Y96" s="432"/>
      <c r="Z96" s="432"/>
      <c r="AA96" s="432"/>
      <c r="AB96" s="432"/>
      <c r="AC96" s="432"/>
      <c r="AD96" s="432"/>
      <c r="AE96" s="5"/>
    </row>
    <row r="97" spans="1:31" ht="15" customHeight="1" x14ac:dyDescent="0.35">
      <c r="A97" s="5"/>
      <c r="B97" s="418"/>
      <c r="C97" s="418"/>
      <c r="D97" s="434" t="str">
        <f>IFERROR(TEXT(INDEX('Input Data'!F:F,MATCH("301&amp;2",'Input Data'!$C:$C,0)),"#,##0.0")&amp;" sqm"&amp;IF(INDEX('Input Data'!O:O,MATCH("301&amp;2",'Input Data'!$C:$C,0))&gt;0,"  |  "&amp;TEXT(INDEX('Input Data'!O:O,MATCH("301&amp;2",'Input Data'!$C:$C,0)),"0")&amp;" car parks",""),"")</f>
        <v>164.2 sqm  |  2 car parks</v>
      </c>
      <c r="E97" s="434"/>
      <c r="F97" s="434"/>
      <c r="G97" s="434"/>
      <c r="H97" s="434"/>
      <c r="I97" s="434"/>
      <c r="J97" s="434"/>
      <c r="K97" s="434"/>
      <c r="L97" s="434"/>
      <c r="M97" s="434"/>
      <c r="N97" s="434"/>
      <c r="O97" s="434"/>
      <c r="P97" s="432" t="str">
        <f>IFERROR(TEXT(INDEX('Input Data'!F:F,MATCH("303&amp;4",'Input Data'!$C:$C,0)),"#,##0.0")&amp;" sqm"&amp;IF(INDEX('Input Data'!O:O,MATCH("303&amp;4",'Input Data'!$C:$C,0))&gt;0,"  |  "&amp;TEXT(INDEX('Input Data'!O:O,MATCH("303&amp;4",'Input Data'!$C:$C,0)),"0")&amp;" car parks",""),"")</f>
        <v>193.4 sqm</v>
      </c>
      <c r="Q97" s="432"/>
      <c r="R97" s="432"/>
      <c r="S97" s="432"/>
      <c r="T97" s="432"/>
      <c r="U97" s="432"/>
      <c r="V97" s="432"/>
      <c r="W97" s="432"/>
      <c r="X97" s="432"/>
      <c r="Y97" s="432"/>
      <c r="Z97" s="432"/>
      <c r="AA97" s="432"/>
      <c r="AB97" s="432"/>
      <c r="AC97" s="432"/>
      <c r="AD97" s="432"/>
      <c r="AE97" s="5"/>
    </row>
    <row r="98" spans="1:31" ht="15" customHeight="1" x14ac:dyDescent="0.35">
      <c r="A98" s="5"/>
      <c r="B98" s="418"/>
      <c r="C98" s="418"/>
      <c r="D98" s="434" t="str">
        <f>IFERROR("Face PSM: $"&amp;TEXT(INDEX('Input Data'!J:J,MATCH("301&amp;2",'Input Data'!$C:$C,0)),"#,##0")&amp;"  |  Incent: "&amp;IF(INDEX('Input Data'!L:L,MATCH("301&amp;2",'Input Data'!$C:$C,0))&lt;0,"$"&amp;TEXT(-INDEX('Input Data'!L:L,MATCH("301&amp;2",'Input Data'!$C:$C,0))/INDEX('Input Data'!F:F,MATCH("301&amp;2",'Input Data'!$C:$C,0)),"#,##0.00"),"nil"),"—")</f>
        <v>Face PSM: $1,217  |  Incent: $94.50</v>
      </c>
      <c r="E98" s="434"/>
      <c r="F98" s="434"/>
      <c r="G98" s="434"/>
      <c r="H98" s="434"/>
      <c r="I98" s="434"/>
      <c r="J98" s="434"/>
      <c r="K98" s="434"/>
      <c r="L98" s="434"/>
      <c r="M98" s="434"/>
      <c r="N98" s="434"/>
      <c r="O98" s="434"/>
      <c r="P98" s="432" t="str">
        <f ca="1">IFERROR("Face PSM: $"&amp;TEXT(INDEX('Input Data'!J:J,MATCH("303&amp;4",'Input Data'!$C:$C,0)),"#,##0")&amp;"  |  Incent: "&amp;IF(INDEX('Input Data'!L:L,MATCH("303&amp;4",'Input Data'!$C:$C,0))&lt;0,"$"&amp;TEXT(-INDEX('Input Data'!L:L,MATCH("303&amp;4",'Input Data'!$C:$C,0))/INDEX('Input Data'!F:F,MATCH("303&amp;4",'Input Data'!$C:$C,0)),"#,##0.00"),"nil"),"—")</f>
        <v>Face PSM: $934  |  Incent: $108.39</v>
      </c>
      <c r="Q98" s="432"/>
      <c r="R98" s="432"/>
      <c r="S98" s="432"/>
      <c r="T98" s="432"/>
      <c r="U98" s="432"/>
      <c r="V98" s="432"/>
      <c r="W98" s="432"/>
      <c r="X98" s="432"/>
      <c r="Y98" s="432"/>
      <c r="Z98" s="432"/>
      <c r="AA98" s="432"/>
      <c r="AB98" s="432"/>
      <c r="AC98" s="432"/>
      <c r="AD98" s="432"/>
      <c r="AE98" s="5"/>
    </row>
    <row r="99" spans="1:31" ht="15" customHeight="1" x14ac:dyDescent="0.35">
      <c r="A99" s="5"/>
      <c r="B99" s="418"/>
      <c r="C99" s="418"/>
      <c r="D99" s="434" t="str">
        <f ca="1">IFERROR("Outgoings: $"&amp;TEXT(INDEX('Input Data'!M:M,MATCH("301&amp;2",'Input Data'!$C:$C,0))/INDEX('Input Data'!F:F,MATCH("301&amp;2",'Input Data'!$C:$C,0)),"#,##0.00")&amp;" psm  |  Net: $"&amp;TEXT(INDEX('Input Data'!N:N,MATCH("301&amp;2",'Input Data'!$C:$C,0)),"#,##0")&amp;" pa","—")</f>
        <v>Outgoings: $60.29 psm  |  Net: $184,245 pa</v>
      </c>
      <c r="E99" s="434"/>
      <c r="F99" s="434"/>
      <c r="G99" s="434"/>
      <c r="H99" s="434"/>
      <c r="I99" s="434"/>
      <c r="J99" s="434"/>
      <c r="K99" s="434"/>
      <c r="L99" s="434"/>
      <c r="M99" s="434"/>
      <c r="N99" s="434"/>
      <c r="O99" s="434"/>
      <c r="P99" s="432" t="str">
        <f ca="1">IFERROR("Outgoings: $"&amp;TEXT(INDEX('Input Data'!M:M,MATCH("303&amp;4",'Input Data'!$C:$C,0))/INDEX('Input Data'!F:F,MATCH("303&amp;4",'Input Data'!$C:$C,0)),"#,##0.00")&amp;" psm  |  Net: $"&amp;TEXT(INDEX('Input Data'!N:N,MATCH("303&amp;4",'Input Data'!$C:$C,0)),"#,##0")&amp;" pa","—")</f>
        <v>Outgoings: $32.57 psm  |  Net: $159,625 pa</v>
      </c>
      <c r="Q99" s="432"/>
      <c r="R99" s="432"/>
      <c r="S99" s="432"/>
      <c r="T99" s="432"/>
      <c r="U99" s="432"/>
      <c r="V99" s="432"/>
      <c r="W99" s="432"/>
      <c r="X99" s="432"/>
      <c r="Y99" s="432"/>
      <c r="Z99" s="432"/>
      <c r="AA99" s="432"/>
      <c r="AB99" s="432"/>
      <c r="AC99" s="432"/>
      <c r="AD99" s="432"/>
      <c r="AE99" s="5"/>
    </row>
    <row r="100" spans="1:31" ht="15" customHeight="1" x14ac:dyDescent="0.35">
      <c r="A100" s="5"/>
      <c r="B100" s="418"/>
      <c r="C100" s="418"/>
      <c r="D100" s="434" t="str">
        <f ca="1">IFERROR("Start: "&amp;TEXT(INDEX('Input Data'!G:G,MATCH("301&amp;2",'Input Data'!$C:$C,0)),"DD/MM/YY")&amp;"  →  Expiry: "&amp;TEXT(INDEX('Input Data'!H:H,MATCH("301&amp;2",'Input Data'!$C:$C,0)),"DD/MM/YY"),"—")</f>
        <v>Start: 01/06/22  →  Expiry: 31/05/27</v>
      </c>
      <c r="E100" s="434"/>
      <c r="F100" s="434"/>
      <c r="G100" s="434"/>
      <c r="H100" s="434"/>
      <c r="I100" s="434"/>
      <c r="J100" s="434"/>
      <c r="K100" s="434"/>
      <c r="L100" s="434"/>
      <c r="M100" s="434"/>
      <c r="N100" s="434"/>
      <c r="O100" s="434"/>
      <c r="P100" s="432" t="str">
        <f ca="1">IFERROR("Start: "&amp;TEXT(INDEX('Input Data'!G:G,MATCH("303&amp;4",'Input Data'!$C:$C,0)),"DD/MM/YY")&amp;"  →  Expiry: "&amp;TEXT(INDEX('Input Data'!H:H,MATCH("303&amp;4",'Input Data'!$C:$C,0)),"DD/MM/YY"),"—")</f>
        <v>Start: 01/10/24  →  Expiry: 30/09/28</v>
      </c>
      <c r="Q100" s="432"/>
      <c r="R100" s="432"/>
      <c r="S100" s="432"/>
      <c r="T100" s="432"/>
      <c r="U100" s="432"/>
      <c r="V100" s="432"/>
      <c r="W100" s="432"/>
      <c r="X100" s="432"/>
      <c r="Y100" s="432"/>
      <c r="Z100" s="432"/>
      <c r="AA100" s="432"/>
      <c r="AB100" s="432"/>
      <c r="AC100" s="432"/>
      <c r="AD100" s="432"/>
      <c r="AE100" s="5"/>
    </row>
    <row r="101" spans="1:31" ht="15" customHeight="1" x14ac:dyDescent="0.35">
      <c r="A101" s="5"/>
      <c r="B101" s="418"/>
      <c r="C101" s="418"/>
      <c r="D101" s="434" t="str">
        <f ca="1">IFERROR(IF((INDEX('Input Data'!H:H,MATCH("301&amp;2",'Input Data'!$C:$C,0))-TODAY())&gt;0,TEXT((INDEX('Input Data'!H:H,MATCH("301&amp;2",'Input Data'!$C:$C,0))-TODAY())/365.25,"0.0")&amp;" yrs remaining","⚠ EXPIRED"),"—")</f>
        <v>0.6 yrs remaining</v>
      </c>
      <c r="E101" s="434"/>
      <c r="F101" s="434"/>
      <c r="G101" s="434"/>
      <c r="H101" s="434"/>
      <c r="I101" s="434"/>
      <c r="J101" s="434"/>
      <c r="K101" s="434"/>
      <c r="L101" s="434"/>
      <c r="M101" s="434"/>
      <c r="N101" s="434"/>
      <c r="O101" s="434"/>
      <c r="P101" s="432" t="str">
        <f ca="1">IFERROR(IF((INDEX('Input Data'!H:H,MATCH("303&amp;4",'Input Data'!$C:$C,0))-TODAY())&gt;0,TEXT((INDEX('Input Data'!H:H,MATCH("303&amp;4",'Input Data'!$C:$C,0))-TODAY())/365.25,"0.0")&amp;" yrs remaining","⚠ EXPIRED"),"—")</f>
        <v>2.0 yrs remaining</v>
      </c>
      <c r="Q101" s="432"/>
      <c r="R101" s="432"/>
      <c r="S101" s="432"/>
      <c r="T101" s="432"/>
      <c r="U101" s="432"/>
      <c r="V101" s="432"/>
      <c r="W101" s="432"/>
      <c r="X101" s="432"/>
      <c r="Y101" s="432"/>
      <c r="Z101" s="432"/>
      <c r="AA101" s="432"/>
      <c r="AB101" s="432"/>
      <c r="AC101" s="432"/>
      <c r="AD101" s="432"/>
      <c r="AE101" s="5"/>
    </row>
    <row r="102" spans="1:31" ht="15" customHeight="1" x14ac:dyDescent="0.35">
      <c r="A102" s="5"/>
      <c r="B102" s="418"/>
      <c r="C102" s="418"/>
      <c r="D102" s="434" t="str">
        <f>""</f>
        <v/>
      </c>
      <c r="E102" s="434"/>
      <c r="F102" s="434"/>
      <c r="G102" s="434"/>
      <c r="H102" s="434"/>
      <c r="I102" s="434"/>
      <c r="J102" s="434"/>
      <c r="K102" s="434"/>
      <c r="L102" s="434"/>
      <c r="M102" s="434"/>
      <c r="N102" s="434"/>
      <c r="O102" s="434"/>
      <c r="P102" s="432" t="str">
        <f>""</f>
        <v/>
      </c>
      <c r="Q102" s="432"/>
      <c r="R102" s="432"/>
      <c r="S102" s="432"/>
      <c r="T102" s="432"/>
      <c r="U102" s="432"/>
      <c r="V102" s="432"/>
      <c r="W102" s="432"/>
      <c r="X102" s="432"/>
      <c r="Y102" s="432"/>
      <c r="Z102" s="432"/>
      <c r="AA102" s="432"/>
      <c r="AB102" s="432"/>
      <c r="AC102" s="432"/>
      <c r="AD102" s="432"/>
      <c r="AE102" s="5"/>
    </row>
    <row r="103" spans="1:31" ht="3.75" customHeight="1" x14ac:dyDescent="0.35">
      <c r="A103" s="5"/>
      <c r="B103" s="418"/>
      <c r="C103" s="418"/>
      <c r="D103" s="424" t="str">
        <f>""</f>
        <v/>
      </c>
      <c r="E103" s="424"/>
      <c r="F103" s="424"/>
      <c r="G103" s="424"/>
      <c r="H103" s="424"/>
      <c r="I103" s="424"/>
      <c r="J103" s="424"/>
      <c r="K103" s="424"/>
      <c r="L103" s="424"/>
      <c r="M103" s="424"/>
      <c r="N103" s="424"/>
      <c r="O103" s="424"/>
      <c r="P103" s="424" t="str">
        <f>""</f>
        <v/>
      </c>
      <c r="Q103" s="424"/>
      <c r="R103" s="424"/>
      <c r="S103" s="424"/>
      <c r="T103" s="424"/>
      <c r="U103" s="424"/>
      <c r="V103" s="424"/>
      <c r="W103" s="424"/>
      <c r="X103" s="424"/>
      <c r="Y103" s="424"/>
      <c r="Z103" s="424"/>
      <c r="AA103" s="424"/>
      <c r="AB103" s="424"/>
      <c r="AC103" s="424"/>
      <c r="AD103" s="424"/>
      <c r="AE103" s="5"/>
    </row>
    <row r="104" spans="1:31" ht="15" customHeight="1" x14ac:dyDescent="0.35">
      <c r="A104" s="5"/>
      <c r="B104" s="1"/>
      <c r="C104" s="1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 spans="1:31" ht="19.5" customHeight="1" x14ac:dyDescent="0.35">
      <c r="A105" s="5"/>
      <c r="B105" s="418" t="s">
        <v>607</v>
      </c>
      <c r="C105" s="419">
        <f>SUMIF('Input Data'!B:B,"L02",'Input Data'!F:F)</f>
        <v>393.2</v>
      </c>
      <c r="D105" s="431" t="str">
        <f ca="1">IFERROR(INDEX('Input Data'!D:D,MATCH("WHOLE",'Input Data'!$C:$C,0)),"VACANT")</f>
        <v>PRINCETON FINANCIAL SERVICES</v>
      </c>
      <c r="E105" s="431"/>
      <c r="F105" s="431"/>
      <c r="G105" s="431"/>
      <c r="H105" s="431"/>
      <c r="I105" s="431"/>
      <c r="J105" s="431"/>
      <c r="K105" s="431"/>
      <c r="L105" s="431"/>
      <c r="M105" s="431"/>
      <c r="N105" s="431"/>
      <c r="O105" s="431"/>
      <c r="P105" s="431"/>
      <c r="Q105" s="431"/>
      <c r="R105" s="431"/>
      <c r="S105" s="431"/>
      <c r="T105" s="431"/>
      <c r="U105" s="431"/>
      <c r="V105" s="431"/>
      <c r="W105" s="431"/>
      <c r="X105" s="431"/>
      <c r="Y105" s="431"/>
      <c r="Z105" s="431"/>
      <c r="AA105" s="431"/>
      <c r="AB105" s="431"/>
      <c r="AC105" s="431"/>
      <c r="AD105" s="431"/>
      <c r="AE105" s="5"/>
    </row>
    <row r="106" spans="1:31" ht="15" customHeight="1" x14ac:dyDescent="0.35">
      <c r="A106" s="5"/>
      <c r="B106" s="418"/>
      <c r="C106" s="418"/>
      <c r="D106" s="432" t="str">
        <f>"Suite "&amp;"WHOLE"</f>
        <v>Suite WHOLE</v>
      </c>
      <c r="E106" s="432"/>
      <c r="F106" s="432"/>
      <c r="G106" s="432"/>
      <c r="H106" s="432"/>
      <c r="I106" s="432"/>
      <c r="J106" s="432"/>
      <c r="K106" s="432"/>
      <c r="L106" s="432"/>
      <c r="M106" s="432"/>
      <c r="N106" s="432"/>
      <c r="O106" s="432"/>
      <c r="P106" s="432"/>
      <c r="Q106" s="432"/>
      <c r="R106" s="432"/>
      <c r="S106" s="432"/>
      <c r="T106" s="432"/>
      <c r="U106" s="432"/>
      <c r="V106" s="432"/>
      <c r="W106" s="432"/>
      <c r="X106" s="432"/>
      <c r="Y106" s="432"/>
      <c r="Z106" s="432"/>
      <c r="AA106" s="432"/>
      <c r="AB106" s="432"/>
      <c r="AC106" s="432"/>
      <c r="AD106" s="432"/>
      <c r="AE106" s="5"/>
    </row>
    <row r="107" spans="1:31" ht="15" customHeight="1" x14ac:dyDescent="0.35">
      <c r="A107" s="5"/>
      <c r="B107" s="418"/>
      <c r="C107" s="418"/>
      <c r="D107" s="432" t="str">
        <f>IFERROR(TEXT(INDEX('Input Data'!F:F,MATCH("WHOLE",'Input Data'!$C:$C,0)),"#,##0.0")&amp;" sqm"&amp;IF(INDEX('Input Data'!O:O,MATCH("WHOLE",'Input Data'!$C:$C,0))&gt;0,"  |  "&amp;TEXT(INDEX('Input Data'!O:O,MATCH("WHOLE",'Input Data'!$C:$C,0)),"0")&amp;" car parks",""),"")</f>
        <v>393.2 sqm</v>
      </c>
      <c r="E107" s="432"/>
      <c r="F107" s="432"/>
      <c r="G107" s="432"/>
      <c r="H107" s="432"/>
      <c r="I107" s="432"/>
      <c r="J107" s="432"/>
      <c r="K107" s="432"/>
      <c r="L107" s="432"/>
      <c r="M107" s="432"/>
      <c r="N107" s="432"/>
      <c r="O107" s="432"/>
      <c r="P107" s="432"/>
      <c r="Q107" s="432"/>
      <c r="R107" s="432"/>
      <c r="S107" s="432"/>
      <c r="T107" s="432"/>
      <c r="U107" s="432"/>
      <c r="V107" s="432"/>
      <c r="W107" s="432"/>
      <c r="X107" s="432"/>
      <c r="Y107" s="432"/>
      <c r="Z107" s="432"/>
      <c r="AA107" s="432"/>
      <c r="AB107" s="432"/>
      <c r="AC107" s="432"/>
      <c r="AD107" s="432"/>
      <c r="AE107" s="5"/>
    </row>
    <row r="108" spans="1:31" ht="15" customHeight="1" x14ac:dyDescent="0.35">
      <c r="A108" s="5"/>
      <c r="B108" s="418"/>
      <c r="C108" s="418"/>
      <c r="D108" s="432" t="str">
        <f ca="1">IFERROR("Face PSM: $"&amp;TEXT(INDEX('Input Data'!J:J,MATCH("WHOLE",'Input Data'!$C:$C,0)),"#,##0")&amp;"  |  Incent: "&amp;IF(INDEX('Input Data'!L:L,MATCH("WHOLE",'Input Data'!$C:$C,0))&lt;0,"$"&amp;TEXT(-INDEX('Input Data'!L:L,MATCH("WHOLE",'Input Data'!$C:$C,0))/INDEX('Input Data'!F:F,MATCH("WHOLE",'Input Data'!$C:$C,0)),"#,##0.00"),"nil"),"—")</f>
        <v>Face PSM: $1,082  |  Incent: $59.97</v>
      </c>
      <c r="E108" s="432"/>
      <c r="F108" s="432"/>
      <c r="G108" s="432"/>
      <c r="H108" s="432"/>
      <c r="I108" s="432"/>
      <c r="J108" s="432"/>
      <c r="K108" s="432"/>
      <c r="L108" s="432"/>
      <c r="M108" s="432"/>
      <c r="N108" s="432"/>
      <c r="O108" s="432"/>
      <c r="P108" s="432"/>
      <c r="Q108" s="432"/>
      <c r="R108" s="432"/>
      <c r="S108" s="432"/>
      <c r="T108" s="432"/>
      <c r="U108" s="432"/>
      <c r="V108" s="432"/>
      <c r="W108" s="432"/>
      <c r="X108" s="432"/>
      <c r="Y108" s="432"/>
      <c r="Z108" s="432"/>
      <c r="AA108" s="432"/>
      <c r="AB108" s="432"/>
      <c r="AC108" s="432"/>
      <c r="AD108" s="432"/>
      <c r="AE108" s="5"/>
    </row>
    <row r="109" spans="1:31" ht="15" customHeight="1" x14ac:dyDescent="0.35">
      <c r="A109" s="5"/>
      <c r="B109" s="418"/>
      <c r="C109" s="418"/>
      <c r="D109" s="432" t="str">
        <f ca="1">IFERROR("Outgoings: $"&amp;TEXT(INDEX('Input Data'!M:M,MATCH("WHOLE",'Input Data'!$C:$C,0))/INDEX('Input Data'!F:F,MATCH("WHOLE",'Input Data'!$C:$C,0)),"#,##0.00")&amp;" psm  |  Net: $"&amp;TEXT(INDEX('Input Data'!N:N,MATCH("WHOLE",'Input Data'!$C:$C,0)),"#,##0")&amp;" pa","—")</f>
        <v>Outgoings: $41.20 psm  |  Net: $401,703 pa</v>
      </c>
      <c r="E109" s="432"/>
      <c r="F109" s="432"/>
      <c r="G109" s="432"/>
      <c r="H109" s="432"/>
      <c r="I109" s="432"/>
      <c r="J109" s="432"/>
      <c r="K109" s="432"/>
      <c r="L109" s="432"/>
      <c r="M109" s="432"/>
      <c r="N109" s="432"/>
      <c r="O109" s="432"/>
      <c r="P109" s="432"/>
      <c r="Q109" s="432"/>
      <c r="R109" s="432"/>
      <c r="S109" s="432"/>
      <c r="T109" s="432"/>
      <c r="U109" s="432"/>
      <c r="V109" s="432"/>
      <c r="W109" s="432"/>
      <c r="X109" s="432"/>
      <c r="Y109" s="432"/>
      <c r="Z109" s="432"/>
      <c r="AA109" s="432"/>
      <c r="AB109" s="432"/>
      <c r="AC109" s="432"/>
      <c r="AD109" s="432"/>
      <c r="AE109" s="5"/>
    </row>
    <row r="110" spans="1:31" ht="15" customHeight="1" x14ac:dyDescent="0.35">
      <c r="A110" s="5"/>
      <c r="B110" s="418"/>
      <c r="C110" s="418"/>
      <c r="D110" s="432" t="str">
        <f ca="1">IFERROR("Start: "&amp;TEXT(INDEX('Input Data'!G:G,MATCH("WHOLE",'Input Data'!$C:$C,0)),"DD/MM/YY")&amp;"  →  Expiry: "&amp;TEXT(INDEX('Input Data'!H:H,MATCH("WHOLE",'Input Data'!$C:$C,0)),"DD/MM/YY"),"—")</f>
        <v>Start: 01/01/24  →  Expiry: 31/12/28</v>
      </c>
      <c r="E110" s="432"/>
      <c r="F110" s="432"/>
      <c r="G110" s="432"/>
      <c r="H110" s="432"/>
      <c r="I110" s="432"/>
      <c r="J110" s="432"/>
      <c r="K110" s="432"/>
      <c r="L110" s="432"/>
      <c r="M110" s="432"/>
      <c r="N110" s="432"/>
      <c r="O110" s="432"/>
      <c r="P110" s="432"/>
      <c r="Q110" s="432"/>
      <c r="R110" s="432"/>
      <c r="S110" s="432"/>
      <c r="T110" s="432"/>
      <c r="U110" s="432"/>
      <c r="V110" s="432"/>
      <c r="W110" s="432"/>
      <c r="X110" s="432"/>
      <c r="Y110" s="432"/>
      <c r="Z110" s="432"/>
      <c r="AA110" s="432"/>
      <c r="AB110" s="432"/>
      <c r="AC110" s="432"/>
      <c r="AD110" s="432"/>
      <c r="AE110" s="5"/>
    </row>
    <row r="111" spans="1:31" ht="15" customHeight="1" x14ac:dyDescent="0.35">
      <c r="A111" s="5"/>
      <c r="B111" s="418"/>
      <c r="C111" s="418"/>
      <c r="D111" s="432" t="str">
        <f ca="1">IFERROR(IF((INDEX('Input Data'!H:H,MATCH("WHOLE",'Input Data'!$C:$C,0))-TODAY())&gt;0,TEXT((INDEX('Input Data'!H:H,MATCH("WHOLE",'Input Data'!$C:$C,0))-TODAY())/365.25,"0.0")&amp;" yrs remaining","⚠ EXPIRED"),"—")</f>
        <v>2.2 yrs remaining</v>
      </c>
      <c r="E111" s="432"/>
      <c r="F111" s="432"/>
      <c r="G111" s="432"/>
      <c r="H111" s="432"/>
      <c r="I111" s="432"/>
      <c r="J111" s="432"/>
      <c r="K111" s="432"/>
      <c r="L111" s="432"/>
      <c r="M111" s="432"/>
      <c r="N111" s="432"/>
      <c r="O111" s="432"/>
      <c r="P111" s="432"/>
      <c r="Q111" s="432"/>
      <c r="R111" s="432"/>
      <c r="S111" s="432"/>
      <c r="T111" s="432"/>
      <c r="U111" s="432"/>
      <c r="V111" s="432"/>
      <c r="W111" s="432"/>
      <c r="X111" s="432"/>
      <c r="Y111" s="432"/>
      <c r="Z111" s="432"/>
      <c r="AA111" s="432"/>
      <c r="AB111" s="432"/>
      <c r="AC111" s="432"/>
      <c r="AD111" s="432"/>
      <c r="AE111" s="5"/>
    </row>
    <row r="112" spans="1:31" ht="15" customHeight="1" x14ac:dyDescent="0.35">
      <c r="A112" s="5"/>
      <c r="B112" s="418"/>
      <c r="C112" s="418"/>
      <c r="D112" s="432" t="str">
        <f>""</f>
        <v/>
      </c>
      <c r="E112" s="432"/>
      <c r="F112" s="432"/>
      <c r="G112" s="432"/>
      <c r="H112" s="432"/>
      <c r="I112" s="432"/>
      <c r="J112" s="432"/>
      <c r="K112" s="432"/>
      <c r="L112" s="432"/>
      <c r="M112" s="432"/>
      <c r="N112" s="432"/>
      <c r="O112" s="432"/>
      <c r="P112" s="432"/>
      <c r="Q112" s="432"/>
      <c r="R112" s="432"/>
      <c r="S112" s="432"/>
      <c r="T112" s="432"/>
      <c r="U112" s="432"/>
      <c r="V112" s="432"/>
      <c r="W112" s="432"/>
      <c r="X112" s="432"/>
      <c r="Y112" s="432"/>
      <c r="Z112" s="432"/>
      <c r="AA112" s="432"/>
      <c r="AB112" s="432"/>
      <c r="AC112" s="432"/>
      <c r="AD112" s="432"/>
      <c r="AE112" s="5"/>
    </row>
    <row r="113" spans="1:31" ht="3.75" customHeight="1" x14ac:dyDescent="0.35">
      <c r="A113" s="5"/>
      <c r="B113" s="418"/>
      <c r="C113" s="418"/>
      <c r="D113" s="424" t="str">
        <f>""</f>
        <v/>
      </c>
      <c r="E113" s="424"/>
      <c r="F113" s="424"/>
      <c r="G113" s="424"/>
      <c r="H113" s="424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24"/>
      <c r="X113" s="424"/>
      <c r="Y113" s="424"/>
      <c r="Z113" s="424"/>
      <c r="AA113" s="424"/>
      <c r="AB113" s="424"/>
      <c r="AC113" s="424"/>
      <c r="AD113" s="424"/>
      <c r="AE113" s="5"/>
    </row>
    <row r="114" spans="1:31" ht="15" customHeight="1" x14ac:dyDescent="0.35">
      <c r="A114" s="5"/>
      <c r="B114" s="1"/>
      <c r="C114" s="1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 spans="1:31" ht="19.5" customHeight="1" x14ac:dyDescent="0.35">
      <c r="A115" s="5"/>
      <c r="B115" s="418" t="s">
        <v>608</v>
      </c>
      <c r="C115" s="419">
        <f>SUMIF('Input Data'!B:B,"L01",'Input Data'!F:F)</f>
        <v>356.79999999999995</v>
      </c>
      <c r="D115" s="427" t="str">
        <f>IFERROR(INDEX('Input Data'!D:D,MATCH("101&amp;2",'Input Data'!$C:$C,0)),"VACANT")</f>
        <v>VACANT</v>
      </c>
      <c r="E115" s="427"/>
      <c r="F115" s="427"/>
      <c r="G115" s="427"/>
      <c r="H115" s="427"/>
      <c r="I115" s="427"/>
      <c r="J115" s="427"/>
      <c r="K115" s="427"/>
      <c r="L115" s="427"/>
      <c r="M115" s="427"/>
      <c r="N115" s="427"/>
      <c r="O115" s="427"/>
      <c r="P115" s="427"/>
      <c r="Q115" s="431" t="str">
        <f ca="1">IFERROR(INDEX('Input Data'!D:D,MATCH("103",'Input Data'!$C:$C,0)),"VACANT")</f>
        <v>PU PRIME TRADING PTY LTD</v>
      </c>
      <c r="R115" s="431"/>
      <c r="S115" s="431"/>
      <c r="T115" s="431"/>
      <c r="U115" s="431"/>
      <c r="V115" s="431"/>
      <c r="W115" s="431"/>
      <c r="X115" s="427" t="str">
        <f ca="1">IFERROR(INDEX('Input Data'!D:D,MATCH("104",'Input Data'!$C:$C,0)),"VACANT")</f>
        <v>TJC#1 PTY LTD</v>
      </c>
      <c r="Y115" s="427"/>
      <c r="Z115" s="427"/>
      <c r="AA115" s="427"/>
      <c r="AB115" s="427"/>
      <c r="AC115" s="427"/>
      <c r="AD115" s="427"/>
      <c r="AE115" s="5"/>
    </row>
    <row r="116" spans="1:31" ht="15" customHeight="1" x14ac:dyDescent="0.35">
      <c r="A116" s="5"/>
      <c r="B116" s="418"/>
      <c r="C116" s="418"/>
      <c r="D116" s="413" t="str">
        <f>"Suite "&amp;"101&amp;2"</f>
        <v>Suite 101&amp;2</v>
      </c>
      <c r="E116" s="413"/>
      <c r="F116" s="413"/>
      <c r="G116" s="413"/>
      <c r="H116" s="413"/>
      <c r="I116" s="413"/>
      <c r="J116" s="413"/>
      <c r="K116" s="413"/>
      <c r="L116" s="413"/>
      <c r="M116" s="413"/>
      <c r="N116" s="413"/>
      <c r="O116" s="413"/>
      <c r="P116" s="413"/>
      <c r="Q116" s="432" t="str">
        <f>"Suite "&amp;"103"</f>
        <v>Suite 103</v>
      </c>
      <c r="R116" s="432"/>
      <c r="S116" s="432"/>
      <c r="T116" s="432"/>
      <c r="U116" s="432"/>
      <c r="V116" s="432"/>
      <c r="W116" s="432"/>
      <c r="X116" s="413" t="str">
        <f>"Suite "&amp;"104"</f>
        <v>Suite 104</v>
      </c>
      <c r="Y116" s="413"/>
      <c r="Z116" s="413"/>
      <c r="AA116" s="413"/>
      <c r="AB116" s="413"/>
      <c r="AC116" s="413"/>
      <c r="AD116" s="413"/>
      <c r="AE116" s="5"/>
    </row>
    <row r="117" spans="1:31" ht="15" customHeight="1" x14ac:dyDescent="0.35">
      <c r="A117" s="5"/>
      <c r="B117" s="418"/>
      <c r="C117" s="418"/>
      <c r="D117" s="413" t="str">
        <f>IFERROR(TEXT(INDEX('Input Data'!F:F,MATCH("101&amp;2",'Input Data'!$C:$C,0)),"#,##0.0")&amp;" sqm"&amp;IF(INDEX('Input Data'!O:O,MATCH("101&amp;2",'Input Data'!$C:$C,0))&gt;0,"  |  "&amp;TEXT(INDEX('Input Data'!O:O,MATCH("101&amp;2",'Input Data'!$C:$C,0)),"0")&amp;" car parks",""),"")</f>
        <v>162.4 sqm</v>
      </c>
      <c r="E117" s="413"/>
      <c r="F117" s="413"/>
      <c r="G117" s="413"/>
      <c r="H117" s="413"/>
      <c r="I117" s="413"/>
      <c r="J117" s="413"/>
      <c r="K117" s="413"/>
      <c r="L117" s="413"/>
      <c r="M117" s="413"/>
      <c r="N117" s="413"/>
      <c r="O117" s="413"/>
      <c r="P117" s="413"/>
      <c r="Q117" s="432" t="str">
        <f>IFERROR(TEXT(INDEX('Input Data'!F:F,MATCH("103",'Input Data'!$C:$C,0)),"#,##0.0")&amp;" sqm"&amp;IF(INDEX('Input Data'!O:O,MATCH("103",'Input Data'!$C:$C,0))&gt;0,"  |  "&amp;TEXT(INDEX('Input Data'!O:O,MATCH("103",'Input Data'!$C:$C,0)),"0")&amp;" car parks",""),"")</f>
        <v>96.3 sqm</v>
      </c>
      <c r="R117" s="432"/>
      <c r="S117" s="432"/>
      <c r="T117" s="432"/>
      <c r="U117" s="432"/>
      <c r="V117" s="432"/>
      <c r="W117" s="432"/>
      <c r="X117" s="413" t="str">
        <f>IFERROR(TEXT(INDEX('Input Data'!F:F,MATCH("104",'Input Data'!$C:$C,0)),"#,##0.0")&amp;" sqm"&amp;IF(INDEX('Input Data'!O:O,MATCH("104",'Input Data'!$C:$C,0))&gt;0,"  |  "&amp;TEXT(INDEX('Input Data'!O:O,MATCH("104",'Input Data'!$C:$C,0)),"0")&amp;" car parks",""),"")</f>
        <v>98.1 sqm</v>
      </c>
      <c r="Y117" s="413"/>
      <c r="Z117" s="413"/>
      <c r="AA117" s="413"/>
      <c r="AB117" s="413"/>
      <c r="AC117" s="413"/>
      <c r="AD117" s="413"/>
      <c r="AE117" s="5"/>
    </row>
    <row r="118" spans="1:31" ht="15" customHeight="1" x14ac:dyDescent="0.35">
      <c r="A118" s="5"/>
      <c r="B118" s="418"/>
      <c r="C118" s="418"/>
      <c r="D118" s="413" t="str">
        <f>IFERROR("Face PSM: $"&amp;TEXT(INDEX('Input Data'!J:J,MATCH("101&amp;2",'Input Data'!$C:$C,0)),"#,##0")&amp;"  |  Incent: "&amp;IF(INDEX('Input Data'!L:L,MATCH("101&amp;2",'Input Data'!$C:$C,0))&lt;0,"$"&amp;TEXT(-INDEX('Input Data'!L:L,MATCH("101&amp;2",'Input Data'!$C:$C,0))/INDEX('Input Data'!F:F,MATCH("101&amp;2",'Input Data'!$C:$C,0)),"#,##0.00"),"nil"),"—")</f>
        <v>Face PSM: $0  |  Incent: nil</v>
      </c>
      <c r="E118" s="413"/>
      <c r="F118" s="413"/>
      <c r="G118" s="413"/>
      <c r="H118" s="413"/>
      <c r="I118" s="413"/>
      <c r="J118" s="413"/>
      <c r="K118" s="413"/>
      <c r="L118" s="413"/>
      <c r="M118" s="413"/>
      <c r="N118" s="413"/>
      <c r="O118" s="413"/>
      <c r="P118" s="413"/>
      <c r="Q118" s="432" t="str">
        <f>IFERROR("Face PSM: $"&amp;TEXT(INDEX('Input Data'!J:J,MATCH("103",'Input Data'!$C:$C,0)),"#,##0")&amp;"  |  Incent: "&amp;IF(INDEX('Input Data'!L:L,MATCH("103",'Input Data'!$C:$C,0))&lt;0,"$"&amp;TEXT(-INDEX('Input Data'!L:L,MATCH("103",'Input Data'!$C:$C,0))/INDEX('Input Data'!F:F,MATCH("103",'Input Data'!$C:$C,0)),"#,##0.00"),"nil"),"—")</f>
        <v>Face PSM: $1,022  |  Incent: $93.68</v>
      </c>
      <c r="R118" s="432"/>
      <c r="S118" s="432"/>
      <c r="T118" s="432"/>
      <c r="U118" s="432"/>
      <c r="V118" s="432"/>
      <c r="W118" s="432"/>
      <c r="X118" s="413" t="str">
        <f ca="1">IFERROR("Face PSM: $"&amp;TEXT(INDEX('Input Data'!J:J,MATCH("104",'Input Data'!$C:$C,0)),"#,##0")&amp;"  |  Incent: "&amp;IF(INDEX('Input Data'!L:L,MATCH("104",'Input Data'!$C:$C,0))&lt;0,"$"&amp;TEXT(-INDEX('Input Data'!L:L,MATCH("104",'Input Data'!$C:$C,0))/INDEX('Input Data'!F:F,MATCH("104",'Input Data'!$C:$C,0)),"#,##0.00"),"nil"),"—")</f>
        <v>Face PSM: $973  |  Incent: $198.00</v>
      </c>
      <c r="Y118" s="413"/>
      <c r="Z118" s="413"/>
      <c r="AA118" s="413"/>
      <c r="AB118" s="413"/>
      <c r="AC118" s="413"/>
      <c r="AD118" s="413"/>
      <c r="AE118" s="5"/>
    </row>
    <row r="119" spans="1:31" ht="15" customHeight="1" x14ac:dyDescent="0.35">
      <c r="A119" s="5"/>
      <c r="B119" s="418"/>
      <c r="C119" s="418"/>
      <c r="D119" s="413" t="str">
        <f ca="1">IFERROR("Outgoings: $"&amp;TEXT(INDEX('Input Data'!M:M,MATCH("101&amp;2",'Input Data'!$C:$C,0))/INDEX('Input Data'!F:F,MATCH("101&amp;2",'Input Data'!$C:$C,0)),"#,##0.00")&amp;" psm  |  Net: $"&amp;TEXT(INDEX('Input Data'!N:N,MATCH("101&amp;2",'Input Data'!$C:$C,0)),"#,##0")&amp;" pa","—")</f>
        <v>Outgoings: $0.00 psm  |  Net: $0 pa</v>
      </c>
      <c r="E119" s="413"/>
      <c r="F119" s="413"/>
      <c r="G119" s="413"/>
      <c r="H119" s="413"/>
      <c r="I119" s="413"/>
      <c r="J119" s="413"/>
      <c r="K119" s="413"/>
      <c r="L119" s="413"/>
      <c r="M119" s="413"/>
      <c r="N119" s="413"/>
      <c r="O119" s="413"/>
      <c r="P119" s="413"/>
      <c r="Q119" s="432" t="str">
        <f ca="1">IFERROR("Outgoings: $"&amp;TEXT(INDEX('Input Data'!M:M,MATCH("103",'Input Data'!$C:$C,0))/INDEX('Input Data'!F:F,MATCH("103",'Input Data'!$C:$C,0)),"#,##0.00")&amp;" psm  |  Net: $"&amp;TEXT(INDEX('Input Data'!N:N,MATCH("103",'Input Data'!$C:$C,0)),"#,##0")&amp;" pa","—")</f>
        <v>Outgoings: $70.40 psm  |  Net: $89,396 pa</v>
      </c>
      <c r="R119" s="432"/>
      <c r="S119" s="432"/>
      <c r="T119" s="432"/>
      <c r="U119" s="432"/>
      <c r="V119" s="432"/>
      <c r="W119" s="432"/>
      <c r="X119" s="413" t="str">
        <f ca="1">IFERROR("Outgoings: $"&amp;TEXT(INDEX('Input Data'!M:M,MATCH("104",'Input Data'!$C:$C,0))/INDEX('Input Data'!F:F,MATCH("104",'Input Data'!$C:$C,0)),"#,##0.00")&amp;" psm  |  Net: $"&amp;TEXT(INDEX('Input Data'!N:N,MATCH("104",'Input Data'!$C:$C,0)),"#,##0")&amp;" pa","—")</f>
        <v>Outgoings: $45.87 psm  |  Net: $76,071 pa</v>
      </c>
      <c r="Y119" s="413"/>
      <c r="Z119" s="413"/>
      <c r="AA119" s="413"/>
      <c r="AB119" s="413"/>
      <c r="AC119" s="413"/>
      <c r="AD119" s="413"/>
      <c r="AE119" s="5"/>
    </row>
    <row r="120" spans="1:31" ht="15" customHeight="1" x14ac:dyDescent="0.35">
      <c r="A120" s="5"/>
      <c r="B120" s="418"/>
      <c r="C120" s="418"/>
      <c r="D120" s="413" t="str">
        <f ca="1">IFERROR("Start: "&amp;TEXT(INDEX('Input Data'!G:G,MATCH("101&amp;2",'Input Data'!$C:$C,0)),"DD/MM/YY")&amp;"  →  Expiry: "&amp;TEXT(INDEX('Input Data'!H:H,MATCH("101&amp;2",'Input Data'!$C:$C,0)),"DD/MM/YY"),"—")</f>
        <v xml:space="preserve">Start: 00/01/00  →  Expiry: </v>
      </c>
      <c r="E120" s="413"/>
      <c r="F120" s="413"/>
      <c r="G120" s="413"/>
      <c r="H120" s="413"/>
      <c r="I120" s="413"/>
      <c r="J120" s="413"/>
      <c r="K120" s="413"/>
      <c r="L120" s="413"/>
      <c r="M120" s="413"/>
      <c r="N120" s="413"/>
      <c r="O120" s="413"/>
      <c r="P120" s="413"/>
      <c r="Q120" s="432" t="str">
        <f ca="1">IFERROR("Start: "&amp;TEXT(INDEX('Input Data'!G:G,MATCH("103",'Input Data'!$C:$C,0)),"DD/MM/YY")&amp;"  →  Expiry: "&amp;TEXT(INDEX('Input Data'!H:H,MATCH("103",'Input Data'!$C:$C,0)),"DD/MM/YY"),"—")</f>
        <v>Start: 01/07/21  →  Expiry: 14/06/28</v>
      </c>
      <c r="R120" s="432"/>
      <c r="S120" s="432"/>
      <c r="T120" s="432"/>
      <c r="U120" s="432"/>
      <c r="V120" s="432"/>
      <c r="W120" s="432"/>
      <c r="X120" s="413" t="str">
        <f ca="1">IFERROR("Start: "&amp;TEXT(INDEX('Input Data'!G:G,MATCH("104",'Input Data'!$C:$C,0)),"DD/MM/YY")&amp;"  →  Expiry: "&amp;TEXT(INDEX('Input Data'!H:H,MATCH("104",'Input Data'!$C:$C,0)),"DD/MM/YY"),"—")</f>
        <v>Start: 01/08/23  →  Expiry: 31/07/29</v>
      </c>
      <c r="Y120" s="413"/>
      <c r="Z120" s="413"/>
      <c r="AA120" s="413"/>
      <c r="AB120" s="413"/>
      <c r="AC120" s="413"/>
      <c r="AD120" s="413"/>
      <c r="AE120" s="5"/>
    </row>
    <row r="121" spans="1:31" ht="15" customHeight="1" x14ac:dyDescent="0.35">
      <c r="A121" s="5"/>
      <c r="B121" s="418"/>
      <c r="C121" s="418"/>
      <c r="D121" s="413" t="str">
        <f ca="1">IFERROR(IF((INDEX('Input Data'!H:H,MATCH("101&amp;2",'Input Data'!$C:$C,0))-TODAY())&gt;0,TEXT((INDEX('Input Data'!H:H,MATCH("101&amp;2",'Input Data'!$C:$C,0))-TODAY())/365.25,"0.0")&amp;" yrs remaining","⚠ EXPIRED"),"—")</f>
        <v>—</v>
      </c>
      <c r="E121" s="413"/>
      <c r="F121" s="413"/>
      <c r="G121" s="413"/>
      <c r="H121" s="413"/>
      <c r="I121" s="413"/>
      <c r="J121" s="413"/>
      <c r="K121" s="413"/>
      <c r="L121" s="413"/>
      <c r="M121" s="413"/>
      <c r="N121" s="413"/>
      <c r="O121" s="413"/>
      <c r="P121" s="413"/>
      <c r="Q121" s="432" t="str">
        <f ca="1">IFERROR(IF((INDEX('Input Data'!H:H,MATCH("103",'Input Data'!$C:$C,0))-TODAY())&gt;0,TEXT((INDEX('Input Data'!H:H,MATCH("103",'Input Data'!$C:$C,0))-TODAY())/365.25,"0.0")&amp;" yrs remaining","⚠ EXPIRED"),"—")</f>
        <v>1.7 yrs remaining</v>
      </c>
      <c r="R121" s="432"/>
      <c r="S121" s="432"/>
      <c r="T121" s="432"/>
      <c r="U121" s="432"/>
      <c r="V121" s="432"/>
      <c r="W121" s="432"/>
      <c r="X121" s="413" t="str">
        <f ca="1">IFERROR(IF((INDEX('Input Data'!H:H,MATCH("104",'Input Data'!$C:$C,0))-TODAY())&gt;0,TEXT((INDEX('Input Data'!H:H,MATCH("104",'Input Data'!$C:$C,0))-TODAY())/365.25,"0.0")&amp;" yrs remaining","⚠ EXPIRED"),"—")</f>
        <v>2.8 yrs remaining</v>
      </c>
      <c r="Y121" s="413"/>
      <c r="Z121" s="413"/>
      <c r="AA121" s="413"/>
      <c r="AB121" s="413"/>
      <c r="AC121" s="413"/>
      <c r="AD121" s="413"/>
      <c r="AE121" s="5"/>
    </row>
    <row r="122" spans="1:31" ht="15" customHeight="1" x14ac:dyDescent="0.35">
      <c r="A122" s="5"/>
      <c r="B122" s="418"/>
      <c r="C122" s="418"/>
      <c r="D122" s="413" t="str">
        <f>""</f>
        <v/>
      </c>
      <c r="E122" s="413"/>
      <c r="F122" s="413"/>
      <c r="G122" s="413"/>
      <c r="H122" s="413"/>
      <c r="I122" s="413"/>
      <c r="J122" s="413"/>
      <c r="K122" s="413"/>
      <c r="L122" s="413"/>
      <c r="M122" s="413"/>
      <c r="N122" s="413"/>
      <c r="O122" s="413"/>
      <c r="P122" s="413"/>
      <c r="Q122" s="432" t="str">
        <f>""</f>
        <v/>
      </c>
      <c r="R122" s="432"/>
      <c r="S122" s="432"/>
      <c r="T122" s="432"/>
      <c r="U122" s="432"/>
      <c r="V122" s="432"/>
      <c r="W122" s="432"/>
      <c r="X122" s="413" t="str">
        <f>""</f>
        <v/>
      </c>
      <c r="Y122" s="413"/>
      <c r="Z122" s="413"/>
      <c r="AA122" s="413"/>
      <c r="AB122" s="413"/>
      <c r="AC122" s="413"/>
      <c r="AD122" s="413"/>
      <c r="AE122" s="5"/>
    </row>
    <row r="123" spans="1:31" ht="3.75" customHeight="1" x14ac:dyDescent="0.35">
      <c r="A123" s="5"/>
      <c r="B123" s="418"/>
      <c r="C123" s="418"/>
      <c r="D123" s="424" t="str">
        <f>""</f>
        <v/>
      </c>
      <c r="E123" s="424"/>
      <c r="F123" s="424"/>
      <c r="G123" s="424"/>
      <c r="H123" s="424"/>
      <c r="I123" s="424"/>
      <c r="J123" s="424"/>
      <c r="K123" s="424"/>
      <c r="L123" s="424"/>
      <c r="M123" s="424"/>
      <c r="N123" s="424"/>
      <c r="O123" s="424"/>
      <c r="P123" s="424"/>
      <c r="Q123" s="424" t="str">
        <f>""</f>
        <v/>
      </c>
      <c r="R123" s="424"/>
      <c r="S123" s="424"/>
      <c r="T123" s="424"/>
      <c r="U123" s="424"/>
      <c r="V123" s="424"/>
      <c r="W123" s="424"/>
      <c r="X123" s="424" t="str">
        <f>""</f>
        <v/>
      </c>
      <c r="Y123" s="424"/>
      <c r="Z123" s="424"/>
      <c r="AA123" s="424"/>
      <c r="AB123" s="424"/>
      <c r="AC123" s="424"/>
      <c r="AD123" s="424"/>
      <c r="AE123" s="5"/>
    </row>
    <row r="124" spans="1:31" ht="15" customHeight="1" x14ac:dyDescent="0.35">
      <c r="A124" s="5"/>
      <c r="B124" s="1"/>
      <c r="C124" s="1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 spans="1:31" ht="19.5" customHeight="1" x14ac:dyDescent="0.35">
      <c r="A125" s="5"/>
      <c r="B125" s="418" t="s">
        <v>609</v>
      </c>
      <c r="C125" s="419">
        <f>SUMIF('Input Data'!B:B,"GF",'Input Data'!F:F)</f>
        <v>298.3</v>
      </c>
      <c r="D125" s="435" t="str">
        <f ca="1">IFERROR(INDEX('Input Data'!D:D,MATCH("GROUND",'Input Data'!$C:$C,0)),"VACANT")</f>
        <v>RCVRI MARTIN PLACE PTY LTD</v>
      </c>
      <c r="E125" s="435"/>
      <c r="F125" s="435"/>
      <c r="G125" s="435"/>
      <c r="H125" s="435"/>
      <c r="I125" s="435"/>
      <c r="J125" s="435"/>
      <c r="K125" s="435"/>
      <c r="L125" s="435"/>
      <c r="M125" s="435"/>
      <c r="N125" s="435"/>
      <c r="O125" s="435"/>
      <c r="P125" s="435"/>
      <c r="Q125" s="435"/>
      <c r="R125" s="435"/>
      <c r="S125" s="435"/>
      <c r="T125" s="435"/>
      <c r="U125" s="435"/>
      <c r="V125" s="435"/>
      <c r="W125" s="435"/>
      <c r="X125" s="435"/>
      <c r="Y125" s="435"/>
      <c r="Z125" s="435"/>
      <c r="AA125" s="435"/>
      <c r="AB125" s="435"/>
      <c r="AC125" s="435"/>
      <c r="AD125" s="435"/>
      <c r="AE125" s="5"/>
    </row>
    <row r="126" spans="1:31" ht="15" customHeight="1" x14ac:dyDescent="0.35">
      <c r="A126" s="5"/>
      <c r="B126" s="418"/>
      <c r="C126" s="418"/>
      <c r="D126" s="436" t="str">
        <f>"Suite "&amp;"GROUND"</f>
        <v>Suite GROUND</v>
      </c>
      <c r="E126" s="436"/>
      <c r="F126" s="436"/>
      <c r="G126" s="436"/>
      <c r="H126" s="436"/>
      <c r="I126" s="436"/>
      <c r="J126" s="436"/>
      <c r="K126" s="436"/>
      <c r="L126" s="436"/>
      <c r="M126" s="436"/>
      <c r="N126" s="436"/>
      <c r="O126" s="436"/>
      <c r="P126" s="436"/>
      <c r="Q126" s="436"/>
      <c r="R126" s="436"/>
      <c r="S126" s="436"/>
      <c r="T126" s="436"/>
      <c r="U126" s="436"/>
      <c r="V126" s="436"/>
      <c r="W126" s="436"/>
      <c r="X126" s="436"/>
      <c r="Y126" s="436"/>
      <c r="Z126" s="436"/>
      <c r="AA126" s="436"/>
      <c r="AB126" s="436"/>
      <c r="AC126" s="436"/>
      <c r="AD126" s="436"/>
      <c r="AE126" s="5"/>
    </row>
    <row r="127" spans="1:31" ht="15" customHeight="1" x14ac:dyDescent="0.35">
      <c r="A127" s="5"/>
      <c r="B127" s="418"/>
      <c r="C127" s="418"/>
      <c r="D127" s="436" t="str">
        <f>IFERROR(TEXT(INDEX('Input Data'!F:F,MATCH("GROUND",'Input Data'!$C:$C,0)),"#,##0.0")&amp;" sqm"&amp;IF(INDEX('Input Data'!O:O,MATCH("GROUND",'Input Data'!$C:$C,0))&gt;0,"  |  "&amp;TEXT(INDEX('Input Data'!O:O,MATCH("GROUND",'Input Data'!$C:$C,0)),"0")&amp;" car parks",""),"")</f>
        <v>298.3 sqm</v>
      </c>
      <c r="E127" s="436"/>
      <c r="F127" s="436"/>
      <c r="G127" s="436"/>
      <c r="H127" s="436"/>
      <c r="I127" s="436"/>
      <c r="J127" s="436"/>
      <c r="K127" s="436"/>
      <c r="L127" s="436"/>
      <c r="M127" s="436"/>
      <c r="N127" s="436"/>
      <c r="O127" s="436"/>
      <c r="P127" s="436"/>
      <c r="Q127" s="436"/>
      <c r="R127" s="436"/>
      <c r="S127" s="436"/>
      <c r="T127" s="436"/>
      <c r="U127" s="436"/>
      <c r="V127" s="436"/>
      <c r="W127" s="436"/>
      <c r="X127" s="436"/>
      <c r="Y127" s="436"/>
      <c r="Z127" s="436"/>
      <c r="AA127" s="436"/>
      <c r="AB127" s="436"/>
      <c r="AC127" s="436"/>
      <c r="AD127" s="436"/>
      <c r="AE127" s="5"/>
    </row>
    <row r="128" spans="1:31" ht="15" customHeight="1" x14ac:dyDescent="0.35">
      <c r="A128" s="5"/>
      <c r="B128" s="418"/>
      <c r="C128" s="418"/>
      <c r="D128" s="436" t="str">
        <f ca="1">IFERROR("Face PSM: $"&amp;TEXT(INDEX('Input Data'!J:J,MATCH("GROUND",'Input Data'!$C:$C,0)),"#,##0")&amp;"  |  Incent: "&amp;IF(INDEX('Input Data'!L:L,MATCH("GROUND",'Input Data'!$C:$C,0))&lt;0,"$"&amp;TEXT(-INDEX('Input Data'!L:L,MATCH("GROUND",'Input Data'!$C:$C,0))/INDEX('Input Data'!F:F,MATCH("GROUND",'Input Data'!$C:$C,0)),"#,##0.00"),"nil"),"—")</f>
        <v>Face PSM: $1,151  |  Incent: $237.06</v>
      </c>
      <c r="E128" s="436"/>
      <c r="F128" s="436"/>
      <c r="G128" s="436"/>
      <c r="H128" s="436"/>
      <c r="I128" s="436"/>
      <c r="J128" s="436"/>
      <c r="K128" s="436"/>
      <c r="L128" s="436"/>
      <c r="M128" s="436"/>
      <c r="N128" s="436"/>
      <c r="O128" s="436"/>
      <c r="P128" s="436"/>
      <c r="Q128" s="436"/>
      <c r="R128" s="436"/>
      <c r="S128" s="436"/>
      <c r="T128" s="436"/>
      <c r="U128" s="436"/>
      <c r="V128" s="436"/>
      <c r="W128" s="436"/>
      <c r="X128" s="436"/>
      <c r="Y128" s="436"/>
      <c r="Z128" s="436"/>
      <c r="AA128" s="436"/>
      <c r="AB128" s="436"/>
      <c r="AC128" s="436"/>
      <c r="AD128" s="436"/>
      <c r="AE128" s="5"/>
    </row>
    <row r="129" spans="1:31" ht="15" customHeight="1" x14ac:dyDescent="0.35">
      <c r="A129" s="5"/>
      <c r="B129" s="418"/>
      <c r="C129" s="418"/>
      <c r="D129" s="436" t="str">
        <f ca="1">IFERROR("Outgoings: $"&amp;TEXT(INDEX('Input Data'!M:M,MATCH("GROUND",'Input Data'!$C:$C,0))/INDEX('Input Data'!F:F,MATCH("GROUND",'Input Data'!$C:$C,0)),"#,##0.00")&amp;" psm  |  Net: $"&amp;TEXT(INDEX('Input Data'!N:N,MATCH("GROUND",'Input Data'!$C:$C,0)),"#,##0")&amp;" pa","—")</f>
        <v>Outgoings: $34.89 psm  |  Net: $272,486 pa</v>
      </c>
      <c r="E129" s="436"/>
      <c r="F129" s="436"/>
      <c r="G129" s="436"/>
      <c r="H129" s="436"/>
      <c r="I129" s="436"/>
      <c r="J129" s="436"/>
      <c r="K129" s="436"/>
      <c r="L129" s="436"/>
      <c r="M129" s="436"/>
      <c r="N129" s="436"/>
      <c r="O129" s="436"/>
      <c r="P129" s="436"/>
      <c r="Q129" s="436"/>
      <c r="R129" s="436"/>
      <c r="S129" s="436"/>
      <c r="T129" s="436"/>
      <c r="U129" s="436"/>
      <c r="V129" s="436"/>
      <c r="W129" s="436"/>
      <c r="X129" s="436"/>
      <c r="Y129" s="436"/>
      <c r="Z129" s="436"/>
      <c r="AA129" s="436"/>
      <c r="AB129" s="436"/>
      <c r="AC129" s="436"/>
      <c r="AD129" s="436"/>
      <c r="AE129" s="5"/>
    </row>
    <row r="130" spans="1:31" ht="15" customHeight="1" x14ac:dyDescent="0.35">
      <c r="A130" s="5"/>
      <c r="B130" s="418"/>
      <c r="C130" s="418"/>
      <c r="D130" s="436" t="str">
        <f ca="1">IFERROR("Start: "&amp;TEXT(INDEX('Input Data'!G:G,MATCH("GROUND",'Input Data'!$C:$C,0)),"DD/MM/YY")&amp;"  →  Expiry: "&amp;TEXT(INDEX('Input Data'!H:H,MATCH("GROUND",'Input Data'!$C:$C,0)),"DD/MM/YY"),"—")</f>
        <v>Start: 21/01/25  →  Expiry: 20/01/32</v>
      </c>
      <c r="E130" s="436"/>
      <c r="F130" s="436"/>
      <c r="G130" s="436"/>
      <c r="H130" s="436"/>
      <c r="I130" s="436"/>
      <c r="J130" s="436"/>
      <c r="K130" s="436"/>
      <c r="L130" s="436"/>
      <c r="M130" s="436"/>
      <c r="N130" s="436"/>
      <c r="O130" s="436"/>
      <c r="P130" s="436"/>
      <c r="Q130" s="436"/>
      <c r="R130" s="436"/>
      <c r="S130" s="436"/>
      <c r="T130" s="436"/>
      <c r="U130" s="436"/>
      <c r="V130" s="436"/>
      <c r="W130" s="436"/>
      <c r="X130" s="436"/>
      <c r="Y130" s="436"/>
      <c r="Z130" s="436"/>
      <c r="AA130" s="436"/>
      <c r="AB130" s="436"/>
      <c r="AC130" s="436"/>
      <c r="AD130" s="436"/>
      <c r="AE130" s="5"/>
    </row>
    <row r="131" spans="1:31" ht="15" customHeight="1" x14ac:dyDescent="0.35">
      <c r="A131" s="5"/>
      <c r="B131" s="418"/>
      <c r="C131" s="418"/>
      <c r="D131" s="436" t="str">
        <f ca="1">IFERROR(IF((INDEX('Input Data'!H:H,MATCH("GROUND",'Input Data'!$C:$C,0))-TODAY())&gt;0,TEXT((INDEX('Input Data'!H:H,MATCH("GROUND",'Input Data'!$C:$C,0))-TODAY())/365.25,"0.0")&amp;" yrs remaining","⚠ EXPIRED"),"—")</f>
        <v>5.3 yrs remaining</v>
      </c>
      <c r="E131" s="436"/>
      <c r="F131" s="436"/>
      <c r="G131" s="436"/>
      <c r="H131" s="436"/>
      <c r="I131" s="436"/>
      <c r="J131" s="436"/>
      <c r="K131" s="436"/>
      <c r="L131" s="436"/>
      <c r="M131" s="436"/>
      <c r="N131" s="436"/>
      <c r="O131" s="436"/>
      <c r="P131" s="436"/>
      <c r="Q131" s="436"/>
      <c r="R131" s="436"/>
      <c r="S131" s="436"/>
      <c r="T131" s="436"/>
      <c r="U131" s="436"/>
      <c r="V131" s="436"/>
      <c r="W131" s="436"/>
      <c r="X131" s="436"/>
      <c r="Y131" s="436"/>
      <c r="Z131" s="436"/>
      <c r="AA131" s="436"/>
      <c r="AB131" s="436"/>
      <c r="AC131" s="436"/>
      <c r="AD131" s="436"/>
      <c r="AE131" s="5"/>
    </row>
    <row r="132" spans="1:31" ht="15" customHeight="1" x14ac:dyDescent="0.35">
      <c r="A132" s="5"/>
      <c r="B132" s="418"/>
      <c r="C132" s="418"/>
      <c r="D132" s="436" t="str">
        <f>""</f>
        <v/>
      </c>
      <c r="E132" s="436"/>
      <c r="F132" s="436"/>
      <c r="G132" s="436"/>
      <c r="H132" s="436"/>
      <c r="I132" s="436"/>
      <c r="J132" s="436"/>
      <c r="K132" s="436"/>
      <c r="L132" s="436"/>
      <c r="M132" s="436"/>
      <c r="N132" s="436"/>
      <c r="O132" s="436"/>
      <c r="P132" s="436"/>
      <c r="Q132" s="436"/>
      <c r="R132" s="436"/>
      <c r="S132" s="436"/>
      <c r="T132" s="436"/>
      <c r="U132" s="436"/>
      <c r="V132" s="436"/>
      <c r="W132" s="436"/>
      <c r="X132" s="436"/>
      <c r="Y132" s="436"/>
      <c r="Z132" s="436"/>
      <c r="AA132" s="436"/>
      <c r="AB132" s="436"/>
      <c r="AC132" s="436"/>
      <c r="AD132" s="436"/>
      <c r="AE132" s="5"/>
    </row>
    <row r="133" spans="1:31" ht="3.75" customHeight="1" x14ac:dyDescent="0.35">
      <c r="A133" s="5"/>
      <c r="B133" s="418"/>
      <c r="C133" s="418"/>
      <c r="D133" s="424" t="str">
        <f>""</f>
        <v/>
      </c>
      <c r="E133" s="424"/>
      <c r="F133" s="424"/>
      <c r="G133" s="424"/>
      <c r="H133" s="424"/>
      <c r="I133" s="424"/>
      <c r="J133" s="424"/>
      <c r="K133" s="424"/>
      <c r="L133" s="424"/>
      <c r="M133" s="424"/>
      <c r="N133" s="424"/>
      <c r="O133" s="424"/>
      <c r="P133" s="424"/>
      <c r="Q133" s="424"/>
      <c r="R133" s="424"/>
      <c r="S133" s="424"/>
      <c r="T133" s="424"/>
      <c r="U133" s="424"/>
      <c r="V133" s="424"/>
      <c r="W133" s="424"/>
      <c r="X133" s="424"/>
      <c r="Y133" s="424"/>
      <c r="Z133" s="424"/>
      <c r="AA133" s="424"/>
      <c r="AB133" s="424"/>
      <c r="AC133" s="424"/>
      <c r="AD133" s="424"/>
      <c r="AE133" s="5"/>
    </row>
    <row r="134" spans="1:31" ht="15" customHeight="1" x14ac:dyDescent="0.35">
      <c r="A134" s="5"/>
      <c r="B134" s="1"/>
      <c r="C134" s="1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 spans="1:31" ht="19.5" customHeight="1" x14ac:dyDescent="0.35">
      <c r="A135" s="5"/>
      <c r="B135" s="418" t="s">
        <v>610</v>
      </c>
      <c r="C135" s="419">
        <f>SUMIF('Input Data'!B:B,"BSMT",'Input Data'!F:F)</f>
        <v>151.19999999999999</v>
      </c>
      <c r="D135" s="425" t="str">
        <f ca="1">IFERROR(INDEX('Input Data'!D:D,MATCH("LWR GROUND",'Input Data'!$C:$C,0)),"VACANT")</f>
        <v>OPULENT TWO ENTERPRISES</v>
      </c>
      <c r="E135" s="425"/>
      <c r="F135" s="425"/>
      <c r="G135" s="425"/>
      <c r="H135" s="425"/>
      <c r="I135" s="425"/>
      <c r="J135" s="425"/>
      <c r="K135" s="425"/>
      <c r="L135" s="425"/>
      <c r="M135" s="425"/>
      <c r="N135" s="425"/>
      <c r="O135" s="425"/>
      <c r="P135" s="425"/>
      <c r="Q135" s="425"/>
      <c r="R135" s="425"/>
      <c r="S135" s="425"/>
      <c r="T135" s="425"/>
      <c r="U135" s="425"/>
      <c r="V135" s="425"/>
      <c r="W135" s="425"/>
      <c r="X135" s="425"/>
      <c r="Y135" s="425"/>
      <c r="Z135" s="425"/>
      <c r="AA135" s="425"/>
      <c r="AB135" s="425"/>
      <c r="AC135" s="425"/>
      <c r="AD135" s="425"/>
      <c r="AE135" s="5"/>
    </row>
    <row r="136" spans="1:31" ht="15" customHeight="1" x14ac:dyDescent="0.35">
      <c r="A136" s="5"/>
      <c r="B136" s="418"/>
      <c r="C136" s="418"/>
      <c r="D136" s="426" t="str">
        <f>"Suite "&amp;"LWR GROUND"</f>
        <v>Suite LWR GROUND</v>
      </c>
      <c r="E136" s="426"/>
      <c r="F136" s="426"/>
      <c r="G136" s="426"/>
      <c r="H136" s="426"/>
      <c r="I136" s="426"/>
      <c r="J136" s="426"/>
      <c r="K136" s="426"/>
      <c r="L136" s="426"/>
      <c r="M136" s="426"/>
      <c r="N136" s="426"/>
      <c r="O136" s="426"/>
      <c r="P136" s="426"/>
      <c r="Q136" s="426"/>
      <c r="R136" s="426"/>
      <c r="S136" s="426"/>
      <c r="T136" s="426"/>
      <c r="U136" s="426"/>
      <c r="V136" s="426"/>
      <c r="W136" s="426"/>
      <c r="X136" s="426"/>
      <c r="Y136" s="426"/>
      <c r="Z136" s="426"/>
      <c r="AA136" s="426"/>
      <c r="AB136" s="426"/>
      <c r="AC136" s="426"/>
      <c r="AD136" s="426"/>
      <c r="AE136" s="5"/>
    </row>
    <row r="137" spans="1:31" ht="15" customHeight="1" x14ac:dyDescent="0.35">
      <c r="A137" s="5"/>
      <c r="B137" s="418"/>
      <c r="C137" s="418"/>
      <c r="D137" s="426" t="str">
        <f>IFERROR(TEXT(INDEX('Input Data'!F:F,MATCH("LWR GROUND",'Input Data'!$C:$C,0)),"#,##0.0")&amp;" sqm"&amp;IF(INDEX('Input Data'!O:O,MATCH("LWR GROUND",'Input Data'!$C:$C,0))&gt;0,"  |  "&amp;TEXT(INDEX('Input Data'!O:O,MATCH("LWR GROUND",'Input Data'!$C:$C,0)),"0")&amp;" car parks",""),"")</f>
        <v>151.2 sqm</v>
      </c>
      <c r="E137" s="426"/>
      <c r="F137" s="426"/>
      <c r="G137" s="426"/>
      <c r="H137" s="426"/>
      <c r="I137" s="426"/>
      <c r="J137" s="426"/>
      <c r="K137" s="426"/>
      <c r="L137" s="426"/>
      <c r="M137" s="426"/>
      <c r="N137" s="426"/>
      <c r="O137" s="426"/>
      <c r="P137" s="426"/>
      <c r="Q137" s="426"/>
      <c r="R137" s="426"/>
      <c r="S137" s="426"/>
      <c r="T137" s="426"/>
      <c r="U137" s="426"/>
      <c r="V137" s="426"/>
      <c r="W137" s="426"/>
      <c r="X137" s="426"/>
      <c r="Y137" s="426"/>
      <c r="Z137" s="426"/>
      <c r="AA137" s="426"/>
      <c r="AB137" s="426"/>
      <c r="AC137" s="426"/>
      <c r="AD137" s="426"/>
      <c r="AE137" s="5"/>
    </row>
    <row r="138" spans="1:31" ht="15" customHeight="1" x14ac:dyDescent="0.35">
      <c r="A138" s="5"/>
      <c r="B138" s="418"/>
      <c r="C138" s="418"/>
      <c r="D138" s="426" t="str">
        <f ca="1">IFERROR("Face PSM: $"&amp;TEXT(INDEX('Input Data'!J:J,MATCH("LWR GROUND",'Input Data'!$C:$C,0)),"#,##0")&amp;"  |  Incent: "&amp;IF(INDEX('Input Data'!L:L,MATCH("LWR GROUND",'Input Data'!$C:$C,0))&lt;0,"$"&amp;TEXT(-INDEX('Input Data'!L:L,MATCH("LWR GROUND",'Input Data'!$C:$C,0))/INDEX('Input Data'!F:F,MATCH("LWR GROUND",'Input Data'!$C:$C,0)),"#,##0.00"),"nil"),"—")</f>
        <v>Face PSM: $1,002  |  Incent: $185.28</v>
      </c>
      <c r="E138" s="426"/>
      <c r="F138" s="426"/>
      <c r="G138" s="426"/>
      <c r="H138" s="426"/>
      <c r="I138" s="426"/>
      <c r="J138" s="426"/>
      <c r="K138" s="426"/>
      <c r="L138" s="426"/>
      <c r="M138" s="426"/>
      <c r="N138" s="426"/>
      <c r="O138" s="426"/>
      <c r="P138" s="426"/>
      <c r="Q138" s="426"/>
      <c r="R138" s="426"/>
      <c r="S138" s="426"/>
      <c r="T138" s="426"/>
      <c r="U138" s="426"/>
      <c r="V138" s="426"/>
      <c r="W138" s="426"/>
      <c r="X138" s="426"/>
      <c r="Y138" s="426"/>
      <c r="Z138" s="426"/>
      <c r="AA138" s="426"/>
      <c r="AB138" s="426"/>
      <c r="AC138" s="426"/>
      <c r="AD138" s="426"/>
      <c r="AE138" s="5"/>
    </row>
    <row r="139" spans="1:31" ht="15" customHeight="1" x14ac:dyDescent="0.35">
      <c r="A139" s="5"/>
      <c r="B139" s="418"/>
      <c r="C139" s="418"/>
      <c r="D139" s="426" t="str">
        <f ca="1">IFERROR("Outgoings: $"&amp;TEXT(INDEX('Input Data'!M:M,MATCH("LWR GROUND",'Input Data'!$C:$C,0))/INDEX('Input Data'!F:F,MATCH("LWR GROUND",'Input Data'!$C:$C,0)),"#,##0.00")&amp;" psm  |  Net: $"&amp;TEXT(INDEX('Input Data'!N:N,MATCH("LWR GROUND",'Input Data'!$C:$C,0)),"#,##0")&amp;" pa","—")</f>
        <v>Outgoings: $99.21 psm  |  Net: $123,489 pa</v>
      </c>
      <c r="E139" s="426"/>
      <c r="F139" s="426"/>
      <c r="G139" s="426"/>
      <c r="H139" s="426"/>
      <c r="I139" s="426"/>
      <c r="J139" s="426"/>
      <c r="K139" s="426"/>
      <c r="L139" s="426"/>
      <c r="M139" s="426"/>
      <c r="N139" s="426"/>
      <c r="O139" s="426"/>
      <c r="P139" s="426"/>
      <c r="Q139" s="426"/>
      <c r="R139" s="426"/>
      <c r="S139" s="426"/>
      <c r="T139" s="426"/>
      <c r="U139" s="426"/>
      <c r="V139" s="426"/>
      <c r="W139" s="426"/>
      <c r="X139" s="426"/>
      <c r="Y139" s="426"/>
      <c r="Z139" s="426"/>
      <c r="AA139" s="426"/>
      <c r="AB139" s="426"/>
      <c r="AC139" s="426"/>
      <c r="AD139" s="426"/>
      <c r="AE139" s="5"/>
    </row>
    <row r="140" spans="1:31" ht="15" customHeight="1" x14ac:dyDescent="0.35">
      <c r="A140" s="5"/>
      <c r="B140" s="418"/>
      <c r="C140" s="418"/>
      <c r="D140" s="426" t="str">
        <f ca="1">IFERROR("Start: "&amp;TEXT(INDEX('Input Data'!G:G,MATCH("LWR GROUND",'Input Data'!$C:$C,0)),"DD/MM/YY")&amp;"  →  Expiry: "&amp;TEXT(INDEX('Input Data'!H:H,MATCH("LWR GROUND",'Input Data'!$C:$C,0)),"DD/MM/YY"),"—")</f>
        <v>Start: 01/02/16  →  Expiry: 31/01/29</v>
      </c>
      <c r="E140" s="426"/>
      <c r="F140" s="426"/>
      <c r="G140" s="426"/>
      <c r="H140" s="426"/>
      <c r="I140" s="426"/>
      <c r="J140" s="426"/>
      <c r="K140" s="426"/>
      <c r="L140" s="426"/>
      <c r="M140" s="426"/>
      <c r="N140" s="426"/>
      <c r="O140" s="426"/>
      <c r="P140" s="426"/>
      <c r="Q140" s="426"/>
      <c r="R140" s="426"/>
      <c r="S140" s="426"/>
      <c r="T140" s="426"/>
      <c r="U140" s="426"/>
      <c r="V140" s="426"/>
      <c r="W140" s="426"/>
      <c r="X140" s="426"/>
      <c r="Y140" s="426"/>
      <c r="Z140" s="426"/>
      <c r="AA140" s="426"/>
      <c r="AB140" s="426"/>
      <c r="AC140" s="426"/>
      <c r="AD140" s="426"/>
      <c r="AE140" s="5"/>
    </row>
    <row r="141" spans="1:31" ht="15" customHeight="1" x14ac:dyDescent="0.35">
      <c r="A141" s="5"/>
      <c r="B141" s="418"/>
      <c r="C141" s="418"/>
      <c r="D141" s="426" t="str">
        <f ca="1">IFERROR(IF((INDEX('Input Data'!H:H,MATCH("LWR GROUND",'Input Data'!$C:$C,0))-TODAY())&gt;0,TEXT((INDEX('Input Data'!H:H,MATCH("LWR GROUND",'Input Data'!$C:$C,0))-TODAY())/365.25,"0.0")&amp;" yrs remaining","⚠ EXPIRED"),"—")</f>
        <v>2.3 yrs remaining</v>
      </c>
      <c r="E141" s="426"/>
      <c r="F141" s="426"/>
      <c r="G141" s="426"/>
      <c r="H141" s="426"/>
      <c r="I141" s="426"/>
      <c r="J141" s="426"/>
      <c r="K141" s="426"/>
      <c r="L141" s="426"/>
      <c r="M141" s="426"/>
      <c r="N141" s="426"/>
      <c r="O141" s="426"/>
      <c r="P141" s="426"/>
      <c r="Q141" s="426"/>
      <c r="R141" s="426"/>
      <c r="S141" s="426"/>
      <c r="T141" s="426"/>
      <c r="U141" s="426"/>
      <c r="V141" s="426"/>
      <c r="W141" s="426"/>
      <c r="X141" s="426"/>
      <c r="Y141" s="426"/>
      <c r="Z141" s="426"/>
      <c r="AA141" s="426"/>
      <c r="AB141" s="426"/>
      <c r="AC141" s="426"/>
      <c r="AD141" s="426"/>
      <c r="AE141" s="5"/>
    </row>
    <row r="142" spans="1:31" ht="15" customHeight="1" x14ac:dyDescent="0.35">
      <c r="A142" s="5"/>
      <c r="B142" s="418"/>
      <c r="C142" s="418"/>
      <c r="D142" s="426" t="str">
        <f>""</f>
        <v/>
      </c>
      <c r="E142" s="426"/>
      <c r="F142" s="426"/>
      <c r="G142" s="426"/>
      <c r="H142" s="426"/>
      <c r="I142" s="426"/>
      <c r="J142" s="426"/>
      <c r="K142" s="426"/>
      <c r="L142" s="426"/>
      <c r="M142" s="426"/>
      <c r="N142" s="426"/>
      <c r="O142" s="426"/>
      <c r="P142" s="426"/>
      <c r="Q142" s="426"/>
      <c r="R142" s="426"/>
      <c r="S142" s="426"/>
      <c r="T142" s="426"/>
      <c r="U142" s="426"/>
      <c r="V142" s="426"/>
      <c r="W142" s="426"/>
      <c r="X142" s="426"/>
      <c r="Y142" s="426"/>
      <c r="Z142" s="426"/>
      <c r="AA142" s="426"/>
      <c r="AB142" s="426"/>
      <c r="AC142" s="426"/>
      <c r="AD142" s="426"/>
      <c r="AE142" s="5"/>
    </row>
    <row r="143" spans="1:31" ht="3.75" customHeight="1" x14ac:dyDescent="0.35">
      <c r="A143" s="5"/>
      <c r="B143" s="418"/>
      <c r="C143" s="418"/>
      <c r="D143" s="424" t="str">
        <f>""</f>
        <v/>
      </c>
      <c r="E143" s="424"/>
      <c r="F143" s="424"/>
      <c r="G143" s="424"/>
      <c r="H143" s="424"/>
      <c r="I143" s="424"/>
      <c r="J143" s="424"/>
      <c r="K143" s="424"/>
      <c r="L143" s="424"/>
      <c r="M143" s="424"/>
      <c r="N143" s="424"/>
      <c r="O143" s="424"/>
      <c r="P143" s="424"/>
      <c r="Q143" s="424"/>
      <c r="R143" s="424"/>
      <c r="S143" s="424"/>
      <c r="T143" s="424"/>
      <c r="U143" s="424"/>
      <c r="V143" s="424"/>
      <c r="W143" s="424"/>
      <c r="X143" s="424"/>
      <c r="Y143" s="424"/>
      <c r="Z143" s="424"/>
      <c r="AA143" s="424"/>
      <c r="AB143" s="424"/>
      <c r="AC143" s="424"/>
      <c r="AD143" s="424"/>
      <c r="AE143" s="5"/>
    </row>
    <row r="144" spans="1:31" ht="15" customHeight="1" x14ac:dyDescent="0.35">
      <c r="A144" s="5"/>
      <c r="B144" s="1"/>
      <c r="C144" s="1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 spans="1:31" ht="7.5" customHeight="1" x14ac:dyDescent="0.35">
      <c r="A145" s="5"/>
      <c r="B145" s="83"/>
      <c r="C145" s="83"/>
      <c r="D145" s="438"/>
      <c r="E145" s="438"/>
      <c r="F145" s="438"/>
      <c r="G145" s="438"/>
      <c r="H145" s="438"/>
      <c r="I145" s="438"/>
      <c r="J145" s="438"/>
      <c r="K145" s="438"/>
      <c r="L145" s="438"/>
      <c r="M145" s="438"/>
      <c r="N145" s="438"/>
      <c r="O145" s="438"/>
      <c r="P145" s="438"/>
      <c r="Q145" s="438"/>
      <c r="R145" s="438"/>
      <c r="S145" s="438"/>
      <c r="T145" s="438"/>
      <c r="U145" s="438"/>
      <c r="V145" s="438"/>
      <c r="W145" s="438"/>
      <c r="X145" s="438"/>
      <c r="Y145" s="438"/>
      <c r="Z145" s="438"/>
      <c r="AA145" s="438"/>
      <c r="AB145" s="438"/>
      <c r="AC145" s="438"/>
      <c r="AD145" s="438"/>
      <c r="AE145" s="5"/>
    </row>
    <row r="146" spans="1:31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 spans="1:31" ht="18" customHeight="1" x14ac:dyDescent="0.35">
      <c r="A147" s="5"/>
      <c r="B147" s="323" t="s">
        <v>611</v>
      </c>
      <c r="C147" s="323"/>
      <c r="D147" s="323"/>
      <c r="E147" s="323"/>
      <c r="F147" s="323"/>
      <c r="G147" s="323"/>
      <c r="H147" s="323"/>
      <c r="I147" s="323"/>
      <c r="J147" s="323"/>
      <c r="K147" s="323"/>
      <c r="L147" s="323"/>
      <c r="M147" s="323"/>
      <c r="N147" s="323"/>
      <c r="O147" s="323"/>
      <c r="P147" s="323"/>
      <c r="Q147" s="323"/>
      <c r="R147" s="323"/>
      <c r="S147" s="323"/>
      <c r="T147" s="323"/>
      <c r="U147" s="323"/>
      <c r="V147" s="323"/>
      <c r="W147" s="323"/>
      <c r="X147" s="323"/>
      <c r="Y147" s="323"/>
      <c r="Z147" s="323"/>
      <c r="AA147" s="323"/>
      <c r="AB147" s="323"/>
      <c r="AC147" s="323"/>
      <c r="AD147" s="323"/>
      <c r="AE147" s="5"/>
    </row>
    <row r="148" spans="1:31" ht="19.5" customHeight="1" x14ac:dyDescent="0.35">
      <c r="A148" s="5"/>
      <c r="B148" s="5"/>
      <c r="C148" s="5"/>
      <c r="D148" s="354" t="s">
        <v>612</v>
      </c>
      <c r="E148" s="354"/>
      <c r="F148" s="5"/>
      <c r="G148" s="355" t="s">
        <v>451</v>
      </c>
      <c r="H148" s="355"/>
      <c r="I148" s="5"/>
      <c r="J148" s="353" t="s">
        <v>452</v>
      </c>
      <c r="K148" s="353"/>
      <c r="L148" s="5"/>
      <c r="M148" s="356" t="s">
        <v>453</v>
      </c>
      <c r="N148" s="356"/>
      <c r="O148" s="5"/>
      <c r="P148" s="439" t="s">
        <v>454</v>
      </c>
      <c r="Q148" s="439"/>
      <c r="R148" s="5"/>
      <c r="S148" s="440" t="s">
        <v>455</v>
      </c>
      <c r="T148" s="440"/>
      <c r="U148" s="5"/>
      <c r="V148" s="441" t="s">
        <v>456</v>
      </c>
      <c r="W148" s="441"/>
      <c r="X148" s="5"/>
      <c r="Y148" s="442" t="s">
        <v>457</v>
      </c>
      <c r="Z148" s="442"/>
      <c r="AA148" s="5"/>
      <c r="AB148" s="5"/>
      <c r="AC148" s="5"/>
      <c r="AD148" s="5"/>
      <c r="AE148" s="5"/>
    </row>
    <row r="149" spans="1:31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spans="1:31" ht="18" customHeight="1" x14ac:dyDescent="0.35">
      <c r="A150" s="5"/>
      <c r="B150" s="323" t="s">
        <v>613</v>
      </c>
      <c r="C150" s="323"/>
      <c r="D150" s="323"/>
      <c r="E150" s="323"/>
      <c r="F150" s="323"/>
      <c r="G150" s="323"/>
      <c r="H150" s="323"/>
      <c r="I150" s="323"/>
      <c r="J150" s="323"/>
      <c r="K150" s="323"/>
      <c r="L150" s="323"/>
      <c r="M150" s="323"/>
      <c r="N150" s="323"/>
      <c r="O150" s="323"/>
      <c r="P150" s="323"/>
      <c r="Q150" s="323"/>
      <c r="R150" s="323"/>
      <c r="S150" s="323"/>
      <c r="T150" s="323"/>
      <c r="U150" s="323"/>
      <c r="V150" s="323"/>
      <c r="W150" s="323"/>
      <c r="X150" s="323"/>
      <c r="Y150" s="323"/>
      <c r="Z150" s="323"/>
      <c r="AA150" s="323"/>
      <c r="AB150" s="323"/>
      <c r="AC150" s="323"/>
      <c r="AD150" s="323"/>
      <c r="AE150" s="5"/>
    </row>
    <row r="151" spans="1:31" ht="19.5" customHeight="1" x14ac:dyDescent="0.35">
      <c r="A151" s="5"/>
      <c r="B151" s="83"/>
      <c r="C151" s="83"/>
      <c r="D151" s="437" t="s">
        <v>614</v>
      </c>
      <c r="E151" s="437"/>
      <c r="F151" s="437"/>
      <c r="G151" s="437"/>
      <c r="H151" s="437" t="s">
        <v>615</v>
      </c>
      <c r="I151" s="437"/>
      <c r="J151" s="437"/>
      <c r="K151" s="437"/>
      <c r="L151" s="437" t="s">
        <v>616</v>
      </c>
      <c r="M151" s="437"/>
      <c r="N151" s="437"/>
      <c r="O151" s="437"/>
      <c r="P151" s="437" t="s">
        <v>617</v>
      </c>
      <c r="Q151" s="437"/>
      <c r="R151" s="437"/>
      <c r="S151" s="437"/>
      <c r="T151" s="437" t="s">
        <v>618</v>
      </c>
      <c r="U151" s="437"/>
      <c r="V151" s="437"/>
      <c r="W151" s="437"/>
      <c r="X151" s="437" t="s">
        <v>619</v>
      </c>
      <c r="Y151" s="437"/>
      <c r="Z151" s="437"/>
      <c r="AA151" s="437"/>
      <c r="AB151" s="5"/>
      <c r="AC151" s="5"/>
      <c r="AD151" s="5"/>
      <c r="AE151" s="5"/>
    </row>
  </sheetData>
  <mergeCells count="274">
    <mergeCell ref="B150:AD150"/>
    <mergeCell ref="D151:G151"/>
    <mergeCell ref="H151:K151"/>
    <mergeCell ref="L151:O151"/>
    <mergeCell ref="P151:S151"/>
    <mergeCell ref="T151:W151"/>
    <mergeCell ref="X151:AA151"/>
    <mergeCell ref="D145:AD145"/>
    <mergeCell ref="B147:AD147"/>
    <mergeCell ref="D148:E148"/>
    <mergeCell ref="G148:H148"/>
    <mergeCell ref="J148:K148"/>
    <mergeCell ref="M148:N148"/>
    <mergeCell ref="P148:Q148"/>
    <mergeCell ref="S148:T148"/>
    <mergeCell ref="V148:W148"/>
    <mergeCell ref="Y148:Z148"/>
    <mergeCell ref="D116:P116"/>
    <mergeCell ref="Q116:W116"/>
    <mergeCell ref="X116:AD116"/>
    <mergeCell ref="B135:B143"/>
    <mergeCell ref="C135:C143"/>
    <mergeCell ref="D135:AD135"/>
    <mergeCell ref="D136:AD136"/>
    <mergeCell ref="D137:AD137"/>
    <mergeCell ref="D138:AD138"/>
    <mergeCell ref="D139:AD139"/>
    <mergeCell ref="D140:AD140"/>
    <mergeCell ref="D141:AD141"/>
    <mergeCell ref="D142:AD142"/>
    <mergeCell ref="D143:AD143"/>
    <mergeCell ref="D119:P119"/>
    <mergeCell ref="Q119:W119"/>
    <mergeCell ref="X119:AD119"/>
    <mergeCell ref="Q122:W122"/>
    <mergeCell ref="X122:AD122"/>
    <mergeCell ref="D123:P123"/>
    <mergeCell ref="Q123:W123"/>
    <mergeCell ref="X123:AD123"/>
    <mergeCell ref="B125:B133"/>
    <mergeCell ref="C125:C133"/>
    <mergeCell ref="D125:AD125"/>
    <mergeCell ref="D126:AD126"/>
    <mergeCell ref="D127:AD127"/>
    <mergeCell ref="D128:AD128"/>
    <mergeCell ref="D129:AD129"/>
    <mergeCell ref="D130:AD130"/>
    <mergeCell ref="D131:AD131"/>
    <mergeCell ref="D132:AD132"/>
    <mergeCell ref="D133:AD133"/>
    <mergeCell ref="B115:B123"/>
    <mergeCell ref="C115:C123"/>
    <mergeCell ref="D115:P115"/>
    <mergeCell ref="Q115:W115"/>
    <mergeCell ref="X115:AD115"/>
    <mergeCell ref="D120:P120"/>
    <mergeCell ref="Q120:W120"/>
    <mergeCell ref="X120:AD120"/>
    <mergeCell ref="D121:P121"/>
    <mergeCell ref="Q121:W121"/>
    <mergeCell ref="X121:AD121"/>
    <mergeCell ref="D122:P122"/>
    <mergeCell ref="B105:B113"/>
    <mergeCell ref="C105:C113"/>
    <mergeCell ref="D105:AD105"/>
    <mergeCell ref="D106:AD106"/>
    <mergeCell ref="D107:AD107"/>
    <mergeCell ref="D108:AD108"/>
    <mergeCell ref="D109:AD109"/>
    <mergeCell ref="D110:AD110"/>
    <mergeCell ref="D111:AD111"/>
    <mergeCell ref="D112:AD112"/>
    <mergeCell ref="D113:AD113"/>
    <mergeCell ref="D117:P117"/>
    <mergeCell ref="Q117:W117"/>
    <mergeCell ref="X117:AD117"/>
    <mergeCell ref="D118:P118"/>
    <mergeCell ref="Q118:W118"/>
    <mergeCell ref="X118:AD118"/>
    <mergeCell ref="B95:B103"/>
    <mergeCell ref="C95:C103"/>
    <mergeCell ref="D95:O95"/>
    <mergeCell ref="P95:AD95"/>
    <mergeCell ref="D96:O96"/>
    <mergeCell ref="P96:AD96"/>
    <mergeCell ref="D97:O97"/>
    <mergeCell ref="P97:AD97"/>
    <mergeCell ref="D98:O98"/>
    <mergeCell ref="P98:AD98"/>
    <mergeCell ref="D99:O99"/>
    <mergeCell ref="P99:AD99"/>
    <mergeCell ref="D100:O100"/>
    <mergeCell ref="P100:AD100"/>
    <mergeCell ref="D101:O101"/>
    <mergeCell ref="P101:AD101"/>
    <mergeCell ref="D102:O102"/>
    <mergeCell ref="P102:AD102"/>
    <mergeCell ref="D103:O103"/>
    <mergeCell ref="P103:AD103"/>
    <mergeCell ref="B85:B93"/>
    <mergeCell ref="C85:C93"/>
    <mergeCell ref="D85:S85"/>
    <mergeCell ref="T85:AD85"/>
    <mergeCell ref="D86:S86"/>
    <mergeCell ref="T86:AD86"/>
    <mergeCell ref="D87:S87"/>
    <mergeCell ref="T87:AD87"/>
    <mergeCell ref="D88:S88"/>
    <mergeCell ref="T88:AD88"/>
    <mergeCell ref="D89:S89"/>
    <mergeCell ref="T89:AD89"/>
    <mergeCell ref="D90:S90"/>
    <mergeCell ref="T90:AD90"/>
    <mergeCell ref="D91:S91"/>
    <mergeCell ref="T91:AD91"/>
    <mergeCell ref="D92:S92"/>
    <mergeCell ref="T92:AD92"/>
    <mergeCell ref="D93:S93"/>
    <mergeCell ref="T93:AD93"/>
    <mergeCell ref="B75:B83"/>
    <mergeCell ref="C75:C83"/>
    <mergeCell ref="D75:R75"/>
    <mergeCell ref="S75:AD75"/>
    <mergeCell ref="D76:R76"/>
    <mergeCell ref="S76:AD76"/>
    <mergeCell ref="D77:R77"/>
    <mergeCell ref="S77:AD77"/>
    <mergeCell ref="D78:R78"/>
    <mergeCell ref="S78:AD78"/>
    <mergeCell ref="D79:R79"/>
    <mergeCell ref="S79:AD79"/>
    <mergeCell ref="D80:R80"/>
    <mergeCell ref="S80:AD80"/>
    <mergeCell ref="D81:R81"/>
    <mergeCell ref="S81:AD81"/>
    <mergeCell ref="D82:R82"/>
    <mergeCell ref="S82:AD82"/>
    <mergeCell ref="D83:R83"/>
    <mergeCell ref="S83:AD83"/>
    <mergeCell ref="B65:B73"/>
    <mergeCell ref="C65:C73"/>
    <mergeCell ref="D65:S65"/>
    <mergeCell ref="T65:AD65"/>
    <mergeCell ref="D66:S66"/>
    <mergeCell ref="T66:AD66"/>
    <mergeCell ref="D67:S67"/>
    <mergeCell ref="T67:AD67"/>
    <mergeCell ref="D68:S68"/>
    <mergeCell ref="T68:AD68"/>
    <mergeCell ref="D69:S69"/>
    <mergeCell ref="T69:AD69"/>
    <mergeCell ref="D70:S70"/>
    <mergeCell ref="T70:AD70"/>
    <mergeCell ref="D71:S71"/>
    <mergeCell ref="T71:AD71"/>
    <mergeCell ref="D72:S72"/>
    <mergeCell ref="T72:AD72"/>
    <mergeCell ref="D73:S73"/>
    <mergeCell ref="T73:AD73"/>
    <mergeCell ref="B55:B63"/>
    <mergeCell ref="C55:C63"/>
    <mergeCell ref="D55:R55"/>
    <mergeCell ref="S55:AD55"/>
    <mergeCell ref="D56:R56"/>
    <mergeCell ref="S56:AD56"/>
    <mergeCell ref="D57:R57"/>
    <mergeCell ref="S57:AD57"/>
    <mergeCell ref="D58:R58"/>
    <mergeCell ref="S58:AD58"/>
    <mergeCell ref="D59:R59"/>
    <mergeCell ref="S59:AD59"/>
    <mergeCell ref="D60:R60"/>
    <mergeCell ref="S60:AD60"/>
    <mergeCell ref="D61:R61"/>
    <mergeCell ref="S61:AD61"/>
    <mergeCell ref="D62:R62"/>
    <mergeCell ref="S62:AD62"/>
    <mergeCell ref="D63:R63"/>
    <mergeCell ref="S63:AD63"/>
    <mergeCell ref="B45:B53"/>
    <mergeCell ref="C45:C53"/>
    <mergeCell ref="D45:T45"/>
    <mergeCell ref="U45:AD45"/>
    <mergeCell ref="D46:T46"/>
    <mergeCell ref="U46:AD46"/>
    <mergeCell ref="D47:T47"/>
    <mergeCell ref="U47:AD47"/>
    <mergeCell ref="D48:T48"/>
    <mergeCell ref="U48:AD48"/>
    <mergeCell ref="D49:T49"/>
    <mergeCell ref="U49:AD49"/>
    <mergeCell ref="D50:T50"/>
    <mergeCell ref="U50:AD50"/>
    <mergeCell ref="D51:T51"/>
    <mergeCell ref="U51:AD51"/>
    <mergeCell ref="D52:T52"/>
    <mergeCell ref="U52:AD52"/>
    <mergeCell ref="D53:T53"/>
    <mergeCell ref="U53:AD53"/>
    <mergeCell ref="B35:B43"/>
    <mergeCell ref="C35:C43"/>
    <mergeCell ref="D35:I35"/>
    <mergeCell ref="J35:AD35"/>
    <mergeCell ref="D36:I36"/>
    <mergeCell ref="J36:AD36"/>
    <mergeCell ref="D37:I37"/>
    <mergeCell ref="J37:AD37"/>
    <mergeCell ref="D38:I38"/>
    <mergeCell ref="J38:AD38"/>
    <mergeCell ref="D39:I39"/>
    <mergeCell ref="J39:AD39"/>
    <mergeCell ref="D40:I40"/>
    <mergeCell ref="J40:AD40"/>
    <mergeCell ref="D41:I41"/>
    <mergeCell ref="J41:AD41"/>
    <mergeCell ref="D42:I42"/>
    <mergeCell ref="J42:AD42"/>
    <mergeCell ref="D43:I43"/>
    <mergeCell ref="J43:AD43"/>
    <mergeCell ref="D23:I23"/>
    <mergeCell ref="J23:S23"/>
    <mergeCell ref="T23:AD23"/>
    <mergeCell ref="B25:B33"/>
    <mergeCell ref="C25:C33"/>
    <mergeCell ref="D25:AD25"/>
    <mergeCell ref="D26:AD26"/>
    <mergeCell ref="D27:AD27"/>
    <mergeCell ref="D28:AD28"/>
    <mergeCell ref="D29:AD29"/>
    <mergeCell ref="D30:AD30"/>
    <mergeCell ref="D31:AD31"/>
    <mergeCell ref="D32:AD32"/>
    <mergeCell ref="D33:AD33"/>
    <mergeCell ref="B15:B23"/>
    <mergeCell ref="C15:C23"/>
    <mergeCell ref="D15:I15"/>
    <mergeCell ref="J15:S15"/>
    <mergeCell ref="T15:AD15"/>
    <mergeCell ref="D16:I16"/>
    <mergeCell ref="J16:S16"/>
    <mergeCell ref="T16:AD16"/>
    <mergeCell ref="T17:AD17"/>
    <mergeCell ref="D18:I18"/>
    <mergeCell ref="J18:S18"/>
    <mergeCell ref="T18:AD18"/>
    <mergeCell ref="D19:I19"/>
    <mergeCell ref="J19:S19"/>
    <mergeCell ref="T19:AD19"/>
    <mergeCell ref="J22:S22"/>
    <mergeCell ref="T22:AD22"/>
    <mergeCell ref="D20:I20"/>
    <mergeCell ref="J20:S20"/>
    <mergeCell ref="T20:AD20"/>
    <mergeCell ref="D21:I21"/>
    <mergeCell ref="J21:S21"/>
    <mergeCell ref="T21:AD21"/>
    <mergeCell ref="D22:I22"/>
    <mergeCell ref="A1:AE1"/>
    <mergeCell ref="A2:AE2"/>
    <mergeCell ref="D3:AD3"/>
    <mergeCell ref="D4:AD4"/>
    <mergeCell ref="B5:B13"/>
    <mergeCell ref="C5:C13"/>
    <mergeCell ref="D5:AD5"/>
    <mergeCell ref="D6:AD6"/>
    <mergeCell ref="D7:AD7"/>
    <mergeCell ref="D8:AD8"/>
    <mergeCell ref="D9:AD9"/>
    <mergeCell ref="D10:AD10"/>
    <mergeCell ref="D11:AD11"/>
    <mergeCell ref="D12:AD12"/>
    <mergeCell ref="D13:AD13"/>
    <mergeCell ref="D17:I17"/>
    <mergeCell ref="J17:S17"/>
  </mergeCells>
  <pageMargins left="0.75" right="0.75" top="1" bottom="1" header="0.51180555555555596" footer="0.51180555555555596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1.453125" customWidth="1"/>
    <col min="2" max="2" width="14" customWidth="1"/>
    <col min="3" max="3" width="12" customWidth="1"/>
    <col min="4" max="6" width="14" customWidth="1"/>
    <col min="7" max="12" width="12" customWidth="1"/>
    <col min="13" max="13" width="1.453125" customWidth="1"/>
  </cols>
  <sheetData>
    <row r="1" spans="1:13" ht="30" customHeight="1" x14ac:dyDescent="0.35">
      <c r="A1" s="321" t="s">
        <v>620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</row>
    <row r="2" spans="1:13" ht="24" customHeight="1" x14ac:dyDescent="0.35">
      <c r="A2" s="398" t="s">
        <v>621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</row>
    <row r="3" spans="1:13" ht="30" customHeight="1" x14ac:dyDescent="0.35">
      <c r="A3" s="443" t="s">
        <v>622</v>
      </c>
      <c r="B3" s="443"/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</row>
    <row r="4" spans="1:13" ht="36" customHeight="1" x14ac:dyDescent="0.35">
      <c r="A4" s="5"/>
      <c r="B4" s="24" t="s">
        <v>372</v>
      </c>
      <c r="C4" s="24" t="s">
        <v>623</v>
      </c>
      <c r="D4" s="24" t="s">
        <v>624</v>
      </c>
      <c r="E4" s="24" t="s">
        <v>625</v>
      </c>
      <c r="F4" s="24" t="s">
        <v>626</v>
      </c>
      <c r="G4" s="24" t="s">
        <v>627</v>
      </c>
      <c r="H4" s="24" t="s">
        <v>628</v>
      </c>
      <c r="I4" s="24" t="s">
        <v>629</v>
      </c>
      <c r="J4" s="24" t="s">
        <v>630</v>
      </c>
      <c r="K4" s="24" t="s">
        <v>631</v>
      </c>
      <c r="L4" s="24" t="s">
        <v>632</v>
      </c>
      <c r="M4" s="24" t="s">
        <v>84</v>
      </c>
    </row>
    <row r="5" spans="1:13" ht="19.5" customHeight="1" x14ac:dyDescent="0.35">
      <c r="A5" s="6" t="s">
        <v>633</v>
      </c>
      <c r="B5" s="125">
        <f ca="1">TODAY()</f>
        <v>46311</v>
      </c>
      <c r="C5" s="210">
        <f ca="1">SUMPRODUCT(('Input Data'!K3:K27&gt;0)*('Input Data'!Y3:Y27&lt;&gt;"EXPIRED")*'Input Data'!F3:F27)</f>
        <v>4318.4000000000005</v>
      </c>
      <c r="D5" s="137">
        <f ca="1">IFERROR(C5/SUM('Input Data'!F3:F27),0)</f>
        <v>0.91792964183228831</v>
      </c>
      <c r="E5" s="139">
        <f ca="1">SUMPRODUCT(('Input Data'!K3:K27&gt;0)*('Input Data'!Y3:Y27&lt;&gt;"EXPIRED")*'Input Data'!K3:K27)</f>
        <v>4907584.0530000003</v>
      </c>
      <c r="F5" s="139">
        <f ca="1">SUMPRODUCT(('Input Data'!K3:K27&gt;0)*('Input Data'!Y3:Y27&lt;&gt;"EXPIRED")*'Input Data'!N3:N27)</f>
        <v>4033664.6029999997</v>
      </c>
      <c r="G5" s="139">
        <f ca="1">IFERROR(SUMPRODUCT(('Input Data'!K3:K27&gt;0)*('Input Data'!Y3:Y27&lt;&gt;"EXPIRED")*'Input Data'!J3:J27*'Input Data'!F3:F27)/SUMPRODUCT(('Input Data'!K3:K27&gt;0)*('Input Data'!Y3:Y27&lt;&gt;"EXPIRED")*'Input Data'!F3:F27),0)</f>
        <v>1136.4357292052612</v>
      </c>
      <c r="H5" s="139">
        <f ca="1">IFERROR(SUMPRODUCT(('Input Data'!K3:K27&gt;0)*('Input Data'!Y3:Y27&lt;&gt;"EXPIRED")*('Input Data'!K3:K27+'Input Data'!L3:L27))/SUMPRODUCT(('Input Data'!K3:K27&gt;0)*('Input Data'!Y3:Y27&lt;&gt;"EXPIRED")*'Input Data'!F3:F27),0)</f>
        <v>934.06460795665043</v>
      </c>
      <c r="I5" s="139">
        <f ca="1">IFERROR((E5-F5)/C5,0)</f>
        <v>202.37112124861073</v>
      </c>
      <c r="J5" s="211">
        <f ca="1">IFERROR((E5-F5)/E5,0)</f>
        <v>0.17807528929958413</v>
      </c>
      <c r="K5" s="212">
        <f ca="1">IFERROR(SUMPRODUCT(('Input Data'!K3:K27&gt;0)*('Input Data'!Y3:Y27&lt;&gt;"EXPIRED")*'Input Data'!F3:F27*MAX(('Input Data'!H3:H27-TODAY())/365.25,0))/SUMPRODUCT(('Input Data'!K3:K27&gt;0)*('Input Data'!Y3:Y27&lt;&gt;"EXPIRED")*'Input Data'!F3:F27),0)</f>
        <v>0</v>
      </c>
      <c r="L5" s="212">
        <f ca="1">IFERROR(SUMPRODUCT(('Input Data'!K3:K27&gt;0)*('Input Data'!Y3:Y27&lt;&gt;"EXPIRED")*'Input Data'!N3:N27*MAX(('Input Data'!H3:H27-TODAY())/365.25,0))/SUMPRODUCT(('Input Data'!K3:K27&gt;0)*('Input Data'!Y3:Y27&lt;&gt;"EXPIRED")*'Input Data'!N3:N27),0)</f>
        <v>0</v>
      </c>
      <c r="M5" s="26" t="str">
        <f>" ← Live (recalculates each month)"</f>
        <v xml:space="preserve"> ← Live (recalculates each month)</v>
      </c>
    </row>
    <row r="6" spans="1:13" ht="18" customHeight="1" x14ac:dyDescent="0.35">
      <c r="A6" s="213">
        <v>1</v>
      </c>
      <c r="B6" s="9">
        <v>46142</v>
      </c>
      <c r="C6" s="48">
        <v>4544.2</v>
      </c>
      <c r="D6" s="214">
        <v>0.96589999999999998</v>
      </c>
      <c r="E6" s="50">
        <v>4460629</v>
      </c>
      <c r="F6" s="50">
        <v>4009966</v>
      </c>
      <c r="G6" s="50">
        <v>980</v>
      </c>
      <c r="H6" s="50">
        <v>882</v>
      </c>
      <c r="I6" s="50">
        <v>98</v>
      </c>
      <c r="J6" s="51">
        <v>9.8199999999999996E-2</v>
      </c>
      <c r="K6" s="52">
        <v>2.44</v>
      </c>
      <c r="L6" s="52">
        <v>2.5099999999999998</v>
      </c>
      <c r="M6" s="20" t="s">
        <v>634</v>
      </c>
    </row>
    <row r="7" spans="1:13" ht="18" customHeight="1" x14ac:dyDescent="0.35">
      <c r="A7" s="215">
        <v>2</v>
      </c>
      <c r="B7" s="216"/>
      <c r="C7" s="217"/>
      <c r="D7" s="218"/>
      <c r="E7" s="219"/>
      <c r="F7" s="219"/>
      <c r="G7" s="219"/>
      <c r="H7" s="219"/>
      <c r="I7" s="219"/>
      <c r="J7" s="220"/>
      <c r="K7" s="221"/>
      <c r="L7" s="221"/>
      <c r="M7" s="222"/>
    </row>
    <row r="8" spans="1:13" ht="18" customHeight="1" x14ac:dyDescent="0.35">
      <c r="A8" s="213">
        <v>3</v>
      </c>
      <c r="B8" s="216"/>
      <c r="C8" s="217"/>
      <c r="D8" s="218"/>
      <c r="E8" s="219"/>
      <c r="F8" s="219"/>
      <c r="G8" s="219"/>
      <c r="H8" s="219"/>
      <c r="I8" s="219"/>
      <c r="J8" s="220"/>
      <c r="K8" s="221"/>
      <c r="L8" s="221"/>
      <c r="M8" s="222"/>
    </row>
    <row r="9" spans="1:13" ht="18" customHeight="1" x14ac:dyDescent="0.35">
      <c r="A9" s="215">
        <v>4</v>
      </c>
      <c r="B9" s="216"/>
      <c r="C9" s="217"/>
      <c r="D9" s="218"/>
      <c r="E9" s="219"/>
      <c r="F9" s="219"/>
      <c r="G9" s="219"/>
      <c r="H9" s="219"/>
      <c r="I9" s="219"/>
      <c r="J9" s="220"/>
      <c r="K9" s="221"/>
      <c r="L9" s="221"/>
      <c r="M9" s="222"/>
    </row>
    <row r="10" spans="1:13" ht="18" customHeight="1" x14ac:dyDescent="0.35">
      <c r="A10" s="213">
        <v>5</v>
      </c>
      <c r="B10" s="216"/>
      <c r="C10" s="217"/>
      <c r="D10" s="218"/>
      <c r="E10" s="219"/>
      <c r="F10" s="219"/>
      <c r="G10" s="219"/>
      <c r="H10" s="219"/>
      <c r="I10" s="219"/>
      <c r="J10" s="220"/>
      <c r="K10" s="221"/>
      <c r="L10" s="221"/>
      <c r="M10" s="222"/>
    </row>
    <row r="11" spans="1:13" ht="18" customHeight="1" x14ac:dyDescent="0.35">
      <c r="A11" s="215">
        <v>6</v>
      </c>
      <c r="B11" s="216"/>
      <c r="C11" s="217"/>
      <c r="D11" s="218"/>
      <c r="E11" s="219"/>
      <c r="F11" s="219"/>
      <c r="G11" s="219"/>
      <c r="H11" s="219"/>
      <c r="I11" s="219"/>
      <c r="J11" s="220"/>
      <c r="K11" s="221"/>
      <c r="L11" s="221"/>
      <c r="M11" s="222"/>
    </row>
    <row r="12" spans="1:13" ht="18" customHeight="1" x14ac:dyDescent="0.35">
      <c r="A12" s="213">
        <v>7</v>
      </c>
      <c r="B12" s="216"/>
      <c r="C12" s="217"/>
      <c r="D12" s="218"/>
      <c r="E12" s="219"/>
      <c r="F12" s="219"/>
      <c r="G12" s="219"/>
      <c r="H12" s="219"/>
      <c r="I12" s="219"/>
      <c r="J12" s="220"/>
      <c r="K12" s="221"/>
      <c r="L12" s="221"/>
      <c r="M12" s="222"/>
    </row>
    <row r="13" spans="1:13" ht="18" customHeight="1" x14ac:dyDescent="0.35">
      <c r="A13" s="215">
        <v>8</v>
      </c>
      <c r="B13" s="216"/>
      <c r="C13" s="217"/>
      <c r="D13" s="218"/>
      <c r="E13" s="219"/>
      <c r="F13" s="219"/>
      <c r="G13" s="219"/>
      <c r="H13" s="219"/>
      <c r="I13" s="219"/>
      <c r="J13" s="220"/>
      <c r="K13" s="221"/>
      <c r="L13" s="221"/>
      <c r="M13" s="222"/>
    </row>
    <row r="14" spans="1:13" ht="18" customHeight="1" x14ac:dyDescent="0.35">
      <c r="A14" s="213">
        <v>9</v>
      </c>
      <c r="B14" s="216"/>
      <c r="C14" s="217"/>
      <c r="D14" s="218"/>
      <c r="E14" s="219"/>
      <c r="F14" s="219"/>
      <c r="G14" s="219"/>
      <c r="H14" s="219"/>
      <c r="I14" s="219"/>
      <c r="J14" s="220"/>
      <c r="K14" s="221"/>
      <c r="L14" s="221"/>
      <c r="M14" s="222"/>
    </row>
    <row r="15" spans="1:13" ht="18" customHeight="1" x14ac:dyDescent="0.35">
      <c r="A15" s="215">
        <v>10</v>
      </c>
      <c r="B15" s="216"/>
      <c r="C15" s="217"/>
      <c r="D15" s="218"/>
      <c r="E15" s="219"/>
      <c r="F15" s="219"/>
      <c r="G15" s="219"/>
      <c r="H15" s="219"/>
      <c r="I15" s="219"/>
      <c r="J15" s="220"/>
      <c r="K15" s="221"/>
      <c r="L15" s="221"/>
      <c r="M15" s="222"/>
    </row>
    <row r="16" spans="1:13" ht="18" customHeight="1" x14ac:dyDescent="0.35">
      <c r="A16" s="213">
        <v>11</v>
      </c>
      <c r="B16" s="216"/>
      <c r="C16" s="217"/>
      <c r="D16" s="218"/>
      <c r="E16" s="219"/>
      <c r="F16" s="219"/>
      <c r="G16" s="219"/>
      <c r="H16" s="219"/>
      <c r="I16" s="219"/>
      <c r="J16" s="220"/>
      <c r="K16" s="221"/>
      <c r="L16" s="221"/>
      <c r="M16" s="222"/>
    </row>
    <row r="17" spans="1:13" ht="18" customHeight="1" x14ac:dyDescent="0.35">
      <c r="A17" s="215">
        <v>12</v>
      </c>
      <c r="B17" s="216"/>
      <c r="C17" s="217"/>
      <c r="D17" s="218"/>
      <c r="E17" s="219"/>
      <c r="F17" s="219"/>
      <c r="G17" s="219"/>
      <c r="H17" s="219"/>
      <c r="I17" s="219"/>
      <c r="J17" s="220"/>
      <c r="K17" s="221"/>
      <c r="L17" s="221"/>
      <c r="M17" s="222"/>
    </row>
    <row r="18" spans="1:13" ht="18" customHeight="1" x14ac:dyDescent="0.35">
      <c r="A18" s="213">
        <v>13</v>
      </c>
      <c r="B18" s="216"/>
      <c r="C18" s="217"/>
      <c r="D18" s="218"/>
      <c r="E18" s="219"/>
      <c r="F18" s="219"/>
      <c r="G18" s="219"/>
      <c r="H18" s="219"/>
      <c r="I18" s="219"/>
      <c r="J18" s="220"/>
      <c r="K18" s="221"/>
      <c r="L18" s="221"/>
      <c r="M18" s="222"/>
    </row>
    <row r="19" spans="1:13" ht="18" customHeight="1" x14ac:dyDescent="0.35">
      <c r="A19" s="215">
        <v>14</v>
      </c>
      <c r="B19" s="216"/>
      <c r="C19" s="217"/>
      <c r="D19" s="218"/>
      <c r="E19" s="219"/>
      <c r="F19" s="219"/>
      <c r="G19" s="219"/>
      <c r="H19" s="219"/>
      <c r="I19" s="219"/>
      <c r="J19" s="220"/>
      <c r="K19" s="221"/>
      <c r="L19" s="221"/>
      <c r="M19" s="222"/>
    </row>
    <row r="20" spans="1:13" ht="18" customHeight="1" x14ac:dyDescent="0.35">
      <c r="A20" s="213">
        <v>15</v>
      </c>
      <c r="B20" s="216"/>
      <c r="C20" s="217"/>
      <c r="D20" s="218"/>
      <c r="E20" s="219"/>
      <c r="F20" s="219"/>
      <c r="G20" s="219"/>
      <c r="H20" s="219"/>
      <c r="I20" s="219"/>
      <c r="J20" s="220"/>
      <c r="K20" s="221"/>
      <c r="L20" s="221"/>
      <c r="M20" s="222"/>
    </row>
    <row r="21" spans="1:13" ht="18" customHeight="1" x14ac:dyDescent="0.35">
      <c r="A21" s="215">
        <v>16</v>
      </c>
      <c r="B21" s="216"/>
      <c r="C21" s="217"/>
      <c r="D21" s="218"/>
      <c r="E21" s="219"/>
      <c r="F21" s="219"/>
      <c r="G21" s="219"/>
      <c r="H21" s="219"/>
      <c r="I21" s="219"/>
      <c r="J21" s="220"/>
      <c r="K21" s="221"/>
      <c r="L21" s="221"/>
      <c r="M21" s="222"/>
    </row>
    <row r="22" spans="1:13" ht="18" customHeight="1" x14ac:dyDescent="0.35">
      <c r="A22" s="213">
        <v>17</v>
      </c>
      <c r="B22" s="216"/>
      <c r="C22" s="217"/>
      <c r="D22" s="218"/>
      <c r="E22" s="219"/>
      <c r="F22" s="219"/>
      <c r="G22" s="219"/>
      <c r="H22" s="219"/>
      <c r="I22" s="219"/>
      <c r="J22" s="220"/>
      <c r="K22" s="221"/>
      <c r="L22" s="221"/>
      <c r="M22" s="222"/>
    </row>
    <row r="23" spans="1:13" ht="18" customHeight="1" x14ac:dyDescent="0.35">
      <c r="A23" s="215">
        <v>18</v>
      </c>
      <c r="B23" s="216"/>
      <c r="C23" s="217"/>
      <c r="D23" s="218"/>
      <c r="E23" s="219"/>
      <c r="F23" s="219"/>
      <c r="G23" s="219"/>
      <c r="H23" s="219"/>
      <c r="I23" s="219"/>
      <c r="J23" s="220"/>
      <c r="K23" s="221"/>
      <c r="L23" s="221"/>
      <c r="M23" s="222"/>
    </row>
    <row r="24" spans="1:13" ht="18" customHeight="1" x14ac:dyDescent="0.35">
      <c r="A24" s="213">
        <v>19</v>
      </c>
      <c r="B24" s="216"/>
      <c r="C24" s="217"/>
      <c r="D24" s="218"/>
      <c r="E24" s="219"/>
      <c r="F24" s="219"/>
      <c r="G24" s="219"/>
      <c r="H24" s="219"/>
      <c r="I24" s="219"/>
      <c r="J24" s="220"/>
      <c r="K24" s="221"/>
      <c r="L24" s="221"/>
      <c r="M24" s="222"/>
    </row>
    <row r="25" spans="1:13" ht="18" customHeight="1" x14ac:dyDescent="0.35">
      <c r="A25" s="215">
        <v>20</v>
      </c>
      <c r="B25" s="216"/>
      <c r="C25" s="217"/>
      <c r="D25" s="218"/>
      <c r="E25" s="219"/>
      <c r="F25" s="219"/>
      <c r="G25" s="219"/>
      <c r="H25" s="219"/>
      <c r="I25" s="219"/>
      <c r="J25" s="220"/>
      <c r="K25" s="221"/>
      <c r="L25" s="221"/>
      <c r="M25" s="222"/>
    </row>
    <row r="26" spans="1:13" ht="18" customHeight="1" x14ac:dyDescent="0.35">
      <c r="A26" s="213">
        <v>21</v>
      </c>
      <c r="B26" s="216"/>
      <c r="C26" s="217"/>
      <c r="D26" s="218"/>
      <c r="E26" s="219"/>
      <c r="F26" s="219"/>
      <c r="G26" s="219"/>
      <c r="H26" s="219"/>
      <c r="I26" s="219"/>
      <c r="J26" s="220"/>
      <c r="K26" s="221"/>
      <c r="L26" s="221"/>
      <c r="M26" s="222"/>
    </row>
    <row r="27" spans="1:13" ht="18" customHeight="1" x14ac:dyDescent="0.35">
      <c r="A27" s="215">
        <v>22</v>
      </c>
      <c r="B27" s="216"/>
      <c r="C27" s="217"/>
      <c r="D27" s="218"/>
      <c r="E27" s="219"/>
      <c r="F27" s="219"/>
      <c r="G27" s="219"/>
      <c r="H27" s="219"/>
      <c r="I27" s="219"/>
      <c r="J27" s="220"/>
      <c r="K27" s="221"/>
      <c r="L27" s="221"/>
      <c r="M27" s="222"/>
    </row>
    <row r="28" spans="1:13" ht="18" customHeight="1" x14ac:dyDescent="0.35">
      <c r="A28" s="213">
        <v>23</v>
      </c>
      <c r="B28" s="216"/>
      <c r="C28" s="217"/>
      <c r="D28" s="218"/>
      <c r="E28" s="219"/>
      <c r="F28" s="219"/>
      <c r="G28" s="219"/>
      <c r="H28" s="219"/>
      <c r="I28" s="219"/>
      <c r="J28" s="220"/>
      <c r="K28" s="221"/>
      <c r="L28" s="221"/>
      <c r="M28" s="222"/>
    </row>
    <row r="29" spans="1:13" ht="18" customHeight="1" x14ac:dyDescent="0.35">
      <c r="A29" s="215">
        <v>24</v>
      </c>
      <c r="B29" s="216"/>
      <c r="C29" s="217"/>
      <c r="D29" s="218"/>
      <c r="E29" s="219"/>
      <c r="F29" s="219"/>
      <c r="G29" s="219"/>
      <c r="H29" s="219"/>
      <c r="I29" s="219"/>
      <c r="J29" s="220"/>
      <c r="K29" s="221"/>
      <c r="L29" s="221"/>
      <c r="M29" s="222"/>
    </row>
    <row r="30" spans="1:13" ht="18" customHeight="1" x14ac:dyDescent="0.35">
      <c r="A30" s="213">
        <v>25</v>
      </c>
      <c r="B30" s="216"/>
      <c r="C30" s="217"/>
      <c r="D30" s="218"/>
      <c r="E30" s="219"/>
      <c r="F30" s="219"/>
      <c r="G30" s="219"/>
      <c r="H30" s="219"/>
      <c r="I30" s="219"/>
      <c r="J30" s="220"/>
      <c r="K30" s="221"/>
      <c r="L30" s="221"/>
      <c r="M30" s="222"/>
    </row>
    <row r="31" spans="1:1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ht="7.5" customHeight="1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 ht="19.5" customHeight="1" x14ac:dyDescent="0.35">
      <c r="A33" s="5"/>
      <c r="B33" s="323" t="s">
        <v>635</v>
      </c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5"/>
    </row>
  </sheetData>
  <mergeCells count="4">
    <mergeCell ref="A1:M1"/>
    <mergeCell ref="A2:M2"/>
    <mergeCell ref="A3:M3"/>
    <mergeCell ref="B33:L33"/>
  </mergeCells>
  <pageMargins left="0.75" right="0.75" top="1" bottom="1" header="0.51180555555555596" footer="0.51180555555555596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UP64"/>
  <sheetViews>
    <sheetView zoomScale="85" zoomScaleNormal="85" workbookViewId="0">
      <selection activeCell="C12" sqref="C12"/>
    </sheetView>
  </sheetViews>
  <sheetFormatPr defaultColWidth="8.7265625" defaultRowHeight="14.5" x14ac:dyDescent="0.35"/>
  <cols>
    <col min="1" max="1" width="3" style="223" customWidth="1"/>
    <col min="2" max="2" width="34" style="223" customWidth="1"/>
    <col min="3" max="4" width="18.81640625" style="223" customWidth="1"/>
    <col min="5" max="5" width="19.453125" style="223" customWidth="1"/>
    <col min="6" max="6" width="24.54296875" style="223" customWidth="1"/>
    <col min="7" max="7" width="14.453125" style="223" customWidth="1"/>
    <col min="8" max="9" width="14" style="223" customWidth="1"/>
    <col min="10" max="11" width="14.1796875" style="223" customWidth="1"/>
    <col min="12" max="12" width="16.54296875" style="223" customWidth="1"/>
    <col min="13" max="13" width="11.7265625" style="223" customWidth="1"/>
    <col min="14" max="235" width="8.7265625" style="223"/>
    <col min="236" max="238" width="13" style="223" hidden="1" customWidth="1"/>
    <col min="239" max="239" width="35" style="223" customWidth="1"/>
    <col min="240" max="240" width="22.7265625" style="223" customWidth="1"/>
    <col min="241" max="241" width="8.7265625" style="223"/>
    <col min="242" max="242" width="36.453125" style="223" customWidth="1"/>
    <col min="243" max="243" width="20.81640625" style="223" customWidth="1"/>
    <col min="244" max="244" width="8.7265625" style="223"/>
    <col min="245" max="245" width="34.453125" style="223" customWidth="1"/>
    <col min="246" max="246" width="20.26953125" style="223" customWidth="1"/>
    <col min="247" max="247" width="8.7265625" style="223"/>
    <col min="248" max="248" width="18.26953125" style="223" customWidth="1"/>
    <col min="249" max="249" width="15.54296875" style="223" customWidth="1"/>
    <col min="250" max="491" width="8.7265625" style="223"/>
    <col min="492" max="494" width="13" style="223" hidden="1" customWidth="1"/>
    <col min="495" max="495" width="35" style="223" customWidth="1"/>
    <col min="496" max="496" width="22.7265625" style="223" customWidth="1"/>
    <col min="497" max="497" width="8.7265625" style="223"/>
    <col min="498" max="498" width="36.453125" style="223" customWidth="1"/>
    <col min="499" max="499" width="20.81640625" style="223" customWidth="1"/>
    <col min="500" max="500" width="8.7265625" style="223"/>
    <col min="501" max="501" width="34.453125" style="223" customWidth="1"/>
    <col min="502" max="502" width="20.26953125" style="223" customWidth="1"/>
    <col min="503" max="503" width="8.7265625" style="223"/>
    <col min="504" max="504" width="18.26953125" style="223" customWidth="1"/>
    <col min="505" max="505" width="15.54296875" style="223" customWidth="1"/>
    <col min="506" max="747" width="8.7265625" style="223"/>
    <col min="748" max="750" width="13" style="223" hidden="1" customWidth="1"/>
    <col min="751" max="751" width="35" style="223" customWidth="1"/>
    <col min="752" max="752" width="22.7265625" style="223" customWidth="1"/>
    <col min="753" max="753" width="8.7265625" style="223"/>
    <col min="754" max="754" width="36.453125" style="223" customWidth="1"/>
    <col min="755" max="755" width="20.81640625" style="223" customWidth="1"/>
    <col min="756" max="756" width="8.7265625" style="223"/>
    <col min="757" max="757" width="34.453125" style="223" customWidth="1"/>
    <col min="758" max="758" width="20.26953125" style="223" customWidth="1"/>
    <col min="759" max="759" width="8.7265625" style="223"/>
    <col min="760" max="760" width="18.26953125" style="223" customWidth="1"/>
    <col min="761" max="761" width="15.54296875" style="223" customWidth="1"/>
    <col min="762" max="1003" width="8.7265625" style="223"/>
    <col min="1004" max="1006" width="13" style="223" hidden="1" customWidth="1"/>
    <col min="1007" max="1007" width="35" style="223" customWidth="1"/>
    <col min="1008" max="1008" width="22.7265625" style="223" customWidth="1"/>
    <col min="1009" max="1009" width="8.7265625" style="223"/>
    <col min="1010" max="1010" width="36.453125" style="223" customWidth="1"/>
    <col min="1011" max="1011" width="20.81640625" style="223" customWidth="1"/>
    <col min="1012" max="1012" width="8.7265625" style="223"/>
    <col min="1013" max="1013" width="34.453125" style="223" customWidth="1"/>
    <col min="1014" max="1014" width="20.26953125" style="223" customWidth="1"/>
    <col min="1015" max="1015" width="8.7265625" style="223"/>
    <col min="1016" max="1016" width="18.26953125" style="223" customWidth="1"/>
    <col min="1017" max="1017" width="15.54296875" style="223" customWidth="1"/>
    <col min="1018" max="1259" width="8.7265625" style="223"/>
    <col min="1260" max="1262" width="13" style="223" hidden="1" customWidth="1"/>
    <col min="1263" max="1263" width="35" style="223" customWidth="1"/>
    <col min="1264" max="1264" width="22.7265625" style="223" customWidth="1"/>
    <col min="1265" max="1265" width="8.7265625" style="223"/>
    <col min="1266" max="1266" width="36.453125" style="223" customWidth="1"/>
    <col min="1267" max="1267" width="20.81640625" style="223" customWidth="1"/>
    <col min="1268" max="1268" width="8.7265625" style="223"/>
    <col min="1269" max="1269" width="34.453125" style="223" customWidth="1"/>
    <col min="1270" max="1270" width="20.26953125" style="223" customWidth="1"/>
    <col min="1271" max="1271" width="8.7265625" style="223"/>
    <col min="1272" max="1272" width="18.26953125" style="223" customWidth="1"/>
    <col min="1273" max="1273" width="15.54296875" style="223" customWidth="1"/>
    <col min="1274" max="1515" width="8.7265625" style="223"/>
    <col min="1516" max="1518" width="13" style="223" hidden="1" customWidth="1"/>
    <col min="1519" max="1519" width="35" style="223" customWidth="1"/>
    <col min="1520" max="1520" width="22.7265625" style="223" customWidth="1"/>
    <col min="1521" max="1521" width="8.7265625" style="223"/>
    <col min="1522" max="1522" width="36.453125" style="223" customWidth="1"/>
    <col min="1523" max="1523" width="20.81640625" style="223" customWidth="1"/>
    <col min="1524" max="1524" width="8.7265625" style="223"/>
    <col min="1525" max="1525" width="34.453125" style="223" customWidth="1"/>
    <col min="1526" max="1526" width="20.26953125" style="223" customWidth="1"/>
    <col min="1527" max="1527" width="8.7265625" style="223"/>
    <col min="1528" max="1528" width="18.26953125" style="223" customWidth="1"/>
    <col min="1529" max="1529" width="15.54296875" style="223" customWidth="1"/>
    <col min="1530" max="1771" width="8.7265625" style="223"/>
    <col min="1772" max="1774" width="13" style="223" hidden="1" customWidth="1"/>
    <col min="1775" max="1775" width="35" style="223" customWidth="1"/>
    <col min="1776" max="1776" width="22.7265625" style="223" customWidth="1"/>
    <col min="1777" max="1777" width="8.7265625" style="223"/>
    <col min="1778" max="1778" width="36.453125" style="223" customWidth="1"/>
    <col min="1779" max="1779" width="20.81640625" style="223" customWidth="1"/>
    <col min="1780" max="1780" width="8.7265625" style="223"/>
    <col min="1781" max="1781" width="34.453125" style="223" customWidth="1"/>
    <col min="1782" max="1782" width="20.26953125" style="223" customWidth="1"/>
    <col min="1783" max="1783" width="8.7265625" style="223"/>
    <col min="1784" max="1784" width="18.26953125" style="223" customWidth="1"/>
    <col min="1785" max="1785" width="15.54296875" style="223" customWidth="1"/>
    <col min="1786" max="2027" width="8.7265625" style="223"/>
    <col min="2028" max="2030" width="13" style="223" hidden="1" customWidth="1"/>
    <col min="2031" max="2031" width="35" style="223" customWidth="1"/>
    <col min="2032" max="2032" width="22.7265625" style="223" customWidth="1"/>
    <col min="2033" max="2033" width="8.7265625" style="223"/>
    <col min="2034" max="2034" width="36.453125" style="223" customWidth="1"/>
    <col min="2035" max="2035" width="20.81640625" style="223" customWidth="1"/>
    <col min="2036" max="2036" width="8.7265625" style="223"/>
    <col min="2037" max="2037" width="34.453125" style="223" customWidth="1"/>
    <col min="2038" max="2038" width="20.26953125" style="223" customWidth="1"/>
    <col min="2039" max="2039" width="8.7265625" style="223"/>
    <col min="2040" max="2040" width="18.26953125" style="223" customWidth="1"/>
    <col min="2041" max="2041" width="15.54296875" style="223" customWidth="1"/>
    <col min="2042" max="2283" width="8.7265625" style="223"/>
    <col min="2284" max="2286" width="13" style="223" hidden="1" customWidth="1"/>
    <col min="2287" max="2287" width="35" style="223" customWidth="1"/>
    <col min="2288" max="2288" width="22.7265625" style="223" customWidth="1"/>
    <col min="2289" max="2289" width="8.7265625" style="223"/>
    <col min="2290" max="2290" width="36.453125" style="223" customWidth="1"/>
    <col min="2291" max="2291" width="20.81640625" style="223" customWidth="1"/>
    <col min="2292" max="2292" width="8.7265625" style="223"/>
    <col min="2293" max="2293" width="34.453125" style="223" customWidth="1"/>
    <col min="2294" max="2294" width="20.26953125" style="223" customWidth="1"/>
    <col min="2295" max="2295" width="8.7265625" style="223"/>
    <col min="2296" max="2296" width="18.26953125" style="223" customWidth="1"/>
    <col min="2297" max="2297" width="15.54296875" style="223" customWidth="1"/>
    <col min="2298" max="2539" width="8.7265625" style="223"/>
    <col min="2540" max="2542" width="13" style="223" hidden="1" customWidth="1"/>
    <col min="2543" max="2543" width="35" style="223" customWidth="1"/>
    <col min="2544" max="2544" width="22.7265625" style="223" customWidth="1"/>
    <col min="2545" max="2545" width="8.7265625" style="223"/>
    <col min="2546" max="2546" width="36.453125" style="223" customWidth="1"/>
    <col min="2547" max="2547" width="20.81640625" style="223" customWidth="1"/>
    <col min="2548" max="2548" width="8.7265625" style="223"/>
    <col min="2549" max="2549" width="34.453125" style="223" customWidth="1"/>
    <col min="2550" max="2550" width="20.26953125" style="223" customWidth="1"/>
    <col min="2551" max="2551" width="8.7265625" style="223"/>
    <col min="2552" max="2552" width="18.26953125" style="223" customWidth="1"/>
    <col min="2553" max="2553" width="15.54296875" style="223" customWidth="1"/>
    <col min="2554" max="2795" width="8.7265625" style="223"/>
    <col min="2796" max="2798" width="13" style="223" hidden="1" customWidth="1"/>
    <col min="2799" max="2799" width="35" style="223" customWidth="1"/>
    <col min="2800" max="2800" width="22.7265625" style="223" customWidth="1"/>
    <col min="2801" max="2801" width="8.7265625" style="223"/>
    <col min="2802" max="2802" width="36.453125" style="223" customWidth="1"/>
    <col min="2803" max="2803" width="20.81640625" style="223" customWidth="1"/>
    <col min="2804" max="2804" width="8.7265625" style="223"/>
    <col min="2805" max="2805" width="34.453125" style="223" customWidth="1"/>
    <col min="2806" max="2806" width="20.26953125" style="223" customWidth="1"/>
    <col min="2807" max="2807" width="8.7265625" style="223"/>
    <col min="2808" max="2808" width="18.26953125" style="223" customWidth="1"/>
    <col min="2809" max="2809" width="15.54296875" style="223" customWidth="1"/>
    <col min="2810" max="3051" width="8.7265625" style="223"/>
    <col min="3052" max="3054" width="13" style="223" hidden="1" customWidth="1"/>
    <col min="3055" max="3055" width="35" style="223" customWidth="1"/>
    <col min="3056" max="3056" width="22.7265625" style="223" customWidth="1"/>
    <col min="3057" max="3057" width="8.7265625" style="223"/>
    <col min="3058" max="3058" width="36.453125" style="223" customWidth="1"/>
    <col min="3059" max="3059" width="20.81640625" style="223" customWidth="1"/>
    <col min="3060" max="3060" width="8.7265625" style="223"/>
    <col min="3061" max="3061" width="34.453125" style="223" customWidth="1"/>
    <col min="3062" max="3062" width="20.26953125" style="223" customWidth="1"/>
    <col min="3063" max="3063" width="8.7265625" style="223"/>
    <col min="3064" max="3064" width="18.26953125" style="223" customWidth="1"/>
    <col min="3065" max="3065" width="15.54296875" style="223" customWidth="1"/>
    <col min="3066" max="3307" width="8.7265625" style="223"/>
    <col min="3308" max="3310" width="13" style="223" hidden="1" customWidth="1"/>
    <col min="3311" max="3311" width="35" style="223" customWidth="1"/>
    <col min="3312" max="3312" width="22.7265625" style="223" customWidth="1"/>
    <col min="3313" max="3313" width="8.7265625" style="223"/>
    <col min="3314" max="3314" width="36.453125" style="223" customWidth="1"/>
    <col min="3315" max="3315" width="20.81640625" style="223" customWidth="1"/>
    <col min="3316" max="3316" width="8.7265625" style="223"/>
    <col min="3317" max="3317" width="34.453125" style="223" customWidth="1"/>
    <col min="3318" max="3318" width="20.26953125" style="223" customWidth="1"/>
    <col min="3319" max="3319" width="8.7265625" style="223"/>
    <col min="3320" max="3320" width="18.26953125" style="223" customWidth="1"/>
    <col min="3321" max="3321" width="15.54296875" style="223" customWidth="1"/>
    <col min="3322" max="3563" width="8.7265625" style="223"/>
    <col min="3564" max="3566" width="13" style="223" hidden="1" customWidth="1"/>
    <col min="3567" max="3567" width="35" style="223" customWidth="1"/>
    <col min="3568" max="3568" width="22.7265625" style="223" customWidth="1"/>
    <col min="3569" max="3569" width="8.7265625" style="223"/>
    <col min="3570" max="3570" width="36.453125" style="223" customWidth="1"/>
    <col min="3571" max="3571" width="20.81640625" style="223" customWidth="1"/>
    <col min="3572" max="3572" width="8.7265625" style="223"/>
    <col min="3573" max="3573" width="34.453125" style="223" customWidth="1"/>
    <col min="3574" max="3574" width="20.26953125" style="223" customWidth="1"/>
    <col min="3575" max="3575" width="8.7265625" style="223"/>
    <col min="3576" max="3576" width="18.26953125" style="223" customWidth="1"/>
    <col min="3577" max="3577" width="15.54296875" style="223" customWidth="1"/>
    <col min="3578" max="3819" width="8.7265625" style="223"/>
    <col min="3820" max="3822" width="13" style="223" hidden="1" customWidth="1"/>
    <col min="3823" max="3823" width="35" style="223" customWidth="1"/>
    <col min="3824" max="3824" width="22.7265625" style="223" customWidth="1"/>
    <col min="3825" max="3825" width="8.7265625" style="223"/>
    <col min="3826" max="3826" width="36.453125" style="223" customWidth="1"/>
    <col min="3827" max="3827" width="20.81640625" style="223" customWidth="1"/>
    <col min="3828" max="3828" width="8.7265625" style="223"/>
    <col min="3829" max="3829" width="34.453125" style="223" customWidth="1"/>
    <col min="3830" max="3830" width="20.26953125" style="223" customWidth="1"/>
    <col min="3831" max="3831" width="8.7265625" style="223"/>
    <col min="3832" max="3832" width="18.26953125" style="223" customWidth="1"/>
    <col min="3833" max="3833" width="15.54296875" style="223" customWidth="1"/>
    <col min="3834" max="4075" width="8.7265625" style="223"/>
    <col min="4076" max="4078" width="13" style="223" hidden="1" customWidth="1"/>
    <col min="4079" max="4079" width="35" style="223" customWidth="1"/>
    <col min="4080" max="4080" width="22.7265625" style="223" customWidth="1"/>
    <col min="4081" max="4081" width="8.7265625" style="223"/>
    <col min="4082" max="4082" width="36.453125" style="223" customWidth="1"/>
    <col min="4083" max="4083" width="20.81640625" style="223" customWidth="1"/>
    <col min="4084" max="4084" width="8.7265625" style="223"/>
    <col min="4085" max="4085" width="34.453125" style="223" customWidth="1"/>
    <col min="4086" max="4086" width="20.26953125" style="223" customWidth="1"/>
    <col min="4087" max="4087" width="8.7265625" style="223"/>
    <col min="4088" max="4088" width="18.26953125" style="223" customWidth="1"/>
    <col min="4089" max="4089" width="15.54296875" style="223" customWidth="1"/>
    <col min="4090" max="4331" width="8.7265625" style="223"/>
    <col min="4332" max="4334" width="13" style="223" hidden="1" customWidth="1"/>
    <col min="4335" max="4335" width="35" style="223" customWidth="1"/>
    <col min="4336" max="4336" width="22.7265625" style="223" customWidth="1"/>
    <col min="4337" max="4337" width="8.7265625" style="223"/>
    <col min="4338" max="4338" width="36.453125" style="223" customWidth="1"/>
    <col min="4339" max="4339" width="20.81640625" style="223" customWidth="1"/>
    <col min="4340" max="4340" width="8.7265625" style="223"/>
    <col min="4341" max="4341" width="34.453125" style="223" customWidth="1"/>
    <col min="4342" max="4342" width="20.26953125" style="223" customWidth="1"/>
    <col min="4343" max="4343" width="8.7265625" style="223"/>
    <col min="4344" max="4344" width="18.26953125" style="223" customWidth="1"/>
    <col min="4345" max="4345" width="15.54296875" style="223" customWidth="1"/>
    <col min="4346" max="4587" width="8.7265625" style="223"/>
    <col min="4588" max="4590" width="13" style="223" hidden="1" customWidth="1"/>
    <col min="4591" max="4591" width="35" style="223" customWidth="1"/>
    <col min="4592" max="4592" width="22.7265625" style="223" customWidth="1"/>
    <col min="4593" max="4593" width="8.7265625" style="223"/>
    <col min="4594" max="4594" width="36.453125" style="223" customWidth="1"/>
    <col min="4595" max="4595" width="20.81640625" style="223" customWidth="1"/>
    <col min="4596" max="4596" width="8.7265625" style="223"/>
    <col min="4597" max="4597" width="34.453125" style="223" customWidth="1"/>
    <col min="4598" max="4598" width="20.26953125" style="223" customWidth="1"/>
    <col min="4599" max="4599" width="8.7265625" style="223"/>
    <col min="4600" max="4600" width="18.26953125" style="223" customWidth="1"/>
    <col min="4601" max="4601" width="15.54296875" style="223" customWidth="1"/>
    <col min="4602" max="4843" width="8.7265625" style="223"/>
    <col min="4844" max="4846" width="13" style="223" hidden="1" customWidth="1"/>
    <col min="4847" max="4847" width="35" style="223" customWidth="1"/>
    <col min="4848" max="4848" width="22.7265625" style="223" customWidth="1"/>
    <col min="4849" max="4849" width="8.7265625" style="223"/>
    <col min="4850" max="4850" width="36.453125" style="223" customWidth="1"/>
    <col min="4851" max="4851" width="20.81640625" style="223" customWidth="1"/>
    <col min="4852" max="4852" width="8.7265625" style="223"/>
    <col min="4853" max="4853" width="34.453125" style="223" customWidth="1"/>
    <col min="4854" max="4854" width="20.26953125" style="223" customWidth="1"/>
    <col min="4855" max="4855" width="8.7265625" style="223"/>
    <col min="4856" max="4856" width="18.26953125" style="223" customWidth="1"/>
    <col min="4857" max="4857" width="15.54296875" style="223" customWidth="1"/>
    <col min="4858" max="5099" width="8.7265625" style="223"/>
    <col min="5100" max="5102" width="13" style="223" hidden="1" customWidth="1"/>
    <col min="5103" max="5103" width="35" style="223" customWidth="1"/>
    <col min="5104" max="5104" width="22.7265625" style="223" customWidth="1"/>
    <col min="5105" max="5105" width="8.7265625" style="223"/>
    <col min="5106" max="5106" width="36.453125" style="223" customWidth="1"/>
    <col min="5107" max="5107" width="20.81640625" style="223" customWidth="1"/>
    <col min="5108" max="5108" width="8.7265625" style="223"/>
    <col min="5109" max="5109" width="34.453125" style="223" customWidth="1"/>
    <col min="5110" max="5110" width="20.26953125" style="223" customWidth="1"/>
    <col min="5111" max="5111" width="8.7265625" style="223"/>
    <col min="5112" max="5112" width="18.26953125" style="223" customWidth="1"/>
    <col min="5113" max="5113" width="15.54296875" style="223" customWidth="1"/>
    <col min="5114" max="5355" width="8.7265625" style="223"/>
    <col min="5356" max="5358" width="13" style="223" hidden="1" customWidth="1"/>
    <col min="5359" max="5359" width="35" style="223" customWidth="1"/>
    <col min="5360" max="5360" width="22.7265625" style="223" customWidth="1"/>
    <col min="5361" max="5361" width="8.7265625" style="223"/>
    <col min="5362" max="5362" width="36.453125" style="223" customWidth="1"/>
    <col min="5363" max="5363" width="20.81640625" style="223" customWidth="1"/>
    <col min="5364" max="5364" width="8.7265625" style="223"/>
    <col min="5365" max="5365" width="34.453125" style="223" customWidth="1"/>
    <col min="5366" max="5366" width="20.26953125" style="223" customWidth="1"/>
    <col min="5367" max="5367" width="8.7265625" style="223"/>
    <col min="5368" max="5368" width="18.26953125" style="223" customWidth="1"/>
    <col min="5369" max="5369" width="15.54296875" style="223" customWidth="1"/>
    <col min="5370" max="5611" width="8.7265625" style="223"/>
    <col min="5612" max="5614" width="13" style="223" hidden="1" customWidth="1"/>
    <col min="5615" max="5615" width="35" style="223" customWidth="1"/>
    <col min="5616" max="5616" width="22.7265625" style="223" customWidth="1"/>
    <col min="5617" max="5617" width="8.7265625" style="223"/>
    <col min="5618" max="5618" width="36.453125" style="223" customWidth="1"/>
    <col min="5619" max="5619" width="20.81640625" style="223" customWidth="1"/>
    <col min="5620" max="5620" width="8.7265625" style="223"/>
    <col min="5621" max="5621" width="34.453125" style="223" customWidth="1"/>
    <col min="5622" max="5622" width="20.26953125" style="223" customWidth="1"/>
    <col min="5623" max="5623" width="8.7265625" style="223"/>
    <col min="5624" max="5624" width="18.26953125" style="223" customWidth="1"/>
    <col min="5625" max="5625" width="15.54296875" style="223" customWidth="1"/>
    <col min="5626" max="5867" width="8.7265625" style="223"/>
    <col min="5868" max="5870" width="13" style="223" hidden="1" customWidth="1"/>
    <col min="5871" max="5871" width="35" style="223" customWidth="1"/>
    <col min="5872" max="5872" width="22.7265625" style="223" customWidth="1"/>
    <col min="5873" max="5873" width="8.7265625" style="223"/>
    <col min="5874" max="5874" width="36.453125" style="223" customWidth="1"/>
    <col min="5875" max="5875" width="20.81640625" style="223" customWidth="1"/>
    <col min="5876" max="5876" width="8.7265625" style="223"/>
    <col min="5877" max="5877" width="34.453125" style="223" customWidth="1"/>
    <col min="5878" max="5878" width="20.26953125" style="223" customWidth="1"/>
    <col min="5879" max="5879" width="8.7265625" style="223"/>
    <col min="5880" max="5880" width="18.26953125" style="223" customWidth="1"/>
    <col min="5881" max="5881" width="15.54296875" style="223" customWidth="1"/>
    <col min="5882" max="6123" width="8.7265625" style="223"/>
    <col min="6124" max="6126" width="13" style="223" hidden="1" customWidth="1"/>
    <col min="6127" max="6127" width="35" style="223" customWidth="1"/>
    <col min="6128" max="6128" width="22.7265625" style="223" customWidth="1"/>
    <col min="6129" max="6129" width="8.7265625" style="223"/>
    <col min="6130" max="6130" width="36.453125" style="223" customWidth="1"/>
    <col min="6131" max="6131" width="20.81640625" style="223" customWidth="1"/>
    <col min="6132" max="6132" width="8.7265625" style="223"/>
    <col min="6133" max="6133" width="34.453125" style="223" customWidth="1"/>
    <col min="6134" max="6134" width="20.26953125" style="223" customWidth="1"/>
    <col min="6135" max="6135" width="8.7265625" style="223"/>
    <col min="6136" max="6136" width="18.26953125" style="223" customWidth="1"/>
    <col min="6137" max="6137" width="15.54296875" style="223" customWidth="1"/>
    <col min="6138" max="6379" width="8.7265625" style="223"/>
    <col min="6380" max="6382" width="13" style="223" hidden="1" customWidth="1"/>
    <col min="6383" max="6383" width="35" style="223" customWidth="1"/>
    <col min="6384" max="6384" width="22.7265625" style="223" customWidth="1"/>
    <col min="6385" max="6385" width="8.7265625" style="223"/>
    <col min="6386" max="6386" width="36.453125" style="223" customWidth="1"/>
    <col min="6387" max="6387" width="20.81640625" style="223" customWidth="1"/>
    <col min="6388" max="6388" width="8.7265625" style="223"/>
    <col min="6389" max="6389" width="34.453125" style="223" customWidth="1"/>
    <col min="6390" max="6390" width="20.26953125" style="223" customWidth="1"/>
    <col min="6391" max="6391" width="8.7265625" style="223"/>
    <col min="6392" max="6392" width="18.26953125" style="223" customWidth="1"/>
    <col min="6393" max="6393" width="15.54296875" style="223" customWidth="1"/>
    <col min="6394" max="6635" width="8.7265625" style="223"/>
    <col min="6636" max="6638" width="13" style="223" hidden="1" customWidth="1"/>
    <col min="6639" max="6639" width="35" style="223" customWidth="1"/>
    <col min="6640" max="6640" width="22.7265625" style="223" customWidth="1"/>
    <col min="6641" max="6641" width="8.7265625" style="223"/>
    <col min="6642" max="6642" width="36.453125" style="223" customWidth="1"/>
    <col min="6643" max="6643" width="20.81640625" style="223" customWidth="1"/>
    <col min="6644" max="6644" width="8.7265625" style="223"/>
    <col min="6645" max="6645" width="34.453125" style="223" customWidth="1"/>
    <col min="6646" max="6646" width="20.26953125" style="223" customWidth="1"/>
    <col min="6647" max="6647" width="8.7265625" style="223"/>
    <col min="6648" max="6648" width="18.26953125" style="223" customWidth="1"/>
    <col min="6649" max="6649" width="15.54296875" style="223" customWidth="1"/>
    <col min="6650" max="6891" width="8.7265625" style="223"/>
    <col min="6892" max="6894" width="13" style="223" hidden="1" customWidth="1"/>
    <col min="6895" max="6895" width="35" style="223" customWidth="1"/>
    <col min="6896" max="6896" width="22.7265625" style="223" customWidth="1"/>
    <col min="6897" max="6897" width="8.7265625" style="223"/>
    <col min="6898" max="6898" width="36.453125" style="223" customWidth="1"/>
    <col min="6899" max="6899" width="20.81640625" style="223" customWidth="1"/>
    <col min="6900" max="6900" width="8.7265625" style="223"/>
    <col min="6901" max="6901" width="34.453125" style="223" customWidth="1"/>
    <col min="6902" max="6902" width="20.26953125" style="223" customWidth="1"/>
    <col min="6903" max="6903" width="8.7265625" style="223"/>
    <col min="6904" max="6904" width="18.26953125" style="223" customWidth="1"/>
    <col min="6905" max="6905" width="15.54296875" style="223" customWidth="1"/>
    <col min="6906" max="7147" width="8.7265625" style="223"/>
    <col min="7148" max="7150" width="13" style="223" hidden="1" customWidth="1"/>
    <col min="7151" max="7151" width="35" style="223" customWidth="1"/>
    <col min="7152" max="7152" width="22.7265625" style="223" customWidth="1"/>
    <col min="7153" max="7153" width="8.7265625" style="223"/>
    <col min="7154" max="7154" width="36.453125" style="223" customWidth="1"/>
    <col min="7155" max="7155" width="20.81640625" style="223" customWidth="1"/>
    <col min="7156" max="7156" width="8.7265625" style="223"/>
    <col min="7157" max="7157" width="34.453125" style="223" customWidth="1"/>
    <col min="7158" max="7158" width="20.26953125" style="223" customWidth="1"/>
    <col min="7159" max="7159" width="8.7265625" style="223"/>
    <col min="7160" max="7160" width="18.26953125" style="223" customWidth="1"/>
    <col min="7161" max="7161" width="15.54296875" style="223" customWidth="1"/>
    <col min="7162" max="7403" width="8.7265625" style="223"/>
    <col min="7404" max="7406" width="13" style="223" hidden="1" customWidth="1"/>
    <col min="7407" max="7407" width="35" style="223" customWidth="1"/>
    <col min="7408" max="7408" width="22.7265625" style="223" customWidth="1"/>
    <col min="7409" max="7409" width="8.7265625" style="223"/>
    <col min="7410" max="7410" width="36.453125" style="223" customWidth="1"/>
    <col min="7411" max="7411" width="20.81640625" style="223" customWidth="1"/>
    <col min="7412" max="7412" width="8.7265625" style="223"/>
    <col min="7413" max="7413" width="34.453125" style="223" customWidth="1"/>
    <col min="7414" max="7414" width="20.26953125" style="223" customWidth="1"/>
    <col min="7415" max="7415" width="8.7265625" style="223"/>
    <col min="7416" max="7416" width="18.26953125" style="223" customWidth="1"/>
    <col min="7417" max="7417" width="15.54296875" style="223" customWidth="1"/>
    <col min="7418" max="7659" width="8.7265625" style="223"/>
    <col min="7660" max="7662" width="13" style="223" hidden="1" customWidth="1"/>
    <col min="7663" max="7663" width="35" style="223" customWidth="1"/>
    <col min="7664" max="7664" width="22.7265625" style="223" customWidth="1"/>
    <col min="7665" max="7665" width="8.7265625" style="223"/>
    <col min="7666" max="7666" width="36.453125" style="223" customWidth="1"/>
    <col min="7667" max="7667" width="20.81640625" style="223" customWidth="1"/>
    <col min="7668" max="7668" width="8.7265625" style="223"/>
    <col min="7669" max="7669" width="34.453125" style="223" customWidth="1"/>
    <col min="7670" max="7670" width="20.26953125" style="223" customWidth="1"/>
    <col min="7671" max="7671" width="8.7265625" style="223"/>
    <col min="7672" max="7672" width="18.26953125" style="223" customWidth="1"/>
    <col min="7673" max="7673" width="15.54296875" style="223" customWidth="1"/>
    <col min="7674" max="7915" width="8.7265625" style="223"/>
    <col min="7916" max="7918" width="13" style="223" hidden="1" customWidth="1"/>
    <col min="7919" max="7919" width="35" style="223" customWidth="1"/>
    <col min="7920" max="7920" width="22.7265625" style="223" customWidth="1"/>
    <col min="7921" max="7921" width="8.7265625" style="223"/>
    <col min="7922" max="7922" width="36.453125" style="223" customWidth="1"/>
    <col min="7923" max="7923" width="20.81640625" style="223" customWidth="1"/>
    <col min="7924" max="7924" width="8.7265625" style="223"/>
    <col min="7925" max="7925" width="34.453125" style="223" customWidth="1"/>
    <col min="7926" max="7926" width="20.26953125" style="223" customWidth="1"/>
    <col min="7927" max="7927" width="8.7265625" style="223"/>
    <col min="7928" max="7928" width="18.26953125" style="223" customWidth="1"/>
    <col min="7929" max="7929" width="15.54296875" style="223" customWidth="1"/>
    <col min="7930" max="8171" width="8.7265625" style="223"/>
    <col min="8172" max="8174" width="13" style="223" hidden="1" customWidth="1"/>
    <col min="8175" max="8175" width="35" style="223" customWidth="1"/>
    <col min="8176" max="8176" width="22.7265625" style="223" customWidth="1"/>
    <col min="8177" max="8177" width="8.7265625" style="223"/>
    <col min="8178" max="8178" width="36.453125" style="223" customWidth="1"/>
    <col min="8179" max="8179" width="20.81640625" style="223" customWidth="1"/>
    <col min="8180" max="8180" width="8.7265625" style="223"/>
    <col min="8181" max="8181" width="34.453125" style="223" customWidth="1"/>
    <col min="8182" max="8182" width="20.26953125" style="223" customWidth="1"/>
    <col min="8183" max="8183" width="8.7265625" style="223"/>
    <col min="8184" max="8184" width="18.26953125" style="223" customWidth="1"/>
    <col min="8185" max="8185" width="15.54296875" style="223" customWidth="1"/>
    <col min="8186" max="8427" width="8.7265625" style="223"/>
    <col min="8428" max="8430" width="13" style="223" hidden="1" customWidth="1"/>
    <col min="8431" max="8431" width="35" style="223" customWidth="1"/>
    <col min="8432" max="8432" width="22.7265625" style="223" customWidth="1"/>
    <col min="8433" max="8433" width="8.7265625" style="223"/>
    <col min="8434" max="8434" width="36.453125" style="223" customWidth="1"/>
    <col min="8435" max="8435" width="20.81640625" style="223" customWidth="1"/>
    <col min="8436" max="8436" width="8.7265625" style="223"/>
    <col min="8437" max="8437" width="34.453125" style="223" customWidth="1"/>
    <col min="8438" max="8438" width="20.26953125" style="223" customWidth="1"/>
    <col min="8439" max="8439" width="8.7265625" style="223"/>
    <col min="8440" max="8440" width="18.26953125" style="223" customWidth="1"/>
    <col min="8441" max="8441" width="15.54296875" style="223" customWidth="1"/>
    <col min="8442" max="8683" width="8.7265625" style="223"/>
    <col min="8684" max="8686" width="13" style="223" hidden="1" customWidth="1"/>
    <col min="8687" max="8687" width="35" style="223" customWidth="1"/>
    <col min="8688" max="8688" width="22.7265625" style="223" customWidth="1"/>
    <col min="8689" max="8689" width="8.7265625" style="223"/>
    <col min="8690" max="8690" width="36.453125" style="223" customWidth="1"/>
    <col min="8691" max="8691" width="20.81640625" style="223" customWidth="1"/>
    <col min="8692" max="8692" width="8.7265625" style="223"/>
    <col min="8693" max="8693" width="34.453125" style="223" customWidth="1"/>
    <col min="8694" max="8694" width="20.26953125" style="223" customWidth="1"/>
    <col min="8695" max="8695" width="8.7265625" style="223"/>
    <col min="8696" max="8696" width="18.26953125" style="223" customWidth="1"/>
    <col min="8697" max="8697" width="15.54296875" style="223" customWidth="1"/>
    <col min="8698" max="8939" width="8.7265625" style="223"/>
    <col min="8940" max="8942" width="13" style="223" hidden="1" customWidth="1"/>
    <col min="8943" max="8943" width="35" style="223" customWidth="1"/>
    <col min="8944" max="8944" width="22.7265625" style="223" customWidth="1"/>
    <col min="8945" max="8945" width="8.7265625" style="223"/>
    <col min="8946" max="8946" width="36.453125" style="223" customWidth="1"/>
    <col min="8947" max="8947" width="20.81640625" style="223" customWidth="1"/>
    <col min="8948" max="8948" width="8.7265625" style="223"/>
    <col min="8949" max="8949" width="34.453125" style="223" customWidth="1"/>
    <col min="8950" max="8950" width="20.26953125" style="223" customWidth="1"/>
    <col min="8951" max="8951" width="8.7265625" style="223"/>
    <col min="8952" max="8952" width="18.26953125" style="223" customWidth="1"/>
    <col min="8953" max="8953" width="15.54296875" style="223" customWidth="1"/>
    <col min="8954" max="9195" width="8.7265625" style="223"/>
    <col min="9196" max="9198" width="13" style="223" hidden="1" customWidth="1"/>
    <col min="9199" max="9199" width="35" style="223" customWidth="1"/>
    <col min="9200" max="9200" width="22.7265625" style="223" customWidth="1"/>
    <col min="9201" max="9201" width="8.7265625" style="223"/>
    <col min="9202" max="9202" width="36.453125" style="223" customWidth="1"/>
    <col min="9203" max="9203" width="20.81640625" style="223" customWidth="1"/>
    <col min="9204" max="9204" width="8.7265625" style="223"/>
    <col min="9205" max="9205" width="34.453125" style="223" customWidth="1"/>
    <col min="9206" max="9206" width="20.26953125" style="223" customWidth="1"/>
    <col min="9207" max="9207" width="8.7265625" style="223"/>
    <col min="9208" max="9208" width="18.26953125" style="223" customWidth="1"/>
    <col min="9209" max="9209" width="15.54296875" style="223" customWidth="1"/>
    <col min="9210" max="9451" width="8.7265625" style="223"/>
    <col min="9452" max="9454" width="13" style="223" hidden="1" customWidth="1"/>
    <col min="9455" max="9455" width="35" style="223" customWidth="1"/>
    <col min="9456" max="9456" width="22.7265625" style="223" customWidth="1"/>
    <col min="9457" max="9457" width="8.7265625" style="223"/>
    <col min="9458" max="9458" width="36.453125" style="223" customWidth="1"/>
    <col min="9459" max="9459" width="20.81640625" style="223" customWidth="1"/>
    <col min="9460" max="9460" width="8.7265625" style="223"/>
    <col min="9461" max="9461" width="34.453125" style="223" customWidth="1"/>
    <col min="9462" max="9462" width="20.26953125" style="223" customWidth="1"/>
    <col min="9463" max="9463" width="8.7265625" style="223"/>
    <col min="9464" max="9464" width="18.26953125" style="223" customWidth="1"/>
    <col min="9465" max="9465" width="15.54296875" style="223" customWidth="1"/>
    <col min="9466" max="9707" width="8.7265625" style="223"/>
    <col min="9708" max="9710" width="13" style="223" hidden="1" customWidth="1"/>
    <col min="9711" max="9711" width="35" style="223" customWidth="1"/>
    <col min="9712" max="9712" width="22.7265625" style="223" customWidth="1"/>
    <col min="9713" max="9713" width="8.7265625" style="223"/>
    <col min="9714" max="9714" width="36.453125" style="223" customWidth="1"/>
    <col min="9715" max="9715" width="20.81640625" style="223" customWidth="1"/>
    <col min="9716" max="9716" width="8.7265625" style="223"/>
    <col min="9717" max="9717" width="34.453125" style="223" customWidth="1"/>
    <col min="9718" max="9718" width="20.26953125" style="223" customWidth="1"/>
    <col min="9719" max="9719" width="8.7265625" style="223"/>
    <col min="9720" max="9720" width="18.26953125" style="223" customWidth="1"/>
    <col min="9721" max="9721" width="15.54296875" style="223" customWidth="1"/>
    <col min="9722" max="9963" width="8.7265625" style="223"/>
    <col min="9964" max="9966" width="13" style="223" hidden="1" customWidth="1"/>
    <col min="9967" max="9967" width="35" style="223" customWidth="1"/>
    <col min="9968" max="9968" width="22.7265625" style="223" customWidth="1"/>
    <col min="9969" max="9969" width="8.7265625" style="223"/>
    <col min="9970" max="9970" width="36.453125" style="223" customWidth="1"/>
    <col min="9971" max="9971" width="20.81640625" style="223" customWidth="1"/>
    <col min="9972" max="9972" width="8.7265625" style="223"/>
    <col min="9973" max="9973" width="34.453125" style="223" customWidth="1"/>
    <col min="9974" max="9974" width="20.26953125" style="223" customWidth="1"/>
    <col min="9975" max="9975" width="8.7265625" style="223"/>
    <col min="9976" max="9976" width="18.26953125" style="223" customWidth="1"/>
    <col min="9977" max="9977" width="15.54296875" style="223" customWidth="1"/>
    <col min="9978" max="10219" width="8.7265625" style="223"/>
    <col min="10220" max="10222" width="13" style="223" hidden="1" customWidth="1"/>
    <col min="10223" max="10223" width="35" style="223" customWidth="1"/>
    <col min="10224" max="10224" width="22.7265625" style="223" customWidth="1"/>
    <col min="10225" max="10225" width="8.7265625" style="223"/>
    <col min="10226" max="10226" width="36.453125" style="223" customWidth="1"/>
    <col min="10227" max="10227" width="20.81640625" style="223" customWidth="1"/>
    <col min="10228" max="10228" width="8.7265625" style="223"/>
    <col min="10229" max="10229" width="34.453125" style="223" customWidth="1"/>
    <col min="10230" max="10230" width="20.26953125" style="223" customWidth="1"/>
    <col min="10231" max="10231" width="8.7265625" style="223"/>
    <col min="10232" max="10232" width="18.26953125" style="223" customWidth="1"/>
    <col min="10233" max="10233" width="15.54296875" style="223" customWidth="1"/>
    <col min="10234" max="10475" width="8.7265625" style="223"/>
    <col min="10476" max="10478" width="13" style="223" hidden="1" customWidth="1"/>
    <col min="10479" max="10479" width="35" style="223" customWidth="1"/>
    <col min="10480" max="10480" width="22.7265625" style="223" customWidth="1"/>
    <col min="10481" max="10481" width="8.7265625" style="223"/>
    <col min="10482" max="10482" width="36.453125" style="223" customWidth="1"/>
    <col min="10483" max="10483" width="20.81640625" style="223" customWidth="1"/>
    <col min="10484" max="10484" width="8.7265625" style="223"/>
    <col min="10485" max="10485" width="34.453125" style="223" customWidth="1"/>
    <col min="10486" max="10486" width="20.26953125" style="223" customWidth="1"/>
    <col min="10487" max="10487" width="8.7265625" style="223"/>
    <col min="10488" max="10488" width="18.26953125" style="223" customWidth="1"/>
    <col min="10489" max="10489" width="15.54296875" style="223" customWidth="1"/>
    <col min="10490" max="10731" width="8.7265625" style="223"/>
    <col min="10732" max="10734" width="13" style="223" hidden="1" customWidth="1"/>
    <col min="10735" max="10735" width="35" style="223" customWidth="1"/>
    <col min="10736" max="10736" width="22.7265625" style="223" customWidth="1"/>
    <col min="10737" max="10737" width="8.7265625" style="223"/>
    <col min="10738" max="10738" width="36.453125" style="223" customWidth="1"/>
    <col min="10739" max="10739" width="20.81640625" style="223" customWidth="1"/>
    <col min="10740" max="10740" width="8.7265625" style="223"/>
    <col min="10741" max="10741" width="34.453125" style="223" customWidth="1"/>
    <col min="10742" max="10742" width="20.26953125" style="223" customWidth="1"/>
    <col min="10743" max="10743" width="8.7265625" style="223"/>
    <col min="10744" max="10744" width="18.26953125" style="223" customWidth="1"/>
    <col min="10745" max="10745" width="15.54296875" style="223" customWidth="1"/>
    <col min="10746" max="10987" width="8.7265625" style="223"/>
    <col min="10988" max="10990" width="13" style="223" hidden="1" customWidth="1"/>
    <col min="10991" max="10991" width="35" style="223" customWidth="1"/>
    <col min="10992" max="10992" width="22.7265625" style="223" customWidth="1"/>
    <col min="10993" max="10993" width="8.7265625" style="223"/>
    <col min="10994" max="10994" width="36.453125" style="223" customWidth="1"/>
    <col min="10995" max="10995" width="20.81640625" style="223" customWidth="1"/>
    <col min="10996" max="10996" width="8.7265625" style="223"/>
    <col min="10997" max="10997" width="34.453125" style="223" customWidth="1"/>
    <col min="10998" max="10998" width="20.26953125" style="223" customWidth="1"/>
    <col min="10999" max="10999" width="8.7265625" style="223"/>
    <col min="11000" max="11000" width="18.26953125" style="223" customWidth="1"/>
    <col min="11001" max="11001" width="15.54296875" style="223" customWidth="1"/>
    <col min="11002" max="11243" width="8.7265625" style="223"/>
    <col min="11244" max="11246" width="13" style="223" hidden="1" customWidth="1"/>
    <col min="11247" max="11247" width="35" style="223" customWidth="1"/>
    <col min="11248" max="11248" width="22.7265625" style="223" customWidth="1"/>
    <col min="11249" max="11249" width="8.7265625" style="223"/>
    <col min="11250" max="11250" width="36.453125" style="223" customWidth="1"/>
    <col min="11251" max="11251" width="20.81640625" style="223" customWidth="1"/>
    <col min="11252" max="11252" width="8.7265625" style="223"/>
    <col min="11253" max="11253" width="34.453125" style="223" customWidth="1"/>
    <col min="11254" max="11254" width="20.26953125" style="223" customWidth="1"/>
    <col min="11255" max="11255" width="8.7265625" style="223"/>
    <col min="11256" max="11256" width="18.26953125" style="223" customWidth="1"/>
    <col min="11257" max="11257" width="15.54296875" style="223" customWidth="1"/>
    <col min="11258" max="11499" width="8.7265625" style="223"/>
    <col min="11500" max="11502" width="13" style="223" hidden="1" customWidth="1"/>
    <col min="11503" max="11503" width="35" style="223" customWidth="1"/>
    <col min="11504" max="11504" width="22.7265625" style="223" customWidth="1"/>
    <col min="11505" max="11505" width="8.7265625" style="223"/>
    <col min="11506" max="11506" width="36.453125" style="223" customWidth="1"/>
    <col min="11507" max="11507" width="20.81640625" style="223" customWidth="1"/>
    <col min="11508" max="11508" width="8.7265625" style="223"/>
    <col min="11509" max="11509" width="34.453125" style="223" customWidth="1"/>
    <col min="11510" max="11510" width="20.26953125" style="223" customWidth="1"/>
    <col min="11511" max="11511" width="8.7265625" style="223"/>
    <col min="11512" max="11512" width="18.26953125" style="223" customWidth="1"/>
    <col min="11513" max="11513" width="15.54296875" style="223" customWidth="1"/>
    <col min="11514" max="11755" width="8.7265625" style="223"/>
    <col min="11756" max="11758" width="13" style="223" hidden="1" customWidth="1"/>
    <col min="11759" max="11759" width="35" style="223" customWidth="1"/>
    <col min="11760" max="11760" width="22.7265625" style="223" customWidth="1"/>
    <col min="11761" max="11761" width="8.7265625" style="223"/>
    <col min="11762" max="11762" width="36.453125" style="223" customWidth="1"/>
    <col min="11763" max="11763" width="20.81640625" style="223" customWidth="1"/>
    <col min="11764" max="11764" width="8.7265625" style="223"/>
    <col min="11765" max="11765" width="34.453125" style="223" customWidth="1"/>
    <col min="11766" max="11766" width="20.26953125" style="223" customWidth="1"/>
    <col min="11767" max="11767" width="8.7265625" style="223"/>
    <col min="11768" max="11768" width="18.26953125" style="223" customWidth="1"/>
    <col min="11769" max="11769" width="15.54296875" style="223" customWidth="1"/>
    <col min="11770" max="12011" width="8.7265625" style="223"/>
    <col min="12012" max="12014" width="13" style="223" hidden="1" customWidth="1"/>
    <col min="12015" max="12015" width="35" style="223" customWidth="1"/>
    <col min="12016" max="12016" width="22.7265625" style="223" customWidth="1"/>
    <col min="12017" max="12017" width="8.7265625" style="223"/>
    <col min="12018" max="12018" width="36.453125" style="223" customWidth="1"/>
    <col min="12019" max="12019" width="20.81640625" style="223" customWidth="1"/>
    <col min="12020" max="12020" width="8.7265625" style="223"/>
    <col min="12021" max="12021" width="34.453125" style="223" customWidth="1"/>
    <col min="12022" max="12022" width="20.26953125" style="223" customWidth="1"/>
    <col min="12023" max="12023" width="8.7265625" style="223"/>
    <col min="12024" max="12024" width="18.26953125" style="223" customWidth="1"/>
    <col min="12025" max="12025" width="15.54296875" style="223" customWidth="1"/>
    <col min="12026" max="12267" width="8.7265625" style="223"/>
    <col min="12268" max="12270" width="13" style="223" hidden="1" customWidth="1"/>
    <col min="12271" max="12271" width="35" style="223" customWidth="1"/>
    <col min="12272" max="12272" width="22.7265625" style="223" customWidth="1"/>
    <col min="12273" max="12273" width="8.7265625" style="223"/>
    <col min="12274" max="12274" width="36.453125" style="223" customWidth="1"/>
    <col min="12275" max="12275" width="20.81640625" style="223" customWidth="1"/>
    <col min="12276" max="12276" width="8.7265625" style="223"/>
    <col min="12277" max="12277" width="34.453125" style="223" customWidth="1"/>
    <col min="12278" max="12278" width="20.26953125" style="223" customWidth="1"/>
    <col min="12279" max="12279" width="8.7265625" style="223"/>
    <col min="12280" max="12280" width="18.26953125" style="223" customWidth="1"/>
    <col min="12281" max="12281" width="15.54296875" style="223" customWidth="1"/>
    <col min="12282" max="12523" width="8.7265625" style="223"/>
    <col min="12524" max="12526" width="13" style="223" hidden="1" customWidth="1"/>
    <col min="12527" max="12527" width="35" style="223" customWidth="1"/>
    <col min="12528" max="12528" width="22.7265625" style="223" customWidth="1"/>
    <col min="12529" max="12529" width="8.7265625" style="223"/>
    <col min="12530" max="12530" width="36.453125" style="223" customWidth="1"/>
    <col min="12531" max="12531" width="20.81640625" style="223" customWidth="1"/>
    <col min="12532" max="12532" width="8.7265625" style="223"/>
    <col min="12533" max="12533" width="34.453125" style="223" customWidth="1"/>
    <col min="12534" max="12534" width="20.26953125" style="223" customWidth="1"/>
    <col min="12535" max="12535" width="8.7265625" style="223"/>
    <col min="12536" max="12536" width="18.26953125" style="223" customWidth="1"/>
    <col min="12537" max="12537" width="15.54296875" style="223" customWidth="1"/>
    <col min="12538" max="12779" width="8.7265625" style="223"/>
    <col min="12780" max="12782" width="13" style="223" hidden="1" customWidth="1"/>
    <col min="12783" max="12783" width="35" style="223" customWidth="1"/>
    <col min="12784" max="12784" width="22.7265625" style="223" customWidth="1"/>
    <col min="12785" max="12785" width="8.7265625" style="223"/>
    <col min="12786" max="12786" width="36.453125" style="223" customWidth="1"/>
    <col min="12787" max="12787" width="20.81640625" style="223" customWidth="1"/>
    <col min="12788" max="12788" width="8.7265625" style="223"/>
    <col min="12789" max="12789" width="34.453125" style="223" customWidth="1"/>
    <col min="12790" max="12790" width="20.26953125" style="223" customWidth="1"/>
    <col min="12791" max="12791" width="8.7265625" style="223"/>
    <col min="12792" max="12792" width="18.26953125" style="223" customWidth="1"/>
    <col min="12793" max="12793" width="15.54296875" style="223" customWidth="1"/>
    <col min="12794" max="13035" width="8.7265625" style="223"/>
    <col min="13036" max="13038" width="13" style="223" hidden="1" customWidth="1"/>
    <col min="13039" max="13039" width="35" style="223" customWidth="1"/>
    <col min="13040" max="13040" width="22.7265625" style="223" customWidth="1"/>
    <col min="13041" max="13041" width="8.7265625" style="223"/>
    <col min="13042" max="13042" width="36.453125" style="223" customWidth="1"/>
    <col min="13043" max="13043" width="20.81640625" style="223" customWidth="1"/>
    <col min="13044" max="13044" width="8.7265625" style="223"/>
    <col min="13045" max="13045" width="34.453125" style="223" customWidth="1"/>
    <col min="13046" max="13046" width="20.26953125" style="223" customWidth="1"/>
    <col min="13047" max="13047" width="8.7265625" style="223"/>
    <col min="13048" max="13048" width="18.26953125" style="223" customWidth="1"/>
    <col min="13049" max="13049" width="15.54296875" style="223" customWidth="1"/>
    <col min="13050" max="13291" width="8.7265625" style="223"/>
    <col min="13292" max="13294" width="13" style="223" hidden="1" customWidth="1"/>
    <col min="13295" max="13295" width="35" style="223" customWidth="1"/>
    <col min="13296" max="13296" width="22.7265625" style="223" customWidth="1"/>
    <col min="13297" max="13297" width="8.7265625" style="223"/>
    <col min="13298" max="13298" width="36.453125" style="223" customWidth="1"/>
    <col min="13299" max="13299" width="20.81640625" style="223" customWidth="1"/>
    <col min="13300" max="13300" width="8.7265625" style="223"/>
    <col min="13301" max="13301" width="34.453125" style="223" customWidth="1"/>
    <col min="13302" max="13302" width="20.26953125" style="223" customWidth="1"/>
    <col min="13303" max="13303" width="8.7265625" style="223"/>
    <col min="13304" max="13304" width="18.26953125" style="223" customWidth="1"/>
    <col min="13305" max="13305" width="15.54296875" style="223" customWidth="1"/>
    <col min="13306" max="13547" width="8.7265625" style="223"/>
    <col min="13548" max="13550" width="13" style="223" hidden="1" customWidth="1"/>
    <col min="13551" max="13551" width="35" style="223" customWidth="1"/>
    <col min="13552" max="13552" width="22.7265625" style="223" customWidth="1"/>
    <col min="13553" max="13553" width="8.7265625" style="223"/>
    <col min="13554" max="13554" width="36.453125" style="223" customWidth="1"/>
    <col min="13555" max="13555" width="20.81640625" style="223" customWidth="1"/>
    <col min="13556" max="13556" width="8.7265625" style="223"/>
    <col min="13557" max="13557" width="34.453125" style="223" customWidth="1"/>
    <col min="13558" max="13558" width="20.26953125" style="223" customWidth="1"/>
    <col min="13559" max="13559" width="8.7265625" style="223"/>
    <col min="13560" max="13560" width="18.26953125" style="223" customWidth="1"/>
    <col min="13561" max="13561" width="15.54296875" style="223" customWidth="1"/>
    <col min="13562" max="13803" width="8.7265625" style="223"/>
    <col min="13804" max="13806" width="13" style="223" hidden="1" customWidth="1"/>
    <col min="13807" max="13807" width="35" style="223" customWidth="1"/>
    <col min="13808" max="13808" width="22.7265625" style="223" customWidth="1"/>
    <col min="13809" max="13809" width="8.7265625" style="223"/>
    <col min="13810" max="13810" width="36.453125" style="223" customWidth="1"/>
    <col min="13811" max="13811" width="20.81640625" style="223" customWidth="1"/>
    <col min="13812" max="13812" width="8.7265625" style="223"/>
    <col min="13813" max="13813" width="34.453125" style="223" customWidth="1"/>
    <col min="13814" max="13814" width="20.26953125" style="223" customWidth="1"/>
    <col min="13815" max="13815" width="8.7265625" style="223"/>
    <col min="13816" max="13816" width="18.26953125" style="223" customWidth="1"/>
    <col min="13817" max="13817" width="15.54296875" style="223" customWidth="1"/>
    <col min="13818" max="14059" width="8.7265625" style="223"/>
    <col min="14060" max="14062" width="13" style="223" hidden="1" customWidth="1"/>
    <col min="14063" max="14063" width="35" style="223" customWidth="1"/>
    <col min="14064" max="14064" width="22.7265625" style="223" customWidth="1"/>
    <col min="14065" max="14065" width="8.7265625" style="223"/>
    <col min="14066" max="14066" width="36.453125" style="223" customWidth="1"/>
    <col min="14067" max="14067" width="20.81640625" style="223" customWidth="1"/>
    <col min="14068" max="14068" width="8.7265625" style="223"/>
    <col min="14069" max="14069" width="34.453125" style="223" customWidth="1"/>
    <col min="14070" max="14070" width="20.26953125" style="223" customWidth="1"/>
    <col min="14071" max="14071" width="8.7265625" style="223"/>
    <col min="14072" max="14072" width="18.26953125" style="223" customWidth="1"/>
    <col min="14073" max="14073" width="15.54296875" style="223" customWidth="1"/>
    <col min="14074" max="14315" width="8.7265625" style="223"/>
    <col min="14316" max="14318" width="13" style="223" hidden="1" customWidth="1"/>
    <col min="14319" max="14319" width="35" style="223" customWidth="1"/>
    <col min="14320" max="14320" width="22.7265625" style="223" customWidth="1"/>
    <col min="14321" max="14321" width="8.7265625" style="223"/>
    <col min="14322" max="14322" width="36.453125" style="223" customWidth="1"/>
    <col min="14323" max="14323" width="20.81640625" style="223" customWidth="1"/>
    <col min="14324" max="14324" width="8.7265625" style="223"/>
    <col min="14325" max="14325" width="34.453125" style="223" customWidth="1"/>
    <col min="14326" max="14326" width="20.26953125" style="223" customWidth="1"/>
    <col min="14327" max="14327" width="8.7265625" style="223"/>
    <col min="14328" max="14328" width="18.26953125" style="223" customWidth="1"/>
    <col min="14329" max="14329" width="15.54296875" style="223" customWidth="1"/>
    <col min="14330" max="14571" width="8.7265625" style="223"/>
    <col min="14572" max="14574" width="13" style="223" hidden="1" customWidth="1"/>
    <col min="14575" max="14575" width="35" style="223" customWidth="1"/>
    <col min="14576" max="14576" width="22.7265625" style="223" customWidth="1"/>
    <col min="14577" max="14577" width="8.7265625" style="223"/>
    <col min="14578" max="14578" width="36.453125" style="223" customWidth="1"/>
    <col min="14579" max="14579" width="20.81640625" style="223" customWidth="1"/>
    <col min="14580" max="14580" width="8.7265625" style="223"/>
    <col min="14581" max="14581" width="34.453125" style="223" customWidth="1"/>
    <col min="14582" max="14582" width="20.26953125" style="223" customWidth="1"/>
    <col min="14583" max="14583" width="8.7265625" style="223"/>
    <col min="14584" max="14584" width="18.26953125" style="223" customWidth="1"/>
    <col min="14585" max="14585" width="15.54296875" style="223" customWidth="1"/>
    <col min="14586" max="14827" width="8.7265625" style="223"/>
    <col min="14828" max="14830" width="13" style="223" hidden="1" customWidth="1"/>
    <col min="14831" max="14831" width="35" style="223" customWidth="1"/>
    <col min="14832" max="14832" width="22.7265625" style="223" customWidth="1"/>
    <col min="14833" max="14833" width="8.7265625" style="223"/>
    <col min="14834" max="14834" width="36.453125" style="223" customWidth="1"/>
    <col min="14835" max="14835" width="20.81640625" style="223" customWidth="1"/>
    <col min="14836" max="14836" width="8.7265625" style="223"/>
    <col min="14837" max="14837" width="34.453125" style="223" customWidth="1"/>
    <col min="14838" max="14838" width="20.26953125" style="223" customWidth="1"/>
    <col min="14839" max="14839" width="8.7265625" style="223"/>
    <col min="14840" max="14840" width="18.26953125" style="223" customWidth="1"/>
    <col min="14841" max="14841" width="15.54296875" style="223" customWidth="1"/>
    <col min="14842" max="15083" width="8.7265625" style="223"/>
    <col min="15084" max="15086" width="13" style="223" hidden="1" customWidth="1"/>
    <col min="15087" max="15087" width="35" style="223" customWidth="1"/>
    <col min="15088" max="15088" width="22.7265625" style="223" customWidth="1"/>
    <col min="15089" max="15089" width="8.7265625" style="223"/>
    <col min="15090" max="15090" width="36.453125" style="223" customWidth="1"/>
    <col min="15091" max="15091" width="20.81640625" style="223" customWidth="1"/>
    <col min="15092" max="15092" width="8.7265625" style="223"/>
    <col min="15093" max="15093" width="34.453125" style="223" customWidth="1"/>
    <col min="15094" max="15094" width="20.26953125" style="223" customWidth="1"/>
    <col min="15095" max="15095" width="8.7265625" style="223"/>
    <col min="15096" max="15096" width="18.26953125" style="223" customWidth="1"/>
    <col min="15097" max="15097" width="15.54296875" style="223" customWidth="1"/>
    <col min="15098" max="15339" width="8.7265625" style="223"/>
    <col min="15340" max="15342" width="13" style="223" hidden="1" customWidth="1"/>
    <col min="15343" max="15343" width="35" style="223" customWidth="1"/>
    <col min="15344" max="15344" width="22.7265625" style="223" customWidth="1"/>
    <col min="15345" max="15345" width="8.7265625" style="223"/>
    <col min="15346" max="15346" width="36.453125" style="223" customWidth="1"/>
    <col min="15347" max="15347" width="20.81640625" style="223" customWidth="1"/>
    <col min="15348" max="15348" width="8.7265625" style="223"/>
    <col min="15349" max="15349" width="34.453125" style="223" customWidth="1"/>
    <col min="15350" max="15350" width="20.26953125" style="223" customWidth="1"/>
    <col min="15351" max="15351" width="8.7265625" style="223"/>
    <col min="15352" max="15352" width="18.26953125" style="223" customWidth="1"/>
    <col min="15353" max="15353" width="15.54296875" style="223" customWidth="1"/>
    <col min="15354" max="15595" width="8.7265625" style="223"/>
    <col min="15596" max="15598" width="13" style="223" hidden="1" customWidth="1"/>
    <col min="15599" max="15599" width="35" style="223" customWidth="1"/>
    <col min="15600" max="15600" width="22.7265625" style="223" customWidth="1"/>
    <col min="15601" max="15601" width="8.7265625" style="223"/>
    <col min="15602" max="15602" width="36.453125" style="223" customWidth="1"/>
    <col min="15603" max="15603" width="20.81640625" style="223" customWidth="1"/>
    <col min="15604" max="15604" width="8.7265625" style="223"/>
    <col min="15605" max="15605" width="34.453125" style="223" customWidth="1"/>
    <col min="15606" max="15606" width="20.26953125" style="223" customWidth="1"/>
    <col min="15607" max="15607" width="8.7265625" style="223"/>
    <col min="15608" max="15608" width="18.26953125" style="223" customWidth="1"/>
    <col min="15609" max="15609" width="15.54296875" style="223" customWidth="1"/>
    <col min="15610" max="15851" width="8.7265625" style="223"/>
    <col min="15852" max="15854" width="13" style="223" hidden="1" customWidth="1"/>
    <col min="15855" max="15855" width="35" style="223" customWidth="1"/>
    <col min="15856" max="15856" width="22.7265625" style="223" customWidth="1"/>
    <col min="15857" max="15857" width="8.7265625" style="223"/>
    <col min="15858" max="15858" width="36.453125" style="223" customWidth="1"/>
    <col min="15859" max="15859" width="20.81640625" style="223" customWidth="1"/>
    <col min="15860" max="15860" width="8.7265625" style="223"/>
    <col min="15861" max="15861" width="34.453125" style="223" customWidth="1"/>
    <col min="15862" max="15862" width="20.26953125" style="223" customWidth="1"/>
    <col min="15863" max="15863" width="8.7265625" style="223"/>
    <col min="15864" max="15864" width="18.26953125" style="223" customWidth="1"/>
    <col min="15865" max="15865" width="15.54296875" style="223" customWidth="1"/>
    <col min="15866" max="16107" width="8.7265625" style="223"/>
    <col min="16108" max="16110" width="13" style="223" hidden="1" customWidth="1"/>
    <col min="16111" max="16111" width="35" style="223" customWidth="1"/>
    <col min="16112" max="16112" width="22.7265625" style="223" customWidth="1"/>
    <col min="16113" max="16113" width="8.7265625" style="223"/>
    <col min="16114" max="16114" width="36.453125" style="223" customWidth="1"/>
    <col min="16115" max="16115" width="20.81640625" style="223" customWidth="1"/>
    <col min="16116" max="16116" width="8.7265625" style="223"/>
    <col min="16117" max="16117" width="34.453125" style="223" customWidth="1"/>
    <col min="16118" max="16118" width="20.26953125" style="223" customWidth="1"/>
    <col min="16119" max="16119" width="8.7265625" style="223"/>
    <col min="16120" max="16120" width="18.26953125" style="223" customWidth="1"/>
    <col min="16121" max="16121" width="15.54296875" style="223" customWidth="1"/>
    <col min="16122" max="16384" width="8.7265625" style="223"/>
  </cols>
  <sheetData>
    <row r="1" spans="1:13" ht="19.5" customHeight="1" x14ac:dyDescent="0.35">
      <c r="A1" s="224"/>
      <c r="B1" s="225" t="s">
        <v>1</v>
      </c>
      <c r="C1" s="224"/>
      <c r="D1" s="224"/>
      <c r="E1" s="224"/>
      <c r="F1" s="224"/>
      <c r="G1" s="224"/>
      <c r="H1" s="224"/>
      <c r="I1" s="224"/>
      <c r="J1" s="224"/>
      <c r="K1" s="5"/>
      <c r="L1" s="5"/>
      <c r="M1" s="5"/>
    </row>
    <row r="2" spans="1:13" ht="19.5" customHeight="1" x14ac:dyDescent="0.35">
      <c r="A2" s="226"/>
      <c r="B2" s="227"/>
      <c r="C2" s="226"/>
      <c r="D2" s="226"/>
      <c r="E2" s="226"/>
      <c r="F2" s="226"/>
      <c r="G2" s="226"/>
      <c r="H2" s="226"/>
      <c r="I2" s="226"/>
      <c r="J2" s="226"/>
      <c r="K2" s="5"/>
      <c r="L2" s="5"/>
      <c r="M2" s="5"/>
    </row>
    <row r="3" spans="1:13" ht="19.5" customHeight="1" x14ac:dyDescent="0.35">
      <c r="A3" s="224"/>
      <c r="B3" s="228" t="s">
        <v>636</v>
      </c>
      <c r="C3" s="224"/>
      <c r="D3" s="224"/>
      <c r="E3" s="224"/>
      <c r="F3" s="224"/>
      <c r="G3" s="224"/>
      <c r="H3" s="224"/>
      <c r="I3" s="224"/>
      <c r="J3" s="224"/>
      <c r="K3" s="5"/>
      <c r="L3" s="5"/>
      <c r="M3" s="5"/>
    </row>
    <row r="4" spans="1:13" ht="15" customHeight="1" x14ac:dyDescent="0.35">
      <c r="A4" s="226"/>
      <c r="B4" s="226"/>
      <c r="C4" s="229"/>
      <c r="D4" s="229"/>
      <c r="E4" s="226"/>
      <c r="F4" s="230"/>
      <c r="G4" s="230"/>
      <c r="H4" s="230"/>
      <c r="I4" s="226"/>
      <c r="J4" s="226"/>
      <c r="K4" s="5"/>
      <c r="L4" s="5"/>
      <c r="M4" s="5"/>
    </row>
    <row r="5" spans="1:13" ht="18" customHeight="1" x14ac:dyDescent="0.35">
      <c r="A5" s="224"/>
      <c r="B5" s="231" t="s">
        <v>1</v>
      </c>
      <c r="C5" s="232"/>
      <c r="D5" s="232"/>
      <c r="E5" s="224"/>
      <c r="F5" s="233" t="s">
        <v>637</v>
      </c>
      <c r="G5" s="224"/>
      <c r="H5" s="224"/>
      <c r="I5" s="224"/>
      <c r="J5" s="224"/>
      <c r="K5" s="5"/>
      <c r="L5" s="234"/>
      <c r="M5" s="5"/>
    </row>
    <row r="6" spans="1:13" ht="15" customHeight="1" x14ac:dyDescent="0.35">
      <c r="A6" s="226"/>
      <c r="B6" s="235" t="s">
        <v>638</v>
      </c>
      <c r="C6" s="235">
        <v>5</v>
      </c>
      <c r="D6" s="236"/>
      <c r="E6" s="226"/>
      <c r="F6" s="226"/>
      <c r="G6" s="226"/>
      <c r="H6" s="226"/>
      <c r="I6" s="226"/>
      <c r="J6" s="226"/>
      <c r="K6" s="5"/>
      <c r="L6" s="5"/>
      <c r="M6" s="230"/>
    </row>
    <row r="7" spans="1:13" ht="15" customHeight="1" x14ac:dyDescent="0.35">
      <c r="A7" s="224"/>
      <c r="B7" s="235" t="s">
        <v>639</v>
      </c>
      <c r="C7" s="237">
        <v>1115</v>
      </c>
      <c r="D7" s="236"/>
      <c r="E7" s="224"/>
      <c r="F7" s="233" t="s">
        <v>640</v>
      </c>
      <c r="G7" s="238" t="s">
        <v>641</v>
      </c>
      <c r="H7" s="239" t="s">
        <v>642</v>
      </c>
      <c r="I7" s="239" t="s">
        <v>643</v>
      </c>
      <c r="J7" s="224"/>
      <c r="K7" s="5"/>
      <c r="L7" s="5"/>
      <c r="M7" s="5"/>
    </row>
    <row r="8" spans="1:13" ht="14.25" customHeight="1" x14ac:dyDescent="0.35">
      <c r="A8" s="226"/>
      <c r="B8" s="235" t="s">
        <v>644</v>
      </c>
      <c r="C8" s="240">
        <v>0</v>
      </c>
      <c r="D8" s="236"/>
      <c r="E8" s="226"/>
      <c r="F8" s="241" t="s">
        <v>645</v>
      </c>
      <c r="G8" s="242">
        <f>C14</f>
        <v>262560.19999999995</v>
      </c>
      <c r="H8" s="243">
        <f>G8/(E18*C6)</f>
        <v>0.28999999999999992</v>
      </c>
      <c r="I8" s="242">
        <f>C15</f>
        <v>1616.7499999999995</v>
      </c>
      <c r="J8" s="226"/>
      <c r="K8" s="5"/>
      <c r="L8" s="5"/>
      <c r="M8" s="5"/>
    </row>
    <row r="9" spans="1:13" ht="14.25" customHeight="1" x14ac:dyDescent="0.35">
      <c r="A9" s="224"/>
      <c r="B9" s="235" t="s">
        <v>646</v>
      </c>
      <c r="C9" s="244">
        <f>C7</f>
        <v>1115</v>
      </c>
      <c r="D9" s="245"/>
      <c r="E9" s="224"/>
      <c r="F9" s="246" t="s">
        <v>647</v>
      </c>
      <c r="G9" s="247">
        <f>C10*C13</f>
        <v>231420</v>
      </c>
      <c r="H9" s="248">
        <f>G9/(C6*E18)</f>
        <v>0.2556053811659193</v>
      </c>
      <c r="I9" s="247">
        <f>G9/C10</f>
        <v>1425</v>
      </c>
      <c r="J9" s="5"/>
      <c r="K9" s="5"/>
      <c r="L9" s="5"/>
      <c r="M9" s="5"/>
    </row>
    <row r="10" spans="1:13" ht="15" customHeight="1" x14ac:dyDescent="0.35">
      <c r="A10" s="226"/>
      <c r="B10" s="235" t="s">
        <v>648</v>
      </c>
      <c r="C10" s="249">
        <v>162.4</v>
      </c>
      <c r="D10" s="250"/>
      <c r="E10" s="226"/>
      <c r="F10" s="251" t="s">
        <v>649</v>
      </c>
      <c r="G10" s="242">
        <f>G8-(SUM(G9))</f>
        <v>31140.199999999953</v>
      </c>
      <c r="H10" s="243">
        <f>G10/(C6*E18)</f>
        <v>3.4394618834080667E-2</v>
      </c>
      <c r="I10" s="242">
        <f>G10/C10</f>
        <v>191.74999999999972</v>
      </c>
      <c r="J10" s="226"/>
      <c r="K10" s="5"/>
      <c r="L10" s="5"/>
      <c r="M10" s="5"/>
    </row>
    <row r="11" spans="1:13" ht="15" customHeight="1" x14ac:dyDescent="0.35">
      <c r="A11" s="224"/>
      <c r="B11" s="235" t="s">
        <v>650</v>
      </c>
      <c r="C11" s="252">
        <v>0.04</v>
      </c>
      <c r="D11" s="253"/>
      <c r="E11" s="224"/>
      <c r="F11" s="246" t="s">
        <v>641</v>
      </c>
      <c r="G11" s="247">
        <f>SUM(G9:G10)</f>
        <v>262560.19999999995</v>
      </c>
      <c r="H11" s="248">
        <f>SUM(H9:H10)</f>
        <v>0.28999999999999998</v>
      </c>
      <c r="I11" s="247">
        <f>SUM(I9:I10)</f>
        <v>1616.7499999999998</v>
      </c>
      <c r="J11" s="224"/>
      <c r="K11" s="5"/>
      <c r="L11" s="5"/>
      <c r="M11" s="5"/>
    </row>
    <row r="12" spans="1:13" ht="14.25" customHeight="1" x14ac:dyDescent="0.35">
      <c r="A12" s="226"/>
      <c r="B12" s="235" t="s">
        <v>379</v>
      </c>
      <c r="C12" s="252">
        <v>0.28999999999999998</v>
      </c>
      <c r="D12" s="253"/>
      <c r="E12" s="226"/>
      <c r="F12" s="226"/>
      <c r="G12" s="226"/>
      <c r="H12" s="254"/>
      <c r="I12" s="226"/>
      <c r="J12" s="226"/>
      <c r="K12" s="5"/>
      <c r="L12" s="5"/>
      <c r="M12" s="5"/>
    </row>
    <row r="13" spans="1:13" ht="14.25" customHeight="1" x14ac:dyDescent="0.35">
      <c r="A13" s="224"/>
      <c r="B13" s="235" t="s">
        <v>651</v>
      </c>
      <c r="C13" s="255">
        <v>1425</v>
      </c>
      <c r="D13" s="253"/>
      <c r="E13" s="256"/>
      <c r="F13" s="256"/>
      <c r="G13" s="256"/>
      <c r="H13" s="256"/>
      <c r="I13" s="256"/>
      <c r="J13" s="224"/>
      <c r="K13" s="5"/>
      <c r="L13" s="5"/>
      <c r="M13" s="5"/>
    </row>
    <row r="14" spans="1:13" ht="14.25" customHeight="1" x14ac:dyDescent="0.35">
      <c r="A14" s="226"/>
      <c r="B14" s="235" t="s">
        <v>652</v>
      </c>
      <c r="C14" s="257">
        <f>E18*C6*C12</f>
        <v>262560.19999999995</v>
      </c>
      <c r="D14" s="258"/>
      <c r="E14" s="259"/>
      <c r="F14" s="259"/>
      <c r="G14" s="259"/>
      <c r="H14" s="259"/>
      <c r="I14" s="259"/>
      <c r="J14" s="226"/>
      <c r="K14" s="5"/>
      <c r="L14" s="5"/>
      <c r="M14" s="5"/>
    </row>
    <row r="15" spans="1:13" ht="15" customHeight="1" x14ac:dyDescent="0.35">
      <c r="A15" s="224"/>
      <c r="B15" s="235" t="s">
        <v>653</v>
      </c>
      <c r="C15" s="257">
        <f>C14/C10</f>
        <v>1616.7499999999995</v>
      </c>
      <c r="D15" s="258"/>
      <c r="E15" s="224"/>
      <c r="F15" s="224"/>
      <c r="G15" s="260"/>
      <c r="H15" s="224"/>
      <c r="I15" s="224"/>
      <c r="J15" s="224"/>
      <c r="K15" s="5"/>
      <c r="L15" s="5"/>
      <c r="M15" s="5"/>
    </row>
    <row r="16" spans="1:13" ht="14.25" customHeight="1" x14ac:dyDescent="0.35">
      <c r="A16" s="226"/>
      <c r="B16" s="230"/>
      <c r="C16" s="230"/>
      <c r="D16" s="230"/>
      <c r="E16" s="226"/>
      <c r="F16" s="226"/>
      <c r="G16" s="226"/>
      <c r="H16" s="226"/>
      <c r="I16" s="226"/>
      <c r="J16" s="226"/>
      <c r="K16" s="5"/>
      <c r="L16" s="5"/>
      <c r="M16" s="5"/>
    </row>
    <row r="17" spans="1:13" ht="14.25" customHeight="1" x14ac:dyDescent="0.35">
      <c r="A17" s="224"/>
      <c r="B17" s="261" t="s">
        <v>654</v>
      </c>
      <c r="C17" s="86" t="s">
        <v>655</v>
      </c>
      <c r="D17" s="261" t="s">
        <v>656</v>
      </c>
      <c r="E17" s="262" t="s">
        <v>657</v>
      </c>
      <c r="F17" s="263"/>
      <c r="G17" s="260"/>
      <c r="H17" s="256"/>
      <c r="I17" s="224"/>
      <c r="J17" s="260"/>
      <c r="K17" s="5"/>
      <c r="L17" s="5"/>
      <c r="M17" s="5"/>
    </row>
    <row r="18" spans="1:13" ht="14.25" customHeight="1" x14ac:dyDescent="0.35">
      <c r="A18" s="226"/>
      <c r="B18" s="264" t="s">
        <v>658</v>
      </c>
      <c r="C18" s="265">
        <f>C7</f>
        <v>1115</v>
      </c>
      <c r="D18" s="265">
        <v>0</v>
      </c>
      <c r="E18" s="265">
        <f>C10*(C18+D18)</f>
        <v>181076</v>
      </c>
      <c r="F18" s="266"/>
      <c r="G18" s="226"/>
      <c r="H18" s="226"/>
      <c r="I18" s="226"/>
      <c r="J18" s="266"/>
      <c r="K18" s="5"/>
      <c r="L18" s="5"/>
      <c r="M18" s="5"/>
    </row>
    <row r="19" spans="1:13" ht="14.25" customHeight="1" x14ac:dyDescent="0.35">
      <c r="A19" s="224"/>
      <c r="B19" s="5"/>
      <c r="C19" s="5"/>
      <c r="D19" s="5"/>
      <c r="E19" s="5"/>
      <c r="F19" s="224"/>
      <c r="G19" s="5"/>
      <c r="H19" s="5"/>
      <c r="I19" s="5"/>
      <c r="J19" s="5"/>
      <c r="K19" s="5"/>
      <c r="L19" s="5"/>
      <c r="M19" s="5"/>
    </row>
    <row r="20" spans="1:1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4.25" customHeight="1" x14ac:dyDescent="0.35">
      <c r="A22" s="5"/>
      <c r="B22" s="5"/>
      <c r="C22" s="5"/>
      <c r="D22" s="230"/>
      <c r="E22" s="5"/>
      <c r="F22" s="5"/>
      <c r="G22" s="5"/>
      <c r="H22" s="5"/>
      <c r="I22" s="5"/>
      <c r="J22" s="5"/>
      <c r="K22" s="5"/>
      <c r="L22" s="5"/>
      <c r="M22" s="5"/>
    </row>
    <row r="23" spans="1:13" ht="14.25" customHeight="1" x14ac:dyDescent="0.35">
      <c r="A23" s="5"/>
      <c r="B23" s="234"/>
      <c r="C23" s="267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ht="14.25" customHeight="1" x14ac:dyDescent="0.35">
      <c r="A24" s="5"/>
      <c r="B24" s="229"/>
      <c r="C24" s="444"/>
      <c r="D24" s="444"/>
      <c r="E24" s="268"/>
      <c r="F24" s="5"/>
      <c r="G24" s="5"/>
      <c r="H24" s="5"/>
      <c r="I24" s="5"/>
      <c r="J24" s="230"/>
      <c r="K24" s="5"/>
      <c r="L24" s="5"/>
      <c r="M24" s="5"/>
    </row>
    <row r="25" spans="1:13" ht="14.25" customHeight="1" x14ac:dyDescent="0.35">
      <c r="A25" s="5"/>
      <c r="B25" s="234"/>
      <c r="C25" s="267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ht="14.25" customHeight="1" x14ac:dyDescent="0.35">
      <c r="A29" s="5"/>
      <c r="B29" s="5"/>
      <c r="C29" s="5"/>
      <c r="D29" s="5"/>
      <c r="E29" s="5"/>
      <c r="F29" s="5"/>
      <c r="G29" s="260"/>
      <c r="H29" s="5"/>
      <c r="I29" s="5"/>
      <c r="J29" s="260"/>
      <c r="K29" s="5"/>
      <c r="L29" s="5"/>
      <c r="M29" s="5"/>
    </row>
    <row r="30" spans="1:13" ht="14.25" customHeight="1" x14ac:dyDescent="0.35">
      <c r="A30" s="5"/>
      <c r="B30" s="5"/>
      <c r="C30" s="5"/>
      <c r="D30" s="5"/>
      <c r="E30" s="5"/>
      <c r="F30" s="5"/>
      <c r="G30" s="230"/>
      <c r="H30" s="269"/>
      <c r="I30" s="5"/>
      <c r="J30" s="5"/>
      <c r="K30" s="5"/>
      <c r="L30" s="5"/>
      <c r="M30" s="5"/>
    </row>
    <row r="31" spans="1:13" ht="14.25" customHeight="1" x14ac:dyDescent="0.35">
      <c r="A31" s="5"/>
      <c r="B31" s="5"/>
      <c r="C31" s="5"/>
      <c r="D31" s="5"/>
      <c r="E31" s="5"/>
      <c r="F31" s="5"/>
      <c r="G31" s="260"/>
      <c r="H31" s="5"/>
      <c r="I31" s="5"/>
      <c r="J31" s="5"/>
      <c r="K31" s="5"/>
      <c r="L31" s="5"/>
      <c r="M31" s="5"/>
    </row>
    <row r="32" spans="1:13" ht="14.25" customHeight="1" x14ac:dyDescent="0.35">
      <c r="A32" s="5"/>
      <c r="B32" s="5"/>
      <c r="C32" s="5"/>
      <c r="D32" s="5"/>
      <c r="E32" s="5"/>
      <c r="F32" s="5"/>
      <c r="G32" s="230"/>
      <c r="H32" s="269"/>
      <c r="I32" s="5"/>
      <c r="J32" s="5"/>
      <c r="K32" s="5"/>
      <c r="L32" s="5"/>
      <c r="M32" s="5"/>
    </row>
    <row r="33" spans="1:1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ht="14.25" customHeight="1" x14ac:dyDescent="0.35">
      <c r="A34" s="5"/>
      <c r="B34" s="5"/>
      <c r="C34" s="5"/>
      <c r="D34" s="5"/>
      <c r="E34" s="5"/>
      <c r="F34" s="5"/>
      <c r="G34" s="230"/>
      <c r="H34" s="5"/>
      <c r="I34" s="5"/>
      <c r="J34" s="5"/>
      <c r="K34" s="5"/>
      <c r="L34" s="5"/>
      <c r="M34" s="5"/>
    </row>
    <row r="35" spans="1:13" ht="14.25" customHeight="1" x14ac:dyDescent="0.35">
      <c r="A35" s="5"/>
      <c r="B35" s="5"/>
      <c r="C35" s="5"/>
      <c r="D35" s="5"/>
      <c r="E35" s="5"/>
      <c r="F35" s="5"/>
      <c r="G35" s="260"/>
      <c r="H35" s="5"/>
      <c r="I35" s="5"/>
      <c r="J35" s="5"/>
      <c r="K35" s="5"/>
      <c r="L35" s="5"/>
      <c r="M35" s="5"/>
    </row>
    <row r="36" spans="1:13" ht="14.25" customHeight="1" x14ac:dyDescent="0.35">
      <c r="A36" s="5"/>
      <c r="B36" s="5"/>
      <c r="C36" s="5"/>
      <c r="D36" s="5"/>
      <c r="E36" s="5"/>
      <c r="F36" s="5"/>
      <c r="G36" s="230"/>
      <c r="H36" s="5"/>
      <c r="I36" s="5"/>
      <c r="J36" s="5"/>
      <c r="K36" s="5"/>
      <c r="L36" s="5"/>
      <c r="M36" s="5"/>
    </row>
    <row r="37" spans="1:13" ht="14.25" customHeight="1" x14ac:dyDescent="0.35">
      <c r="A37" s="270"/>
      <c r="B37" s="5"/>
      <c r="C37" s="5"/>
      <c r="D37" s="5"/>
      <c r="E37" s="5"/>
      <c r="F37" s="5"/>
      <c r="G37" s="260"/>
      <c r="H37" s="5"/>
      <c r="I37" s="5"/>
      <c r="J37" s="5"/>
      <c r="K37" s="5"/>
      <c r="L37" s="5"/>
      <c r="M37" s="5"/>
    </row>
    <row r="38" spans="1:13" ht="14.25" customHeight="1" x14ac:dyDescent="0.35">
      <c r="A38" s="5"/>
      <c r="B38" s="5"/>
      <c r="C38" s="5"/>
      <c r="D38" s="5"/>
      <c r="E38" s="5"/>
      <c r="F38" s="5"/>
      <c r="G38" s="230"/>
      <c r="H38" s="5"/>
      <c r="I38" s="5"/>
      <c r="J38" s="5"/>
      <c r="K38" s="5"/>
      <c r="L38" s="5"/>
      <c r="M38" s="5"/>
    </row>
    <row r="39" spans="1:1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ht="14.25" customHeight="1" x14ac:dyDescent="0.35">
      <c r="A40" s="5"/>
      <c r="B40" s="5"/>
      <c r="C40" s="5"/>
      <c r="D40" s="5"/>
      <c r="E40" s="5"/>
      <c r="F40" s="5"/>
      <c r="G40" s="229"/>
      <c r="H40" s="271"/>
      <c r="I40" s="5"/>
      <c r="J40" s="5"/>
      <c r="K40" s="5"/>
      <c r="L40" s="5"/>
      <c r="M40" s="5"/>
    </row>
    <row r="41" spans="1:13" ht="14.25" customHeight="1" x14ac:dyDescent="0.35">
      <c r="A41" s="5"/>
      <c r="B41" s="5"/>
      <c r="C41" s="5"/>
      <c r="D41" s="5"/>
      <c r="E41" s="5"/>
      <c r="F41" s="5"/>
      <c r="G41" s="260"/>
      <c r="H41" s="272"/>
      <c r="I41" s="260"/>
      <c r="J41" s="5"/>
      <c r="K41" s="5"/>
      <c r="L41" s="5"/>
      <c r="M41" s="5"/>
    </row>
    <row r="42" spans="1:13" ht="14.25" customHeight="1" x14ac:dyDescent="0.35">
      <c r="A42" s="5"/>
      <c r="B42" s="5"/>
      <c r="C42" s="5"/>
      <c r="D42" s="5"/>
      <c r="E42" s="5"/>
      <c r="F42" s="5"/>
      <c r="G42" s="230"/>
      <c r="H42" s="273"/>
      <c r="I42" s="230"/>
      <c r="J42" s="5"/>
      <c r="K42" s="5"/>
      <c r="L42" s="5"/>
      <c r="M42" s="5"/>
    </row>
    <row r="43" spans="1:13" ht="14.25" customHeight="1" x14ac:dyDescent="0.35">
      <c r="A43" s="5"/>
      <c r="B43" s="5"/>
      <c r="C43" s="5"/>
      <c r="D43" s="5"/>
      <c r="E43" s="5"/>
      <c r="F43" s="5"/>
      <c r="G43" s="260"/>
      <c r="H43" s="272"/>
      <c r="I43" s="260"/>
      <c r="J43" s="5"/>
      <c r="K43" s="5"/>
      <c r="L43" s="5"/>
      <c r="M43" s="5"/>
    </row>
    <row r="44" spans="1:13" ht="14.25" customHeight="1" x14ac:dyDescent="0.35">
      <c r="A44" s="5"/>
      <c r="B44" s="5"/>
      <c r="C44" s="5"/>
      <c r="D44" s="5"/>
      <c r="E44" s="5"/>
      <c r="F44" s="229"/>
      <c r="G44" s="5"/>
      <c r="H44" s="5"/>
      <c r="I44" s="230"/>
      <c r="J44" s="5"/>
      <c r="K44" s="5"/>
      <c r="L44" s="5"/>
      <c r="M44" s="5"/>
    </row>
    <row r="45" spans="1:1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 ht="14.25" hidden="1" customHeight="1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 ht="14.25" hidden="1" customHeight="1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 ht="14.25" hidden="1" customHeight="1" x14ac:dyDescent="0.35">
      <c r="A49" s="5"/>
      <c r="B49" s="274" t="s">
        <v>659</v>
      </c>
      <c r="C49" s="274">
        <f>C10*200</f>
        <v>32480</v>
      </c>
      <c r="D49" s="274">
        <f>D10*200</f>
        <v>0</v>
      </c>
      <c r="E49" s="5"/>
      <c r="F49" s="5"/>
      <c r="G49" s="5"/>
      <c r="H49" s="5"/>
      <c r="I49" s="5"/>
      <c r="J49" s="5"/>
      <c r="K49" s="5"/>
      <c r="L49" s="5"/>
      <c r="M49" s="5"/>
    </row>
    <row r="50" spans="1:13" ht="14.25" hidden="1" customHeight="1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 ht="14.25" hidden="1" customHeight="1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1:1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1:1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1:1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pans="1:1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1:1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1:1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1:1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1:13" ht="14.25" customHeight="1" x14ac:dyDescent="0.35">
      <c r="A64" s="229"/>
      <c r="B64" s="5"/>
      <c r="C64" s="5"/>
      <c r="D64" s="5"/>
      <c r="E64" s="229"/>
      <c r="F64" s="5"/>
      <c r="G64" s="5"/>
      <c r="H64" s="5"/>
      <c r="I64" s="5"/>
      <c r="J64" s="5"/>
      <c r="K64" s="5"/>
      <c r="L64" s="5"/>
      <c r="M64" s="5"/>
    </row>
  </sheetData>
  <mergeCells count="1">
    <mergeCell ref="C24:D24"/>
  </mergeCells>
  <pageMargins left="0.7" right="0.7" top="0.75" bottom="0.75" header="0.51180555555555596" footer="0.51180555555555596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4"/>
  <sheetViews>
    <sheetView zoomScaleNormal="100" workbookViewId="0">
      <selection activeCell="C12" sqref="C12"/>
    </sheetView>
  </sheetViews>
  <sheetFormatPr defaultColWidth="8.7265625" defaultRowHeight="12.5" x14ac:dyDescent="0.25"/>
  <cols>
    <col min="1" max="1" width="37" style="275" customWidth="1"/>
    <col min="2" max="2" width="18" style="275" customWidth="1"/>
    <col min="3" max="3" width="28.1796875" style="275" customWidth="1"/>
    <col min="4" max="4" width="11.7265625" style="275" customWidth="1"/>
    <col min="5" max="5" width="8.7265625" style="275"/>
    <col min="6" max="6" width="10.1796875" style="275" customWidth="1"/>
    <col min="7" max="16384" width="8.7265625" style="275"/>
  </cols>
  <sheetData>
    <row r="1" spans="1:7" ht="12" customHeight="1" x14ac:dyDescent="0.3">
      <c r="A1" s="276" t="s">
        <v>660</v>
      </c>
      <c r="B1" s="277"/>
      <c r="C1" s="277"/>
      <c r="D1" s="277"/>
      <c r="E1" s="277"/>
      <c r="F1" s="277"/>
      <c r="G1" s="277"/>
    </row>
    <row r="2" spans="1:7" ht="26.25" customHeight="1" x14ac:dyDescent="0.25">
      <c r="A2" s="7" t="s">
        <v>661</v>
      </c>
      <c r="B2" s="278"/>
      <c r="C2" s="278"/>
      <c r="D2" s="278"/>
      <c r="E2" s="278"/>
      <c r="F2" s="278"/>
      <c r="G2" s="278"/>
    </row>
    <row r="3" spans="1:7" ht="13.5" customHeight="1" x14ac:dyDescent="0.3">
      <c r="A3" s="279"/>
      <c r="B3" s="277"/>
      <c r="C3" s="277"/>
      <c r="D3" s="277"/>
      <c r="E3" s="277"/>
      <c r="F3" s="277"/>
      <c r="G3" s="277"/>
    </row>
    <row r="4" spans="1:7" ht="12" customHeight="1" x14ac:dyDescent="0.3">
      <c r="A4" s="280" t="s">
        <v>662</v>
      </c>
      <c r="B4" s="281" t="s">
        <v>663</v>
      </c>
      <c r="C4" s="282"/>
      <c r="D4" s="282"/>
      <c r="E4" s="282"/>
      <c r="F4" s="282"/>
      <c r="G4" s="282"/>
    </row>
    <row r="5" spans="1:7" ht="12" customHeight="1" x14ac:dyDescent="0.3">
      <c r="A5" s="280" t="s">
        <v>664</v>
      </c>
      <c r="B5" s="283" t="s">
        <v>665</v>
      </c>
      <c r="C5" s="282"/>
      <c r="D5" s="282"/>
      <c r="E5" s="282"/>
      <c r="F5" s="282"/>
      <c r="G5" s="282"/>
    </row>
    <row r="6" spans="1:7" ht="12" customHeight="1" x14ac:dyDescent="0.3">
      <c r="A6" s="284"/>
      <c r="B6" s="282"/>
      <c r="C6" s="285"/>
      <c r="D6" s="285"/>
      <c r="E6" s="286"/>
      <c r="F6" s="286"/>
      <c r="G6" s="282"/>
    </row>
    <row r="7" spans="1:7" ht="12" customHeight="1" x14ac:dyDescent="0.3">
      <c r="A7" s="280" t="s">
        <v>666</v>
      </c>
      <c r="B7" s="287">
        <v>45566</v>
      </c>
      <c r="C7" s="285"/>
      <c r="D7" s="285"/>
      <c r="E7" s="282"/>
      <c r="F7" s="285"/>
      <c r="G7" s="288"/>
    </row>
    <row r="8" spans="1:7" ht="12" customHeight="1" x14ac:dyDescent="0.3">
      <c r="A8" s="280" t="s">
        <v>667</v>
      </c>
      <c r="B8" s="289">
        <v>4</v>
      </c>
      <c r="C8" s="285"/>
      <c r="D8" s="285"/>
      <c r="E8" s="282"/>
      <c r="F8" s="285"/>
      <c r="G8" s="288"/>
    </row>
    <row r="9" spans="1:7" ht="12" customHeight="1" x14ac:dyDescent="0.3">
      <c r="A9" s="280" t="s">
        <v>668</v>
      </c>
      <c r="B9" s="281">
        <v>193.4</v>
      </c>
      <c r="C9" s="290" t="s">
        <v>654</v>
      </c>
      <c r="D9" s="291" t="s">
        <v>669</v>
      </c>
      <c r="E9" s="282"/>
      <c r="F9" s="285"/>
      <c r="G9" s="288"/>
    </row>
    <row r="10" spans="1:7" ht="12" customHeight="1" x14ac:dyDescent="0.3">
      <c r="A10" s="280" t="s">
        <v>670</v>
      </c>
      <c r="B10" s="292">
        <v>900</v>
      </c>
      <c r="C10" s="280" t="s">
        <v>671</v>
      </c>
      <c r="D10" s="293">
        <f>B9*B10</f>
        <v>174060</v>
      </c>
      <c r="E10" s="282"/>
      <c r="F10" s="285"/>
      <c r="G10" s="294"/>
    </row>
    <row r="11" spans="1:7" ht="12" customHeight="1" x14ac:dyDescent="0.3">
      <c r="A11" s="280" t="s">
        <v>672</v>
      </c>
      <c r="B11" s="295">
        <v>3.7499999999999999E-2</v>
      </c>
      <c r="C11" s="280" t="s">
        <v>673</v>
      </c>
      <c r="D11" s="293">
        <f>D10*(1+$B$11)</f>
        <v>180587.25000000003</v>
      </c>
      <c r="E11" s="282"/>
      <c r="F11" s="285"/>
      <c r="G11" s="282"/>
    </row>
    <row r="12" spans="1:7" ht="12" customHeight="1" x14ac:dyDescent="0.3">
      <c r="A12" s="284"/>
      <c r="B12" s="285"/>
      <c r="C12" s="280" t="s">
        <v>674</v>
      </c>
      <c r="D12" s="293">
        <f>D11*(1+$B$11)</f>
        <v>187359.27187500003</v>
      </c>
      <c r="E12" s="282"/>
      <c r="F12" s="285"/>
      <c r="G12" s="282"/>
    </row>
    <row r="13" spans="1:7" ht="12" customHeight="1" x14ac:dyDescent="0.3">
      <c r="A13" s="284"/>
      <c r="B13" s="285"/>
      <c r="C13" s="280" t="s">
        <v>675</v>
      </c>
      <c r="D13" s="293">
        <f>D12*(1+$B$11)</f>
        <v>194385.24457031256</v>
      </c>
      <c r="E13" s="282"/>
      <c r="F13" s="285"/>
      <c r="G13" s="282"/>
    </row>
    <row r="14" spans="1:7" ht="12" customHeight="1" x14ac:dyDescent="0.3">
      <c r="A14" s="280" t="s">
        <v>676</v>
      </c>
      <c r="B14" s="282"/>
      <c r="C14" s="296"/>
      <c r="D14" s="297"/>
      <c r="E14" s="282"/>
      <c r="F14" s="298"/>
      <c r="G14" s="282"/>
    </row>
    <row r="15" spans="1:7" ht="12" customHeight="1" x14ac:dyDescent="0.3">
      <c r="A15" s="299" t="s">
        <v>677</v>
      </c>
      <c r="B15" s="300">
        <v>0.12</v>
      </c>
      <c r="C15" s="291" t="s">
        <v>678</v>
      </c>
      <c r="D15" s="293">
        <f>AVERAGE(D10:D13)</f>
        <v>184097.94161132816</v>
      </c>
      <c r="E15" s="301"/>
      <c r="F15" s="302"/>
      <c r="G15" s="303"/>
    </row>
    <row r="16" spans="1:7" ht="12" customHeight="1" x14ac:dyDescent="0.3">
      <c r="A16" s="296"/>
      <c r="B16" s="304"/>
      <c r="C16" s="282"/>
      <c r="D16" s="285"/>
      <c r="E16" s="301"/>
      <c r="F16" s="302"/>
      <c r="G16" s="303"/>
    </row>
    <row r="17" spans="1:7" ht="12" customHeight="1" x14ac:dyDescent="0.3">
      <c r="A17" s="296"/>
      <c r="B17" s="304"/>
      <c r="C17" s="282"/>
      <c r="D17" s="298"/>
      <c r="E17" s="301"/>
      <c r="F17" s="302"/>
      <c r="G17" s="303"/>
    </row>
    <row r="18" spans="1:7" ht="12" customHeight="1" x14ac:dyDescent="0.3">
      <c r="A18" s="303"/>
      <c r="B18" s="303"/>
      <c r="C18" s="284"/>
      <c r="D18" s="305"/>
      <c r="E18" s="282"/>
      <c r="F18" s="306"/>
      <c r="G18" s="303"/>
    </row>
    <row r="19" spans="1:7" ht="12" customHeight="1" x14ac:dyDescent="0.3">
      <c r="A19" s="280" t="s">
        <v>679</v>
      </c>
      <c r="B19" s="306"/>
      <c r="C19" s="282"/>
      <c r="D19" s="307"/>
      <c r="E19" s="282"/>
      <c r="F19" s="282"/>
      <c r="G19" s="282"/>
    </row>
    <row r="20" spans="1:7" ht="12" customHeight="1" x14ac:dyDescent="0.3">
      <c r="A20" s="281" t="s">
        <v>680</v>
      </c>
      <c r="B20" s="306"/>
      <c r="C20" s="308">
        <v>1</v>
      </c>
      <c r="D20" s="309">
        <f>D15*B15</f>
        <v>22091.75299335938</v>
      </c>
      <c r="E20" s="281" t="s">
        <v>681</v>
      </c>
      <c r="F20" s="282"/>
      <c r="G20" s="282"/>
    </row>
    <row r="21" spans="1:7" ht="12.75" customHeight="1" x14ac:dyDescent="0.3">
      <c r="A21" s="310"/>
      <c r="B21" s="282"/>
      <c r="C21" s="280" t="s">
        <v>682</v>
      </c>
      <c r="D21" s="309">
        <f>SUM(D20)</f>
        <v>22091.75299335938</v>
      </c>
      <c r="E21" s="281" t="s">
        <v>681</v>
      </c>
      <c r="F21" s="282"/>
      <c r="G21" s="282"/>
    </row>
    <row r="22" spans="1:7" ht="14.25" customHeight="1" x14ac:dyDescent="0.35">
      <c r="A22" s="5"/>
      <c r="B22" s="5"/>
      <c r="C22" s="5"/>
      <c r="D22" s="5"/>
      <c r="E22" s="5"/>
      <c r="F22" s="5"/>
      <c r="G22" s="5"/>
    </row>
    <row r="23" spans="1:7" ht="12" customHeight="1" x14ac:dyDescent="0.35">
      <c r="A23" s="5"/>
      <c r="B23" s="5"/>
      <c r="C23" s="5"/>
      <c r="D23" s="311"/>
      <c r="E23" s="5"/>
      <c r="F23" s="5"/>
      <c r="G23" s="5"/>
    </row>
    <row r="24" spans="1:7" ht="12" customHeight="1" x14ac:dyDescent="0.35">
      <c r="A24" s="5"/>
      <c r="B24" s="5"/>
      <c r="C24" s="5"/>
      <c r="D24" s="311"/>
      <c r="E24" s="5"/>
      <c r="F24" s="5"/>
      <c r="G24" s="5"/>
    </row>
  </sheetData>
  <pageMargins left="0.75" right="0.75" top="1" bottom="1" header="0.51180555555555596" footer="0.51180555555555596"/>
  <pageSetup paperSize="9" orientation="landscape" horizontalDpi="300" verticalDpi="300"/>
  <headerFooter>
    <oddHeader>&amp;C&amp;"Georgia,Regular"Goldberg Family Office</oddHeader>
    <oddFooter>&amp;C&amp;"Georgia,Regular"Prepared by jake goldberg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"/>
  <sheetViews>
    <sheetView zoomScaleNormal="100" workbookViewId="0">
      <selection activeCell="D4" sqref="D4"/>
    </sheetView>
  </sheetViews>
  <sheetFormatPr defaultColWidth="8.7265625" defaultRowHeight="14.5" x14ac:dyDescent="0.35"/>
  <cols>
    <col min="1" max="1" width="39.81640625" customWidth="1"/>
    <col min="2" max="2" width="12.90625" customWidth="1"/>
    <col min="3" max="3" width="16.6328125" customWidth="1"/>
    <col min="5" max="5" width="48.36328125" customWidth="1"/>
  </cols>
  <sheetData>
    <row r="1" spans="1:5" ht="14.25" customHeight="1" x14ac:dyDescent="0.35">
      <c r="A1" s="312" t="s">
        <v>640</v>
      </c>
      <c r="B1" s="312" t="s">
        <v>683</v>
      </c>
      <c r="C1" s="312" t="s">
        <v>684</v>
      </c>
      <c r="D1" s="312" t="s">
        <v>685</v>
      </c>
      <c r="E1" s="312" t="s">
        <v>686</v>
      </c>
    </row>
    <row r="2" spans="1:5" ht="14.25" customHeight="1" x14ac:dyDescent="0.35">
      <c r="A2" s="16" t="s">
        <v>687</v>
      </c>
      <c r="B2" s="313">
        <v>46136</v>
      </c>
      <c r="C2" s="16" t="s">
        <v>688</v>
      </c>
      <c r="D2" s="314">
        <v>35750</v>
      </c>
      <c r="E2" s="16" t="s">
        <v>689</v>
      </c>
    </row>
    <row r="3" spans="1:5" ht="14.25" customHeight="1" x14ac:dyDescent="0.35">
      <c r="A3" s="315" t="s">
        <v>690</v>
      </c>
      <c r="B3" s="316">
        <v>46120</v>
      </c>
      <c r="C3" s="315" t="s">
        <v>691</v>
      </c>
      <c r="D3" s="317">
        <v>892049</v>
      </c>
      <c r="E3" s="315" t="s">
        <v>692</v>
      </c>
    </row>
  </sheetData>
  <pageMargins left="0.7" right="0.7" top="0.75" bottom="0.75" header="0.51180555555555596" footer="0.51180555555555596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Cover</vt:lpstr>
      <vt:lpstr>Last Updated</vt:lpstr>
      <vt:lpstr>Input Data</vt:lpstr>
      <vt:lpstr>Dashboard</vt:lpstr>
      <vt:lpstr>Valuations</vt:lpstr>
      <vt:lpstr>Expiry Profile</vt:lpstr>
      <vt:lpstr>Leases</vt:lpstr>
      <vt:lpstr>Leasing Activity</vt:lpstr>
      <vt:lpstr>Market Rents 26-27</vt:lpstr>
      <vt:lpstr>Building Expiry Profile</vt:lpstr>
      <vt:lpstr>Make Good Obligations</vt:lpstr>
      <vt:lpstr>Spec Fitouts</vt:lpstr>
      <vt:lpstr>Stack Plan</vt:lpstr>
      <vt:lpstr>NER Tracking</vt:lpstr>
      <vt:lpstr>Rental Analysis</vt:lpstr>
      <vt:lpstr>Leasing Fee Calc</vt:lpstr>
      <vt:lpstr>Future Capex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Jake Goldberg</cp:lastModifiedBy>
  <cp:revision>2</cp:revision>
  <dcterms:created xsi:type="dcterms:W3CDTF">2026-05-04T04:18:33Z</dcterms:created>
  <dcterms:modified xsi:type="dcterms:W3CDTF">2026-10-15T23:43:52Z</dcterms:modified>
  <dc:language>en-US</dc:language>
</cp:coreProperties>
</file>